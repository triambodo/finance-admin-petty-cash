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4f831a108e517477/Documents/SERTIFIKASI/MySkill Financial Accounting/"/>
    </mc:Choice>
  </mc:AlternateContent>
  <xr:revisionPtr revIDLastSave="5" documentId="8_{9727145D-1201-41F6-B402-F3F211FA7BDC}" xr6:coauthVersionLast="47" xr6:coauthVersionMax="47" xr10:uidLastSave="{35C00456-F06A-454A-8A41-D4442B07BBDE}"/>
  <bookViews>
    <workbookView xWindow="-108" yWindow="-108" windowWidth="23256" windowHeight="12576" activeTab="4" xr2:uid="{00000000-000D-0000-FFFF-FFFF00000000}"/>
  </bookViews>
  <sheets>
    <sheet name="Transactions" sheetId="1" r:id="rId1"/>
    <sheet name="Guide" sheetId="2" r:id="rId2"/>
    <sheet name="Data Cleaning" sheetId="3" r:id="rId3"/>
    <sheet name="Pivot Table" sheetId="4" r:id="rId4"/>
    <sheet name="Dashboard" sheetId="5" r:id="rId5"/>
  </sheets>
  <definedNames>
    <definedName name="NativeTimeline_Date">#N/A</definedName>
    <definedName name="Slicer_Aging_Bucket">#N/A</definedName>
    <definedName name="Slicer_Category">#N/A</definedName>
    <definedName name="Slicer_Department">#N/A</definedName>
    <definedName name="Slicer_Employe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L3" i="3" l="1"/>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K2" i="3"/>
  <c r="L2" i="3" s="1"/>
  <c r="N2" i="3" s="1"/>
  <c r="O2" i="3" s="1"/>
  <c r="K3" i="3"/>
  <c r="N3" i="3" s="1"/>
  <c r="O3" i="3" s="1"/>
  <c r="K4" i="3"/>
  <c r="L4" i="3" s="1"/>
  <c r="N4" i="3" s="1"/>
  <c r="O4" i="3" s="1"/>
  <c r="K5" i="3"/>
  <c r="L5" i="3" s="1"/>
  <c r="N5" i="3" s="1"/>
  <c r="O5" i="3" s="1"/>
  <c r="K6" i="3"/>
  <c r="L6" i="3" s="1"/>
  <c r="N6" i="3" s="1"/>
  <c r="O6" i="3" s="1"/>
  <c r="K7" i="3"/>
  <c r="L7" i="3" s="1"/>
  <c r="N7" i="3" s="1"/>
  <c r="O7" i="3" s="1"/>
  <c r="K8" i="3"/>
  <c r="L8" i="3" s="1"/>
  <c r="N8" i="3" s="1"/>
  <c r="O8" i="3" s="1"/>
  <c r="K9" i="3"/>
  <c r="L9" i="3" s="1"/>
  <c r="N9" i="3" s="1"/>
  <c r="O9" i="3" s="1"/>
  <c r="K10" i="3"/>
  <c r="L10" i="3" s="1"/>
  <c r="N10" i="3" s="1"/>
  <c r="O10" i="3" s="1"/>
  <c r="K11" i="3"/>
  <c r="L11" i="3" s="1"/>
  <c r="N11" i="3" s="1"/>
  <c r="O11" i="3" s="1"/>
  <c r="K12" i="3"/>
  <c r="L12" i="3" s="1"/>
  <c r="N12" i="3" s="1"/>
  <c r="O12" i="3" s="1"/>
  <c r="K13" i="3"/>
  <c r="L13" i="3" s="1"/>
  <c r="N13" i="3" s="1"/>
  <c r="O13" i="3" s="1"/>
  <c r="K14" i="3"/>
  <c r="L14" i="3" s="1"/>
  <c r="N14" i="3" s="1"/>
  <c r="O14" i="3" s="1"/>
  <c r="K15" i="3"/>
  <c r="L15" i="3" s="1"/>
  <c r="N15" i="3" s="1"/>
  <c r="O15" i="3" s="1"/>
  <c r="K16" i="3"/>
  <c r="L16" i="3" s="1"/>
  <c r="N16" i="3" s="1"/>
  <c r="O16" i="3" s="1"/>
  <c r="K17" i="3"/>
  <c r="L17" i="3" s="1"/>
  <c r="N17" i="3" s="1"/>
  <c r="O17" i="3" s="1"/>
  <c r="K18" i="3"/>
  <c r="L18" i="3" s="1"/>
  <c r="N18" i="3" s="1"/>
  <c r="O18" i="3" s="1"/>
  <c r="K19" i="3"/>
  <c r="L19" i="3" s="1"/>
  <c r="N19" i="3" s="1"/>
  <c r="O19" i="3" s="1"/>
  <c r="K20" i="3"/>
  <c r="L20" i="3" s="1"/>
  <c r="N20" i="3" s="1"/>
  <c r="O20" i="3" s="1"/>
  <c r="K21" i="3"/>
  <c r="L21" i="3" s="1"/>
  <c r="N21" i="3" s="1"/>
  <c r="O21" i="3" s="1"/>
  <c r="K22" i="3"/>
  <c r="L22" i="3" s="1"/>
  <c r="N22" i="3" s="1"/>
  <c r="O22" i="3" s="1"/>
  <c r="K23" i="3"/>
  <c r="L23" i="3" s="1"/>
  <c r="N23" i="3" s="1"/>
  <c r="O23" i="3" s="1"/>
  <c r="K24" i="3"/>
  <c r="L24" i="3" s="1"/>
  <c r="N24" i="3" s="1"/>
  <c r="O24" i="3" s="1"/>
  <c r="K25" i="3"/>
  <c r="L25" i="3" s="1"/>
  <c r="N25" i="3" s="1"/>
  <c r="O25" i="3" s="1"/>
  <c r="K26" i="3"/>
  <c r="L26" i="3" s="1"/>
  <c r="N26" i="3" s="1"/>
  <c r="O26" i="3" s="1"/>
  <c r="K27" i="3"/>
  <c r="L27" i="3" s="1"/>
  <c r="N27" i="3" s="1"/>
  <c r="O27" i="3" s="1"/>
  <c r="K28" i="3"/>
  <c r="L28" i="3" s="1"/>
  <c r="N28" i="3" s="1"/>
  <c r="O28" i="3" s="1"/>
  <c r="K29" i="3"/>
  <c r="L29" i="3" s="1"/>
  <c r="N29" i="3" s="1"/>
  <c r="O29" i="3" s="1"/>
  <c r="K30" i="3"/>
  <c r="L30" i="3" s="1"/>
  <c r="N30" i="3" s="1"/>
  <c r="O30" i="3" s="1"/>
  <c r="K31" i="3"/>
  <c r="L31" i="3" s="1"/>
  <c r="N31" i="3" s="1"/>
  <c r="O31" i="3" s="1"/>
  <c r="K32" i="3"/>
  <c r="L32" i="3" s="1"/>
  <c r="N32" i="3" s="1"/>
  <c r="O32" i="3" s="1"/>
  <c r="K33" i="3"/>
  <c r="L33" i="3" s="1"/>
  <c r="N33" i="3" s="1"/>
  <c r="O33" i="3" s="1"/>
  <c r="K34" i="3"/>
  <c r="L34" i="3" s="1"/>
  <c r="N34" i="3" s="1"/>
  <c r="O34" i="3" s="1"/>
  <c r="K35" i="3"/>
  <c r="L35" i="3" s="1"/>
  <c r="N35" i="3" s="1"/>
  <c r="O35" i="3" s="1"/>
  <c r="K36" i="3"/>
  <c r="L36" i="3" s="1"/>
  <c r="N36" i="3" s="1"/>
  <c r="O36" i="3" s="1"/>
  <c r="K37" i="3"/>
  <c r="L37" i="3" s="1"/>
  <c r="N37" i="3" s="1"/>
  <c r="O37" i="3" s="1"/>
  <c r="K38" i="3"/>
  <c r="L38" i="3" s="1"/>
  <c r="N38" i="3" s="1"/>
  <c r="O38" i="3" s="1"/>
  <c r="K39" i="3"/>
  <c r="L39" i="3" s="1"/>
  <c r="N39" i="3" s="1"/>
  <c r="O39" i="3" s="1"/>
  <c r="K40" i="3"/>
  <c r="L40" i="3" s="1"/>
  <c r="N40" i="3" s="1"/>
  <c r="O40" i="3" s="1"/>
  <c r="K41" i="3"/>
  <c r="L41" i="3" s="1"/>
  <c r="N41" i="3" s="1"/>
  <c r="O41" i="3" s="1"/>
  <c r="K42" i="3"/>
  <c r="L42" i="3" s="1"/>
  <c r="N42" i="3" s="1"/>
  <c r="O42" i="3" s="1"/>
  <c r="K43" i="3"/>
  <c r="L43" i="3" s="1"/>
  <c r="N43" i="3" s="1"/>
  <c r="O43" i="3" s="1"/>
  <c r="K44" i="3"/>
  <c r="L44" i="3" s="1"/>
  <c r="N44" i="3" s="1"/>
  <c r="O44" i="3" s="1"/>
  <c r="K45" i="3"/>
  <c r="L45" i="3" s="1"/>
  <c r="N45" i="3" s="1"/>
  <c r="O45" i="3" s="1"/>
  <c r="K46" i="3"/>
  <c r="L46" i="3" s="1"/>
  <c r="N46" i="3" s="1"/>
  <c r="O46" i="3" s="1"/>
  <c r="K47" i="3"/>
  <c r="L47" i="3" s="1"/>
  <c r="N47" i="3" s="1"/>
  <c r="O47" i="3" s="1"/>
  <c r="K48" i="3"/>
  <c r="L48" i="3" s="1"/>
  <c r="N48" i="3" s="1"/>
  <c r="O48" i="3" s="1"/>
  <c r="K49" i="3"/>
  <c r="L49" i="3" s="1"/>
  <c r="N49" i="3" s="1"/>
  <c r="O49" i="3" s="1"/>
  <c r="K50" i="3"/>
  <c r="L50" i="3" s="1"/>
  <c r="N50" i="3" s="1"/>
  <c r="O50" i="3" s="1"/>
  <c r="K51" i="3"/>
  <c r="L51" i="3" s="1"/>
  <c r="N51" i="3" s="1"/>
  <c r="O51" i="3" s="1"/>
  <c r="K52" i="3"/>
  <c r="L52" i="3" s="1"/>
  <c r="N52" i="3" s="1"/>
  <c r="O52" i="3" s="1"/>
  <c r="K53" i="3"/>
  <c r="L53" i="3" s="1"/>
  <c r="N53" i="3" s="1"/>
  <c r="O53" i="3" s="1"/>
  <c r="K54" i="3"/>
  <c r="L54" i="3" s="1"/>
  <c r="N54" i="3" s="1"/>
  <c r="O54" i="3" s="1"/>
  <c r="K55" i="3"/>
  <c r="L55" i="3" s="1"/>
  <c r="N55" i="3" s="1"/>
  <c r="O55" i="3" s="1"/>
  <c r="K56" i="3"/>
  <c r="L56" i="3" s="1"/>
  <c r="N56" i="3" s="1"/>
  <c r="O56" i="3" s="1"/>
  <c r="K57" i="3"/>
  <c r="L57" i="3" s="1"/>
  <c r="N57" i="3" s="1"/>
  <c r="O57" i="3" s="1"/>
  <c r="K58" i="3"/>
  <c r="L58" i="3" s="1"/>
  <c r="N58" i="3" s="1"/>
  <c r="O58" i="3" s="1"/>
  <c r="K59" i="3"/>
  <c r="L59" i="3" s="1"/>
  <c r="N59" i="3" s="1"/>
  <c r="O59" i="3" s="1"/>
  <c r="K60" i="3"/>
  <c r="L60" i="3" s="1"/>
  <c r="N60" i="3" s="1"/>
  <c r="O60" i="3" s="1"/>
  <c r="K61" i="3"/>
  <c r="L61" i="3" s="1"/>
  <c r="N61" i="3" s="1"/>
  <c r="O61" i="3" s="1"/>
  <c r="K62" i="3"/>
  <c r="L62" i="3" s="1"/>
  <c r="N62" i="3" s="1"/>
  <c r="O62" i="3" s="1"/>
  <c r="K63" i="3"/>
  <c r="L63" i="3" s="1"/>
  <c r="N63" i="3" s="1"/>
  <c r="O63" i="3" s="1"/>
  <c r="K64" i="3"/>
  <c r="L64" i="3" s="1"/>
  <c r="N64" i="3" s="1"/>
  <c r="O64" i="3" s="1"/>
  <c r="K65" i="3"/>
  <c r="L65" i="3" s="1"/>
  <c r="N65" i="3" s="1"/>
  <c r="O65" i="3" s="1"/>
  <c r="K66" i="3"/>
  <c r="L66" i="3" s="1"/>
  <c r="N66" i="3" s="1"/>
  <c r="O66" i="3" s="1"/>
  <c r="K67" i="3"/>
  <c r="L67" i="3" s="1"/>
  <c r="N67" i="3" s="1"/>
  <c r="O67" i="3" s="1"/>
  <c r="K68" i="3"/>
  <c r="L68" i="3" s="1"/>
  <c r="N68" i="3" s="1"/>
  <c r="O68" i="3" s="1"/>
  <c r="K69" i="3"/>
  <c r="L69" i="3" s="1"/>
  <c r="N69" i="3" s="1"/>
  <c r="O69" i="3" s="1"/>
  <c r="K70" i="3"/>
  <c r="L70" i="3" s="1"/>
  <c r="N70" i="3" s="1"/>
  <c r="O70" i="3" s="1"/>
  <c r="K71" i="3"/>
  <c r="L71" i="3" s="1"/>
  <c r="N71" i="3" s="1"/>
  <c r="O71" i="3" s="1"/>
  <c r="K72" i="3"/>
  <c r="L72" i="3" s="1"/>
  <c r="N72" i="3" s="1"/>
  <c r="O72" i="3" s="1"/>
  <c r="K73" i="3"/>
  <c r="L73" i="3" s="1"/>
  <c r="N73" i="3" s="1"/>
  <c r="O73" i="3" s="1"/>
  <c r="K74" i="3"/>
  <c r="L74" i="3" s="1"/>
  <c r="N74" i="3" s="1"/>
  <c r="O74" i="3" s="1"/>
  <c r="K75" i="3"/>
  <c r="L75" i="3" s="1"/>
  <c r="N75" i="3" s="1"/>
  <c r="O75" i="3" s="1"/>
  <c r="K76" i="3"/>
  <c r="L76" i="3" s="1"/>
  <c r="N76" i="3" s="1"/>
  <c r="O76" i="3" s="1"/>
  <c r="K77" i="3"/>
  <c r="L77" i="3" s="1"/>
  <c r="N77" i="3" s="1"/>
  <c r="O77" i="3" s="1"/>
  <c r="K78" i="3"/>
  <c r="L78" i="3" s="1"/>
  <c r="N78" i="3" s="1"/>
  <c r="O78" i="3" s="1"/>
  <c r="K79" i="3"/>
  <c r="L79" i="3" s="1"/>
  <c r="N79" i="3" s="1"/>
  <c r="O79" i="3" s="1"/>
  <c r="K80" i="3"/>
  <c r="L80" i="3" s="1"/>
  <c r="N80" i="3" s="1"/>
  <c r="O80" i="3" s="1"/>
  <c r="K81" i="3"/>
  <c r="L81" i="3" s="1"/>
  <c r="N81" i="3" s="1"/>
  <c r="O81" i="3" s="1"/>
  <c r="K82" i="3"/>
  <c r="L82" i="3" s="1"/>
  <c r="N82" i="3" s="1"/>
  <c r="O82" i="3" s="1"/>
  <c r="K83" i="3"/>
  <c r="L83" i="3" s="1"/>
  <c r="N83" i="3" s="1"/>
  <c r="O83" i="3" s="1"/>
  <c r="K84" i="3"/>
  <c r="L84" i="3" s="1"/>
  <c r="N84" i="3" s="1"/>
  <c r="O84" i="3" s="1"/>
  <c r="K85" i="3"/>
  <c r="L85" i="3" s="1"/>
  <c r="N85" i="3" s="1"/>
  <c r="O85" i="3" s="1"/>
  <c r="K86" i="3"/>
  <c r="L86" i="3" s="1"/>
  <c r="N86" i="3" s="1"/>
  <c r="O86" i="3" s="1"/>
  <c r="K87" i="3"/>
  <c r="L87" i="3" s="1"/>
  <c r="N87" i="3" s="1"/>
  <c r="O87" i="3" s="1"/>
  <c r="K88" i="3"/>
  <c r="L88" i="3" s="1"/>
  <c r="N88" i="3" s="1"/>
  <c r="O88" i="3" s="1"/>
  <c r="K89" i="3"/>
  <c r="L89" i="3" s="1"/>
  <c r="N89" i="3" s="1"/>
  <c r="O89" i="3" s="1"/>
  <c r="K90" i="3"/>
  <c r="L90" i="3" s="1"/>
  <c r="N90" i="3" s="1"/>
  <c r="O90" i="3" s="1"/>
  <c r="K91" i="3"/>
  <c r="L91" i="3" s="1"/>
  <c r="N91" i="3" s="1"/>
  <c r="O91" i="3" s="1"/>
  <c r="K92" i="3"/>
  <c r="L92" i="3" s="1"/>
  <c r="N92" i="3" s="1"/>
  <c r="O92" i="3" s="1"/>
  <c r="K93" i="3"/>
  <c r="L93" i="3" s="1"/>
  <c r="N93" i="3" s="1"/>
  <c r="O93" i="3" s="1"/>
  <c r="K94" i="3"/>
  <c r="L94" i="3" s="1"/>
  <c r="N94" i="3" s="1"/>
  <c r="O94" i="3" s="1"/>
  <c r="K95" i="3"/>
  <c r="L95" i="3" s="1"/>
  <c r="N95" i="3" s="1"/>
  <c r="O95" i="3" s="1"/>
  <c r="K96" i="3"/>
  <c r="L96" i="3" s="1"/>
  <c r="N96" i="3" s="1"/>
  <c r="O96" i="3" s="1"/>
  <c r="K97" i="3"/>
  <c r="L97" i="3" s="1"/>
  <c r="N97" i="3" s="1"/>
  <c r="O97" i="3" s="1"/>
  <c r="K98" i="3"/>
  <c r="L98" i="3" s="1"/>
  <c r="N98" i="3" s="1"/>
  <c r="O98" i="3" s="1"/>
  <c r="K99" i="3"/>
  <c r="L99" i="3" s="1"/>
  <c r="N99" i="3" s="1"/>
  <c r="O99" i="3" s="1"/>
  <c r="K100" i="3"/>
  <c r="L100" i="3" s="1"/>
  <c r="N100" i="3" s="1"/>
  <c r="O100" i="3" s="1"/>
  <c r="K101" i="3"/>
  <c r="L101" i="3" s="1"/>
  <c r="N101" i="3" s="1"/>
  <c r="O101" i="3" s="1"/>
  <c r="K102" i="3"/>
  <c r="L102" i="3" s="1"/>
  <c r="N102" i="3" s="1"/>
  <c r="O102" i="3" s="1"/>
  <c r="K103" i="3"/>
  <c r="L103" i="3" s="1"/>
  <c r="N103" i="3" s="1"/>
  <c r="O103" i="3" s="1"/>
  <c r="K104" i="3"/>
  <c r="L104" i="3" s="1"/>
  <c r="N104" i="3" s="1"/>
  <c r="O104" i="3" s="1"/>
  <c r="K105" i="3"/>
  <c r="L105" i="3" s="1"/>
  <c r="N105" i="3" s="1"/>
  <c r="O105" i="3" s="1"/>
  <c r="K106" i="3"/>
  <c r="L106" i="3" s="1"/>
  <c r="N106" i="3" s="1"/>
  <c r="O106" i="3" s="1"/>
  <c r="K107" i="3"/>
  <c r="L107" i="3" s="1"/>
  <c r="N107" i="3" s="1"/>
  <c r="O107" i="3" s="1"/>
  <c r="K108" i="3"/>
  <c r="L108" i="3" s="1"/>
  <c r="N108" i="3" s="1"/>
  <c r="O108" i="3" s="1"/>
  <c r="K109" i="3"/>
  <c r="L109" i="3" s="1"/>
  <c r="N109" i="3" s="1"/>
  <c r="O109" i="3" s="1"/>
  <c r="K110" i="3"/>
  <c r="L110" i="3" s="1"/>
  <c r="N110" i="3" s="1"/>
  <c r="O110" i="3" s="1"/>
  <c r="K111" i="3"/>
  <c r="L111" i="3" s="1"/>
  <c r="N111" i="3" s="1"/>
  <c r="O111" i="3" s="1"/>
  <c r="K112" i="3"/>
  <c r="L112" i="3" s="1"/>
  <c r="N112" i="3" s="1"/>
  <c r="O112" i="3" s="1"/>
  <c r="K113" i="3"/>
  <c r="L113" i="3" s="1"/>
  <c r="N113" i="3" s="1"/>
  <c r="O113" i="3" s="1"/>
  <c r="K114" i="3"/>
  <c r="L114" i="3" s="1"/>
  <c r="N114" i="3" s="1"/>
  <c r="O114" i="3" s="1"/>
  <c r="K115" i="3"/>
  <c r="L115" i="3" s="1"/>
  <c r="N115" i="3" s="1"/>
  <c r="O115" i="3" s="1"/>
  <c r="K116" i="3"/>
  <c r="L116" i="3" s="1"/>
  <c r="N116" i="3" s="1"/>
  <c r="O116" i="3" s="1"/>
  <c r="K117" i="3"/>
  <c r="L117" i="3" s="1"/>
  <c r="N117" i="3" s="1"/>
  <c r="O117" i="3" s="1"/>
  <c r="K118" i="3"/>
  <c r="L118" i="3" s="1"/>
  <c r="N118" i="3" s="1"/>
  <c r="O118" i="3" s="1"/>
  <c r="K119" i="3"/>
  <c r="L119" i="3" s="1"/>
  <c r="N119" i="3" s="1"/>
  <c r="O119" i="3" s="1"/>
  <c r="K120" i="3"/>
  <c r="L120" i="3" s="1"/>
  <c r="N120" i="3" s="1"/>
  <c r="O120" i="3" s="1"/>
  <c r="K121" i="3"/>
  <c r="L121" i="3" s="1"/>
  <c r="N121" i="3" s="1"/>
  <c r="O121" i="3" s="1"/>
  <c r="K122" i="3"/>
  <c r="L122" i="3" s="1"/>
  <c r="N122" i="3" s="1"/>
  <c r="O122" i="3" s="1"/>
  <c r="K123" i="3"/>
  <c r="L123" i="3" s="1"/>
  <c r="N123" i="3" s="1"/>
  <c r="O123" i="3" s="1"/>
  <c r="K124" i="3"/>
  <c r="L124" i="3" s="1"/>
  <c r="N124" i="3" s="1"/>
  <c r="O124" i="3" s="1"/>
  <c r="K125" i="3"/>
  <c r="L125" i="3" s="1"/>
  <c r="N125" i="3" s="1"/>
  <c r="O125" i="3" s="1"/>
  <c r="K126" i="3"/>
  <c r="L126" i="3" s="1"/>
  <c r="N126" i="3" s="1"/>
  <c r="O126" i="3" s="1"/>
  <c r="K127" i="3"/>
  <c r="L127" i="3" s="1"/>
  <c r="N127" i="3" s="1"/>
  <c r="O127" i="3" s="1"/>
  <c r="K128" i="3"/>
  <c r="L128" i="3" s="1"/>
  <c r="N128" i="3" s="1"/>
  <c r="O128" i="3" s="1"/>
  <c r="K129" i="3"/>
  <c r="L129" i="3" s="1"/>
  <c r="N129" i="3" s="1"/>
  <c r="O129" i="3" s="1"/>
  <c r="K130" i="3"/>
  <c r="L130" i="3" s="1"/>
  <c r="N130" i="3" s="1"/>
  <c r="O130" i="3" s="1"/>
  <c r="K131" i="3"/>
  <c r="L131" i="3" s="1"/>
  <c r="N131" i="3" s="1"/>
  <c r="O131" i="3" s="1"/>
  <c r="K132" i="3"/>
  <c r="L132" i="3" s="1"/>
  <c r="N132" i="3" s="1"/>
  <c r="O132" i="3" s="1"/>
  <c r="K133" i="3"/>
  <c r="L133" i="3" s="1"/>
  <c r="N133" i="3" s="1"/>
  <c r="O133" i="3" s="1"/>
  <c r="K134" i="3"/>
  <c r="L134" i="3" s="1"/>
  <c r="N134" i="3" s="1"/>
  <c r="O134" i="3" s="1"/>
  <c r="K135" i="3"/>
  <c r="L135" i="3" s="1"/>
  <c r="N135" i="3" s="1"/>
  <c r="O135" i="3" s="1"/>
  <c r="K136" i="3"/>
  <c r="L136" i="3" s="1"/>
  <c r="N136" i="3" s="1"/>
  <c r="O136" i="3" s="1"/>
  <c r="K137" i="3"/>
  <c r="L137" i="3" s="1"/>
  <c r="N137" i="3" s="1"/>
  <c r="O137" i="3" s="1"/>
  <c r="K138" i="3"/>
  <c r="L138" i="3" s="1"/>
  <c r="N138" i="3" s="1"/>
  <c r="O138" i="3" s="1"/>
  <c r="K139" i="3"/>
  <c r="L139" i="3" s="1"/>
  <c r="N139" i="3" s="1"/>
  <c r="O139" i="3" s="1"/>
  <c r="K140" i="3"/>
  <c r="L140" i="3" s="1"/>
  <c r="N140" i="3" s="1"/>
  <c r="O140" i="3" s="1"/>
  <c r="K141" i="3"/>
  <c r="L141" i="3" s="1"/>
  <c r="N141" i="3" s="1"/>
  <c r="O141" i="3" s="1"/>
  <c r="K142" i="3"/>
  <c r="L142" i="3" s="1"/>
  <c r="N142" i="3" s="1"/>
  <c r="O142" i="3" s="1"/>
  <c r="K143" i="3"/>
  <c r="L143" i="3" s="1"/>
  <c r="N143" i="3" s="1"/>
  <c r="O143" i="3" s="1"/>
  <c r="K144" i="3"/>
  <c r="L144" i="3" s="1"/>
  <c r="N144" i="3" s="1"/>
  <c r="O144" i="3" s="1"/>
  <c r="K145" i="3"/>
  <c r="L145" i="3" s="1"/>
  <c r="N145" i="3" s="1"/>
  <c r="O145" i="3" s="1"/>
  <c r="K146" i="3"/>
  <c r="L146" i="3" s="1"/>
  <c r="N146" i="3" s="1"/>
  <c r="O146" i="3" s="1"/>
  <c r="K147" i="3"/>
  <c r="L147" i="3" s="1"/>
  <c r="N147" i="3" s="1"/>
  <c r="O147" i="3" s="1"/>
  <c r="K148" i="3"/>
  <c r="L148" i="3" s="1"/>
  <c r="N148" i="3" s="1"/>
  <c r="O148" i="3" s="1"/>
  <c r="K149" i="3"/>
  <c r="L149" i="3" s="1"/>
  <c r="N149" i="3" s="1"/>
  <c r="O149" i="3" s="1"/>
  <c r="K150" i="3"/>
  <c r="L150" i="3" s="1"/>
  <c r="N150" i="3" s="1"/>
  <c r="O150" i="3" s="1"/>
  <c r="K151" i="3"/>
  <c r="L151" i="3" s="1"/>
  <c r="N151" i="3" s="1"/>
  <c r="O151" i="3" s="1"/>
  <c r="K152" i="3"/>
  <c r="L152" i="3" s="1"/>
  <c r="N152" i="3" s="1"/>
  <c r="O152" i="3" s="1"/>
  <c r="K153" i="3"/>
  <c r="L153" i="3" s="1"/>
  <c r="N153" i="3" s="1"/>
  <c r="O153" i="3" s="1"/>
  <c r="K154" i="3"/>
  <c r="L154" i="3" s="1"/>
  <c r="N154" i="3" s="1"/>
  <c r="O154" i="3" s="1"/>
  <c r="K155" i="3"/>
  <c r="L155" i="3" s="1"/>
  <c r="N155" i="3" s="1"/>
  <c r="O155" i="3" s="1"/>
  <c r="K156" i="3"/>
  <c r="L156" i="3" s="1"/>
  <c r="N156" i="3" s="1"/>
  <c r="O156" i="3" s="1"/>
  <c r="K157" i="3"/>
  <c r="L157" i="3" s="1"/>
  <c r="N157" i="3" s="1"/>
  <c r="O157" i="3" s="1"/>
  <c r="K158" i="3"/>
  <c r="L158" i="3" s="1"/>
  <c r="N158" i="3" s="1"/>
  <c r="O158" i="3" s="1"/>
  <c r="K159" i="3"/>
  <c r="L159" i="3" s="1"/>
  <c r="N159" i="3" s="1"/>
  <c r="O159" i="3" s="1"/>
  <c r="K160" i="3"/>
  <c r="L160" i="3" s="1"/>
  <c r="N160" i="3" s="1"/>
  <c r="O160" i="3" s="1"/>
  <c r="K161" i="3"/>
  <c r="L161" i="3" s="1"/>
  <c r="N161" i="3" s="1"/>
  <c r="O161" i="3" s="1"/>
  <c r="K162" i="3"/>
  <c r="L162" i="3" s="1"/>
  <c r="N162" i="3" s="1"/>
  <c r="O162" i="3" s="1"/>
  <c r="K163" i="3"/>
  <c r="L163" i="3" s="1"/>
  <c r="N163" i="3" s="1"/>
  <c r="O163" i="3" s="1"/>
  <c r="K164" i="3"/>
  <c r="L164" i="3" s="1"/>
  <c r="N164" i="3" s="1"/>
  <c r="O164" i="3" s="1"/>
  <c r="K165" i="3"/>
  <c r="L165" i="3" s="1"/>
  <c r="N165" i="3" s="1"/>
  <c r="O165" i="3" s="1"/>
  <c r="K166" i="3"/>
  <c r="L166" i="3" s="1"/>
  <c r="N166" i="3" s="1"/>
  <c r="O166" i="3" s="1"/>
  <c r="K167" i="3"/>
  <c r="L167" i="3" s="1"/>
  <c r="N167" i="3" s="1"/>
  <c r="O167" i="3" s="1"/>
  <c r="K168" i="3"/>
  <c r="L168" i="3" s="1"/>
  <c r="N168" i="3" s="1"/>
  <c r="O168" i="3" s="1"/>
  <c r="K169" i="3"/>
  <c r="L169" i="3" s="1"/>
  <c r="N169" i="3" s="1"/>
  <c r="O169" i="3" s="1"/>
  <c r="K170" i="3"/>
  <c r="L170" i="3" s="1"/>
  <c r="N170" i="3" s="1"/>
  <c r="O170" i="3" s="1"/>
  <c r="K171" i="3"/>
  <c r="L171" i="3" s="1"/>
  <c r="N171" i="3" s="1"/>
  <c r="O171" i="3" s="1"/>
  <c r="K172" i="3"/>
  <c r="L172" i="3" s="1"/>
  <c r="N172" i="3" s="1"/>
  <c r="O172" i="3" s="1"/>
  <c r="K173" i="3"/>
  <c r="L173" i="3" s="1"/>
  <c r="N173" i="3" s="1"/>
  <c r="O173" i="3" s="1"/>
  <c r="K174" i="3"/>
  <c r="L174" i="3" s="1"/>
  <c r="N174" i="3" s="1"/>
  <c r="O174" i="3" s="1"/>
  <c r="K175" i="3"/>
  <c r="L175" i="3" s="1"/>
  <c r="N175" i="3" s="1"/>
  <c r="O175" i="3" s="1"/>
  <c r="K176" i="3"/>
  <c r="L176" i="3" s="1"/>
  <c r="N176" i="3" s="1"/>
  <c r="O176" i="3" s="1"/>
  <c r="K177" i="3"/>
  <c r="L177" i="3" s="1"/>
  <c r="N177" i="3" s="1"/>
  <c r="O177" i="3" s="1"/>
  <c r="K178" i="3"/>
  <c r="L178" i="3" s="1"/>
  <c r="N178" i="3" s="1"/>
  <c r="O178" i="3" s="1"/>
  <c r="K179" i="3"/>
  <c r="L179" i="3" s="1"/>
  <c r="N179" i="3" s="1"/>
  <c r="O179" i="3" s="1"/>
  <c r="K180" i="3"/>
  <c r="L180" i="3" s="1"/>
  <c r="N180" i="3" s="1"/>
  <c r="O180" i="3" s="1"/>
  <c r="K181" i="3"/>
  <c r="L181" i="3" s="1"/>
  <c r="N181" i="3" s="1"/>
  <c r="O181" i="3" s="1"/>
  <c r="K182" i="3"/>
  <c r="L182" i="3" s="1"/>
  <c r="N182" i="3" s="1"/>
  <c r="O182" i="3" s="1"/>
  <c r="K183" i="3"/>
  <c r="L183" i="3" s="1"/>
  <c r="N183" i="3" s="1"/>
  <c r="O183" i="3" s="1"/>
  <c r="K184" i="3"/>
  <c r="L184" i="3" s="1"/>
  <c r="N184" i="3" s="1"/>
  <c r="O184" i="3" s="1"/>
  <c r="K185" i="3"/>
  <c r="L185" i="3" s="1"/>
  <c r="N185" i="3" s="1"/>
  <c r="O185" i="3" s="1"/>
  <c r="K186" i="3"/>
  <c r="L186" i="3" s="1"/>
  <c r="N186" i="3" s="1"/>
  <c r="O186" i="3" s="1"/>
  <c r="K187" i="3"/>
  <c r="L187" i="3" s="1"/>
  <c r="N187" i="3" s="1"/>
  <c r="O187" i="3" s="1"/>
  <c r="K188" i="3"/>
  <c r="L188" i="3" s="1"/>
  <c r="N188" i="3" s="1"/>
  <c r="O188" i="3" s="1"/>
  <c r="K189" i="3"/>
  <c r="L189" i="3" s="1"/>
  <c r="N189" i="3" s="1"/>
  <c r="O189" i="3" s="1"/>
  <c r="K190" i="3"/>
  <c r="L190" i="3" s="1"/>
  <c r="N190" i="3" s="1"/>
  <c r="O190" i="3" s="1"/>
  <c r="K191" i="3"/>
  <c r="L191" i="3" s="1"/>
  <c r="N191" i="3" s="1"/>
  <c r="O191" i="3" s="1"/>
  <c r="K192" i="3"/>
  <c r="L192" i="3" s="1"/>
  <c r="N192" i="3" s="1"/>
  <c r="O192" i="3" s="1"/>
  <c r="K193" i="3"/>
  <c r="L193" i="3" s="1"/>
  <c r="N193" i="3" s="1"/>
  <c r="O193" i="3" s="1"/>
  <c r="K194" i="3"/>
  <c r="L194" i="3" s="1"/>
  <c r="N194" i="3" s="1"/>
  <c r="O194" i="3" s="1"/>
  <c r="K195" i="3"/>
  <c r="L195" i="3" s="1"/>
  <c r="N195" i="3" s="1"/>
  <c r="O195" i="3" s="1"/>
  <c r="K196" i="3"/>
  <c r="L196" i="3" s="1"/>
  <c r="N196" i="3" s="1"/>
  <c r="O196" i="3" s="1"/>
  <c r="K197" i="3"/>
  <c r="L197" i="3" s="1"/>
  <c r="N197" i="3" s="1"/>
  <c r="O197" i="3" s="1"/>
  <c r="K198" i="3"/>
  <c r="L198" i="3" s="1"/>
  <c r="N198" i="3" s="1"/>
  <c r="O198" i="3" s="1"/>
  <c r="K199" i="3"/>
  <c r="L199" i="3" s="1"/>
  <c r="N199" i="3" s="1"/>
  <c r="O199" i="3" s="1"/>
  <c r="K200" i="3"/>
  <c r="L200" i="3" s="1"/>
  <c r="N200" i="3" s="1"/>
  <c r="O200" i="3" s="1"/>
  <c r="K201" i="3"/>
  <c r="L201" i="3" s="1"/>
  <c r="N201" i="3" s="1"/>
  <c r="O201" i="3" s="1"/>
  <c r="K202" i="3"/>
  <c r="L202" i="3" s="1"/>
  <c r="N202" i="3" s="1"/>
  <c r="O202" i="3" s="1"/>
  <c r="K203" i="3"/>
  <c r="L203" i="3" s="1"/>
  <c r="N203" i="3" s="1"/>
  <c r="O203" i="3" s="1"/>
  <c r="K204" i="3"/>
  <c r="L204" i="3" s="1"/>
  <c r="N204" i="3" s="1"/>
  <c r="O204" i="3" s="1"/>
  <c r="K205" i="3"/>
  <c r="L205" i="3" s="1"/>
  <c r="N205" i="3" s="1"/>
  <c r="O205" i="3" s="1"/>
  <c r="K206" i="3"/>
  <c r="L206" i="3" s="1"/>
  <c r="N206" i="3" s="1"/>
  <c r="O206" i="3" s="1"/>
  <c r="K207" i="3"/>
  <c r="L207" i="3" s="1"/>
  <c r="N207" i="3" s="1"/>
  <c r="O207" i="3" s="1"/>
  <c r="K208" i="3"/>
  <c r="L208" i="3" s="1"/>
  <c r="N208" i="3" s="1"/>
  <c r="O208" i="3" s="1"/>
  <c r="K209" i="3"/>
  <c r="L209" i="3" s="1"/>
  <c r="N209" i="3" s="1"/>
  <c r="O209" i="3" s="1"/>
  <c r="K210" i="3"/>
  <c r="L210" i="3" s="1"/>
  <c r="N210" i="3" s="1"/>
  <c r="O210" i="3" s="1"/>
  <c r="K211" i="3"/>
  <c r="L211" i="3" s="1"/>
  <c r="N211" i="3" s="1"/>
  <c r="O211" i="3" s="1"/>
  <c r="K212" i="3"/>
  <c r="L212" i="3" s="1"/>
  <c r="N212" i="3" s="1"/>
  <c r="O212" i="3" s="1"/>
  <c r="K213" i="3"/>
  <c r="L213" i="3" s="1"/>
  <c r="N213" i="3" s="1"/>
  <c r="O213" i="3" s="1"/>
  <c r="K214" i="3"/>
  <c r="L214" i="3" s="1"/>
  <c r="N214" i="3" s="1"/>
  <c r="O214" i="3" s="1"/>
  <c r="K215" i="3"/>
  <c r="L215" i="3" s="1"/>
  <c r="N215" i="3" s="1"/>
  <c r="O215" i="3" s="1"/>
  <c r="K216" i="3"/>
  <c r="L216" i="3" s="1"/>
  <c r="N216" i="3" s="1"/>
  <c r="O216" i="3" s="1"/>
  <c r="K217" i="3"/>
  <c r="L217" i="3" s="1"/>
  <c r="N217" i="3" s="1"/>
  <c r="O217" i="3" s="1"/>
  <c r="K218" i="3"/>
  <c r="L218" i="3" s="1"/>
  <c r="N218" i="3" s="1"/>
  <c r="O218" i="3" s="1"/>
  <c r="K219" i="3"/>
  <c r="L219" i="3" s="1"/>
  <c r="N219" i="3" s="1"/>
  <c r="O219" i="3" s="1"/>
  <c r="K220" i="3"/>
  <c r="L220" i="3" s="1"/>
  <c r="N220" i="3" s="1"/>
  <c r="O220" i="3" s="1"/>
  <c r="K221" i="3"/>
  <c r="L221" i="3" s="1"/>
  <c r="N221" i="3" s="1"/>
  <c r="O221" i="3" s="1"/>
  <c r="K222" i="3"/>
  <c r="L222" i="3" s="1"/>
  <c r="N222" i="3" s="1"/>
  <c r="O222" i="3" s="1"/>
  <c r="K223" i="3"/>
  <c r="L223" i="3" s="1"/>
  <c r="N223" i="3" s="1"/>
  <c r="O223" i="3" s="1"/>
  <c r="K224" i="3"/>
  <c r="L224" i="3" s="1"/>
  <c r="N224" i="3" s="1"/>
  <c r="O224" i="3" s="1"/>
  <c r="K225" i="3"/>
  <c r="L225" i="3" s="1"/>
  <c r="N225" i="3" s="1"/>
  <c r="O225" i="3" s="1"/>
  <c r="K226" i="3"/>
  <c r="L226" i="3" s="1"/>
  <c r="N226" i="3" s="1"/>
  <c r="O226" i="3" s="1"/>
  <c r="K227" i="3"/>
  <c r="L227" i="3" s="1"/>
  <c r="N227" i="3" s="1"/>
  <c r="O227" i="3" s="1"/>
  <c r="K228" i="3"/>
  <c r="L228" i="3" s="1"/>
  <c r="N228" i="3" s="1"/>
  <c r="O228" i="3" s="1"/>
  <c r="K229" i="3"/>
  <c r="L229" i="3" s="1"/>
  <c r="N229" i="3" s="1"/>
  <c r="O229" i="3" s="1"/>
  <c r="K230" i="3"/>
  <c r="L230" i="3" s="1"/>
  <c r="N230" i="3" s="1"/>
  <c r="O230" i="3" s="1"/>
  <c r="K231" i="3"/>
  <c r="L231" i="3" s="1"/>
  <c r="N231" i="3" s="1"/>
  <c r="O231" i="3" s="1"/>
  <c r="K232" i="3"/>
  <c r="L232" i="3" s="1"/>
  <c r="N232" i="3" s="1"/>
  <c r="O232" i="3" s="1"/>
  <c r="K233" i="3"/>
  <c r="L233" i="3" s="1"/>
  <c r="N233" i="3" s="1"/>
  <c r="O233" i="3" s="1"/>
  <c r="K234" i="3"/>
  <c r="L234" i="3" s="1"/>
  <c r="N234" i="3" s="1"/>
  <c r="O234" i="3" s="1"/>
  <c r="K235" i="3"/>
  <c r="L235" i="3" s="1"/>
  <c r="N235" i="3" s="1"/>
  <c r="O235" i="3" s="1"/>
  <c r="K236" i="3"/>
  <c r="L236" i="3" s="1"/>
  <c r="N236" i="3" s="1"/>
  <c r="O236" i="3" s="1"/>
  <c r="K237" i="3"/>
  <c r="L237" i="3" s="1"/>
  <c r="N237" i="3" s="1"/>
  <c r="O237" i="3" s="1"/>
  <c r="K238" i="3"/>
  <c r="L238" i="3" s="1"/>
  <c r="N238" i="3" s="1"/>
  <c r="O238" i="3" s="1"/>
  <c r="K239" i="3"/>
  <c r="L239" i="3" s="1"/>
  <c r="N239" i="3" s="1"/>
  <c r="O239" i="3" s="1"/>
  <c r="K240" i="3"/>
  <c r="L240" i="3" s="1"/>
  <c r="N240" i="3" s="1"/>
  <c r="O240" i="3" s="1"/>
  <c r="K241" i="3"/>
  <c r="L241" i="3" s="1"/>
  <c r="N241" i="3" s="1"/>
  <c r="O241" i="3" s="1"/>
  <c r="K242" i="3"/>
  <c r="L242" i="3" s="1"/>
  <c r="N242" i="3" s="1"/>
  <c r="O242" i="3" s="1"/>
  <c r="K243" i="3"/>
  <c r="L243" i="3" s="1"/>
  <c r="N243" i="3" s="1"/>
  <c r="O243" i="3" s="1"/>
  <c r="K244" i="3"/>
  <c r="L244" i="3" s="1"/>
  <c r="N244" i="3" s="1"/>
  <c r="O244" i="3" s="1"/>
  <c r="K245" i="3"/>
  <c r="L245" i="3" s="1"/>
  <c r="N245" i="3" s="1"/>
  <c r="O245" i="3" s="1"/>
  <c r="K246" i="3"/>
  <c r="L246" i="3" s="1"/>
  <c r="N246" i="3" s="1"/>
  <c r="O246" i="3" s="1"/>
  <c r="K247" i="3"/>
  <c r="L247" i="3" s="1"/>
  <c r="N247" i="3" s="1"/>
  <c r="O247" i="3" s="1"/>
  <c r="K248" i="3"/>
  <c r="L248" i="3" s="1"/>
  <c r="N248" i="3" s="1"/>
  <c r="O248" i="3" s="1"/>
  <c r="K249" i="3"/>
  <c r="L249" i="3" s="1"/>
  <c r="N249" i="3" s="1"/>
  <c r="O249" i="3" s="1"/>
  <c r="K250" i="3"/>
  <c r="L250" i="3" s="1"/>
  <c r="N250" i="3" s="1"/>
  <c r="O250" i="3" s="1"/>
  <c r="K251" i="3"/>
  <c r="L251" i="3" s="1"/>
  <c r="N251" i="3" s="1"/>
  <c r="O251" i="3" s="1"/>
  <c r="K252" i="3"/>
  <c r="L252" i="3" s="1"/>
  <c r="N252" i="3" s="1"/>
  <c r="O252" i="3" s="1"/>
  <c r="K253" i="3"/>
  <c r="L253" i="3" s="1"/>
  <c r="N253" i="3" s="1"/>
  <c r="O253" i="3" s="1"/>
  <c r="K254" i="3"/>
  <c r="L254" i="3" s="1"/>
  <c r="N254" i="3" s="1"/>
  <c r="O254" i="3" s="1"/>
  <c r="K255" i="3"/>
  <c r="L255" i="3" s="1"/>
  <c r="N255" i="3" s="1"/>
  <c r="O255" i="3" s="1"/>
  <c r="K256" i="3"/>
  <c r="L256" i="3" s="1"/>
  <c r="N256" i="3" s="1"/>
  <c r="O256" i="3" s="1"/>
  <c r="K257" i="3"/>
  <c r="L257" i="3" s="1"/>
  <c r="N257" i="3" s="1"/>
  <c r="O257" i="3" s="1"/>
  <c r="K258" i="3"/>
  <c r="L258" i="3" s="1"/>
  <c r="N258" i="3" s="1"/>
  <c r="O258" i="3" s="1"/>
  <c r="K259" i="3"/>
  <c r="L259" i="3" s="1"/>
  <c r="N259" i="3" s="1"/>
  <c r="O259" i="3" s="1"/>
  <c r="K260" i="3"/>
  <c r="L260" i="3" s="1"/>
  <c r="N260" i="3" s="1"/>
  <c r="O260" i="3" s="1"/>
  <c r="K261" i="3"/>
  <c r="L261" i="3" s="1"/>
  <c r="N261" i="3" s="1"/>
  <c r="O261" i="3" s="1"/>
  <c r="K262" i="3"/>
  <c r="L262" i="3" s="1"/>
  <c r="N262" i="3" s="1"/>
  <c r="O262" i="3" s="1"/>
  <c r="K263" i="3"/>
  <c r="L263" i="3" s="1"/>
  <c r="N263" i="3" s="1"/>
  <c r="O263" i="3" s="1"/>
  <c r="K264" i="3"/>
  <c r="L264" i="3" s="1"/>
  <c r="N264" i="3" s="1"/>
  <c r="O264" i="3" s="1"/>
  <c r="K265" i="3"/>
  <c r="L265" i="3" s="1"/>
  <c r="N265" i="3" s="1"/>
  <c r="O265" i="3" s="1"/>
  <c r="K266" i="3"/>
  <c r="L266" i="3" s="1"/>
  <c r="N266" i="3" s="1"/>
  <c r="O266" i="3" s="1"/>
  <c r="K267" i="3"/>
  <c r="L267" i="3" s="1"/>
  <c r="N267" i="3" s="1"/>
  <c r="O267" i="3" s="1"/>
  <c r="K268" i="3"/>
  <c r="L268" i="3" s="1"/>
  <c r="N268" i="3" s="1"/>
  <c r="O268" i="3" s="1"/>
  <c r="K269" i="3"/>
  <c r="L269" i="3" s="1"/>
  <c r="N269" i="3" s="1"/>
  <c r="O269" i="3" s="1"/>
  <c r="K270" i="3"/>
  <c r="L270" i="3" s="1"/>
  <c r="N270" i="3" s="1"/>
  <c r="O270" i="3" s="1"/>
  <c r="K271" i="3"/>
  <c r="L271" i="3" s="1"/>
  <c r="N271" i="3" s="1"/>
  <c r="O271" i="3" s="1"/>
  <c r="K272" i="3"/>
  <c r="L272" i="3" s="1"/>
  <c r="N272" i="3" s="1"/>
  <c r="O272" i="3" s="1"/>
  <c r="K273" i="3"/>
  <c r="L273" i="3" s="1"/>
  <c r="N273" i="3" s="1"/>
  <c r="O273" i="3" s="1"/>
  <c r="K274" i="3"/>
  <c r="L274" i="3" s="1"/>
  <c r="N274" i="3" s="1"/>
  <c r="O274" i="3" s="1"/>
  <c r="K275" i="3"/>
  <c r="L275" i="3" s="1"/>
  <c r="N275" i="3" s="1"/>
  <c r="O275" i="3" s="1"/>
  <c r="K276" i="3"/>
  <c r="L276" i="3" s="1"/>
  <c r="N276" i="3" s="1"/>
  <c r="O276" i="3" s="1"/>
  <c r="K277" i="3"/>
  <c r="L277" i="3" s="1"/>
  <c r="N277" i="3" s="1"/>
  <c r="O277" i="3" s="1"/>
  <c r="K278" i="3"/>
  <c r="L278" i="3" s="1"/>
  <c r="N278" i="3" s="1"/>
  <c r="O278" i="3" s="1"/>
  <c r="K279" i="3"/>
  <c r="L279" i="3" s="1"/>
  <c r="N279" i="3" s="1"/>
  <c r="O279" i="3" s="1"/>
  <c r="K280" i="3"/>
  <c r="L280" i="3" s="1"/>
  <c r="N280" i="3" s="1"/>
  <c r="O280" i="3" s="1"/>
  <c r="K281" i="3"/>
  <c r="L281" i="3" s="1"/>
  <c r="N281" i="3" s="1"/>
  <c r="O281" i="3" s="1"/>
  <c r="K282" i="3"/>
  <c r="L282" i="3" s="1"/>
  <c r="N282" i="3" s="1"/>
  <c r="O282" i="3" s="1"/>
  <c r="K283" i="3"/>
  <c r="L283" i="3" s="1"/>
  <c r="N283" i="3" s="1"/>
  <c r="O283" i="3" s="1"/>
  <c r="K284" i="3"/>
  <c r="L284" i="3" s="1"/>
  <c r="N284" i="3" s="1"/>
  <c r="O284" i="3" s="1"/>
  <c r="K285" i="3"/>
  <c r="L285" i="3" s="1"/>
  <c r="N285" i="3" s="1"/>
  <c r="O285" i="3" s="1"/>
  <c r="K286" i="3"/>
  <c r="L286" i="3" s="1"/>
  <c r="N286" i="3" s="1"/>
  <c r="O286" i="3" s="1"/>
  <c r="K287" i="3"/>
  <c r="L287" i="3" s="1"/>
  <c r="N287" i="3" s="1"/>
  <c r="O287" i="3" s="1"/>
  <c r="K288" i="3"/>
  <c r="L288" i="3" s="1"/>
  <c r="N288" i="3" s="1"/>
  <c r="O288" i="3" s="1"/>
  <c r="K289" i="3"/>
  <c r="L289" i="3" s="1"/>
  <c r="N289" i="3" s="1"/>
  <c r="O289" i="3" s="1"/>
  <c r="K290" i="3"/>
  <c r="L290" i="3" s="1"/>
  <c r="N290" i="3" s="1"/>
  <c r="O290" i="3" s="1"/>
  <c r="K291" i="3"/>
  <c r="L291" i="3" s="1"/>
  <c r="N291" i="3" s="1"/>
  <c r="O291" i="3" s="1"/>
  <c r="K292" i="3"/>
  <c r="L292" i="3" s="1"/>
  <c r="N292" i="3" s="1"/>
  <c r="O292" i="3" s="1"/>
  <c r="K293" i="3"/>
  <c r="L293" i="3" s="1"/>
  <c r="N293" i="3" s="1"/>
  <c r="O293" i="3" s="1"/>
  <c r="K294" i="3"/>
  <c r="L294" i="3" s="1"/>
  <c r="N294" i="3" s="1"/>
  <c r="O294" i="3" s="1"/>
  <c r="K295" i="3"/>
  <c r="L295" i="3" s="1"/>
  <c r="N295" i="3" s="1"/>
  <c r="O295" i="3" s="1"/>
  <c r="K296" i="3"/>
  <c r="L296" i="3" s="1"/>
  <c r="N296" i="3" s="1"/>
  <c r="O296" i="3" s="1"/>
  <c r="K297" i="3"/>
  <c r="L297" i="3" s="1"/>
  <c r="N297" i="3" s="1"/>
  <c r="O297" i="3" s="1"/>
  <c r="K298" i="3"/>
  <c r="L298" i="3" s="1"/>
  <c r="N298" i="3" s="1"/>
  <c r="O298" i="3" s="1"/>
  <c r="K299" i="3"/>
  <c r="L299" i="3" s="1"/>
  <c r="N299" i="3" s="1"/>
  <c r="O299" i="3" s="1"/>
  <c r="K300" i="3"/>
  <c r="L300" i="3" s="1"/>
  <c r="N300" i="3" s="1"/>
  <c r="O300" i="3" s="1"/>
  <c r="K301" i="3"/>
  <c r="L301" i="3" s="1"/>
  <c r="N301" i="3" s="1"/>
  <c r="O301" i="3" s="1"/>
  <c r="K302" i="3"/>
  <c r="L302" i="3" s="1"/>
  <c r="N302" i="3" s="1"/>
  <c r="O302" i="3" s="1"/>
  <c r="K303" i="3"/>
  <c r="L303" i="3" s="1"/>
  <c r="N303" i="3" s="1"/>
  <c r="O303" i="3" s="1"/>
  <c r="K304" i="3"/>
  <c r="L304" i="3" s="1"/>
  <c r="N304" i="3" s="1"/>
  <c r="O304" i="3" s="1"/>
  <c r="K305" i="3"/>
  <c r="L305" i="3" s="1"/>
  <c r="N305" i="3" s="1"/>
  <c r="O305" i="3" s="1"/>
  <c r="K306" i="3"/>
  <c r="L306" i="3" s="1"/>
  <c r="N306" i="3" s="1"/>
  <c r="O306" i="3" s="1"/>
  <c r="K307" i="3"/>
  <c r="L307" i="3" s="1"/>
  <c r="N307" i="3" s="1"/>
  <c r="O307" i="3" s="1"/>
  <c r="K308" i="3"/>
  <c r="L308" i="3" s="1"/>
  <c r="N308" i="3" s="1"/>
  <c r="O308" i="3" s="1"/>
  <c r="K309" i="3"/>
  <c r="L309" i="3" s="1"/>
  <c r="N309" i="3" s="1"/>
  <c r="O309" i="3" s="1"/>
  <c r="K310" i="3"/>
  <c r="L310" i="3" s="1"/>
  <c r="N310" i="3" s="1"/>
  <c r="O310" i="3" s="1"/>
  <c r="K311" i="3"/>
  <c r="L311" i="3" s="1"/>
  <c r="N311" i="3" s="1"/>
  <c r="O311" i="3" s="1"/>
  <c r="K312" i="3"/>
  <c r="L312" i="3" s="1"/>
  <c r="N312" i="3" s="1"/>
  <c r="O312" i="3" s="1"/>
  <c r="K313" i="3"/>
  <c r="L313" i="3" s="1"/>
  <c r="N313" i="3" s="1"/>
  <c r="O313" i="3" s="1"/>
  <c r="K314" i="3"/>
  <c r="L314" i="3" s="1"/>
  <c r="N314" i="3" s="1"/>
  <c r="O314" i="3" s="1"/>
  <c r="K315" i="3"/>
  <c r="L315" i="3" s="1"/>
  <c r="N315" i="3" s="1"/>
  <c r="O315" i="3" s="1"/>
  <c r="K316" i="3"/>
  <c r="L316" i="3" s="1"/>
  <c r="N316" i="3" s="1"/>
  <c r="O316" i="3" s="1"/>
  <c r="K317" i="3"/>
  <c r="L317" i="3" s="1"/>
  <c r="N317" i="3" s="1"/>
  <c r="O317" i="3" s="1"/>
  <c r="K318" i="3"/>
  <c r="L318" i="3" s="1"/>
  <c r="N318" i="3" s="1"/>
  <c r="O318" i="3" s="1"/>
  <c r="K319" i="3"/>
  <c r="L319" i="3" s="1"/>
  <c r="N319" i="3" s="1"/>
  <c r="O319" i="3" s="1"/>
  <c r="K320" i="3"/>
  <c r="L320" i="3" s="1"/>
  <c r="N320" i="3" s="1"/>
  <c r="O320" i="3" s="1"/>
  <c r="K321" i="3"/>
  <c r="L321" i="3" s="1"/>
  <c r="N321" i="3" s="1"/>
  <c r="O321" i="3" s="1"/>
  <c r="K322" i="3"/>
  <c r="L322" i="3" s="1"/>
  <c r="N322" i="3" s="1"/>
  <c r="O322" i="3" s="1"/>
  <c r="K323" i="3"/>
  <c r="L323" i="3" s="1"/>
  <c r="N323" i="3" s="1"/>
  <c r="O323" i="3" s="1"/>
  <c r="K324" i="3"/>
  <c r="L324" i="3" s="1"/>
  <c r="N324" i="3" s="1"/>
  <c r="O324" i="3" s="1"/>
  <c r="K325" i="3"/>
  <c r="L325" i="3" s="1"/>
  <c r="N325" i="3" s="1"/>
  <c r="O325" i="3" s="1"/>
  <c r="K326" i="3"/>
  <c r="L326" i="3" s="1"/>
  <c r="N326" i="3" s="1"/>
  <c r="O326" i="3" s="1"/>
  <c r="K327" i="3"/>
  <c r="L327" i="3" s="1"/>
  <c r="N327" i="3" s="1"/>
  <c r="O327" i="3" s="1"/>
  <c r="K328" i="3"/>
  <c r="L328" i="3" s="1"/>
  <c r="N328" i="3" s="1"/>
  <c r="O328" i="3" s="1"/>
  <c r="K329" i="3"/>
  <c r="L329" i="3" s="1"/>
  <c r="N329" i="3" s="1"/>
  <c r="O329" i="3" s="1"/>
  <c r="K330" i="3"/>
  <c r="L330" i="3" s="1"/>
  <c r="N330" i="3" s="1"/>
  <c r="O330" i="3" s="1"/>
  <c r="K331" i="3"/>
  <c r="L331" i="3" s="1"/>
  <c r="N331" i="3" s="1"/>
  <c r="O331" i="3" s="1"/>
  <c r="K332" i="3"/>
  <c r="L332" i="3" s="1"/>
  <c r="N332" i="3" s="1"/>
  <c r="O332" i="3" s="1"/>
  <c r="K333" i="3"/>
  <c r="L333" i="3" s="1"/>
  <c r="N333" i="3" s="1"/>
  <c r="O333" i="3" s="1"/>
  <c r="K334" i="3"/>
  <c r="L334" i="3" s="1"/>
  <c r="N334" i="3" s="1"/>
  <c r="O334" i="3" s="1"/>
  <c r="K335" i="3"/>
  <c r="L335" i="3" s="1"/>
  <c r="N335" i="3" s="1"/>
  <c r="O335" i="3" s="1"/>
  <c r="K336" i="3"/>
  <c r="L336" i="3" s="1"/>
  <c r="N336" i="3" s="1"/>
  <c r="O336" i="3" s="1"/>
  <c r="K337" i="3"/>
  <c r="L337" i="3" s="1"/>
  <c r="N337" i="3" s="1"/>
  <c r="O337" i="3" s="1"/>
  <c r="K338" i="3"/>
  <c r="L338" i="3" s="1"/>
  <c r="N338" i="3" s="1"/>
  <c r="O338" i="3" s="1"/>
  <c r="K339" i="3"/>
  <c r="L339" i="3" s="1"/>
  <c r="N339" i="3" s="1"/>
  <c r="O339" i="3" s="1"/>
  <c r="K340" i="3"/>
  <c r="L340" i="3" s="1"/>
  <c r="N340" i="3" s="1"/>
  <c r="O340" i="3" s="1"/>
  <c r="K341" i="3"/>
  <c r="L341" i="3" s="1"/>
  <c r="N341" i="3" s="1"/>
  <c r="O341" i="3" s="1"/>
  <c r="K342" i="3"/>
  <c r="L342" i="3" s="1"/>
  <c r="N342" i="3" s="1"/>
  <c r="O342" i="3" s="1"/>
  <c r="K343" i="3"/>
  <c r="L343" i="3" s="1"/>
  <c r="N343" i="3" s="1"/>
  <c r="O343" i="3" s="1"/>
  <c r="K344" i="3"/>
  <c r="L344" i="3" s="1"/>
  <c r="N344" i="3" s="1"/>
  <c r="O344" i="3" s="1"/>
  <c r="K345" i="3"/>
  <c r="L345" i="3" s="1"/>
  <c r="N345" i="3" s="1"/>
  <c r="O345" i="3" s="1"/>
  <c r="K346" i="3"/>
  <c r="L346" i="3" s="1"/>
  <c r="N346" i="3" s="1"/>
  <c r="O346" i="3" s="1"/>
  <c r="K347" i="3"/>
  <c r="L347" i="3" s="1"/>
  <c r="N347" i="3" s="1"/>
  <c r="O347" i="3" s="1"/>
  <c r="K348" i="3"/>
  <c r="L348" i="3" s="1"/>
  <c r="N348" i="3" s="1"/>
  <c r="O348" i="3" s="1"/>
  <c r="K349" i="3"/>
  <c r="L349" i="3" s="1"/>
  <c r="N349" i="3" s="1"/>
  <c r="O349" i="3" s="1"/>
  <c r="K350" i="3"/>
  <c r="L350" i="3" s="1"/>
  <c r="N350" i="3" s="1"/>
  <c r="O350" i="3" s="1"/>
  <c r="K351" i="3"/>
  <c r="L351" i="3" s="1"/>
  <c r="N351" i="3" s="1"/>
  <c r="O351" i="3" s="1"/>
  <c r="K352" i="3"/>
  <c r="L352" i="3" s="1"/>
  <c r="N352" i="3" s="1"/>
  <c r="O352" i="3" s="1"/>
  <c r="K353" i="3"/>
  <c r="L353" i="3" s="1"/>
  <c r="N353" i="3" s="1"/>
  <c r="O353" i="3" s="1"/>
  <c r="K354" i="3"/>
  <c r="L354" i="3" s="1"/>
  <c r="N354" i="3" s="1"/>
  <c r="O354" i="3" s="1"/>
  <c r="K355" i="3"/>
  <c r="L355" i="3" s="1"/>
  <c r="N355" i="3" s="1"/>
  <c r="O355" i="3" s="1"/>
  <c r="K356" i="3"/>
  <c r="L356" i="3" s="1"/>
  <c r="N356" i="3" s="1"/>
  <c r="O356" i="3" s="1"/>
  <c r="K357" i="3"/>
  <c r="L357" i="3" s="1"/>
  <c r="N357" i="3" s="1"/>
  <c r="O357" i="3" s="1"/>
  <c r="K358" i="3"/>
  <c r="L358" i="3" s="1"/>
  <c r="N358" i="3" s="1"/>
  <c r="O358" i="3" s="1"/>
  <c r="K359" i="3"/>
  <c r="L359" i="3" s="1"/>
  <c r="N359" i="3" s="1"/>
  <c r="O359" i="3" s="1"/>
  <c r="K360" i="3"/>
  <c r="L360" i="3" s="1"/>
  <c r="N360" i="3" s="1"/>
  <c r="O360" i="3" s="1"/>
  <c r="K361" i="3"/>
  <c r="L361" i="3" s="1"/>
  <c r="N361" i="3" s="1"/>
  <c r="O361" i="3" s="1"/>
  <c r="K362" i="3"/>
  <c r="L362" i="3" s="1"/>
  <c r="N362" i="3" s="1"/>
  <c r="O362" i="3" s="1"/>
  <c r="K363" i="3"/>
  <c r="L363" i="3" s="1"/>
  <c r="N363" i="3" s="1"/>
  <c r="O363" i="3" s="1"/>
  <c r="K364" i="3"/>
  <c r="L364" i="3" s="1"/>
  <c r="N364" i="3" s="1"/>
  <c r="O364" i="3" s="1"/>
  <c r="K365" i="3"/>
  <c r="L365" i="3" s="1"/>
  <c r="N365" i="3" s="1"/>
  <c r="O365" i="3" s="1"/>
  <c r="K366" i="3"/>
  <c r="L366" i="3" s="1"/>
  <c r="N366" i="3" s="1"/>
  <c r="O366" i="3" s="1"/>
  <c r="K367" i="3"/>
  <c r="L367" i="3" s="1"/>
  <c r="N367" i="3" s="1"/>
  <c r="O367" i="3" s="1"/>
  <c r="K368" i="3"/>
  <c r="L368" i="3" s="1"/>
  <c r="N368" i="3" s="1"/>
  <c r="O368" i="3" s="1"/>
  <c r="K369" i="3"/>
  <c r="L369" i="3" s="1"/>
  <c r="N369" i="3" s="1"/>
  <c r="O369" i="3" s="1"/>
  <c r="K370" i="3"/>
  <c r="L370" i="3" s="1"/>
  <c r="N370" i="3" s="1"/>
  <c r="O370" i="3" s="1"/>
  <c r="K371" i="3"/>
  <c r="L371" i="3" s="1"/>
  <c r="N371" i="3" s="1"/>
  <c r="O371" i="3" s="1"/>
  <c r="K372" i="3"/>
  <c r="L372" i="3" s="1"/>
  <c r="N372" i="3" s="1"/>
  <c r="O372" i="3" s="1"/>
  <c r="K373" i="3"/>
  <c r="L373" i="3" s="1"/>
  <c r="N373" i="3" s="1"/>
  <c r="O373" i="3" s="1"/>
  <c r="K374" i="3"/>
  <c r="L374" i="3" s="1"/>
  <c r="N374" i="3" s="1"/>
  <c r="O374" i="3" s="1"/>
  <c r="K375" i="3"/>
  <c r="L375" i="3" s="1"/>
  <c r="N375" i="3" s="1"/>
  <c r="O375" i="3" s="1"/>
  <c r="K376" i="3"/>
  <c r="L376" i="3" s="1"/>
  <c r="N376" i="3" s="1"/>
  <c r="O376" i="3" s="1"/>
  <c r="K377" i="3"/>
  <c r="L377" i="3" s="1"/>
  <c r="N377" i="3" s="1"/>
  <c r="O377" i="3" s="1"/>
  <c r="K378" i="3"/>
  <c r="L378" i="3" s="1"/>
  <c r="N378" i="3" s="1"/>
  <c r="O378" i="3" s="1"/>
  <c r="K379" i="3"/>
  <c r="L379" i="3" s="1"/>
  <c r="N379" i="3" s="1"/>
  <c r="O379" i="3" s="1"/>
  <c r="K380" i="3"/>
  <c r="L380" i="3" s="1"/>
  <c r="N380" i="3" s="1"/>
  <c r="O380" i="3" s="1"/>
  <c r="K381" i="3"/>
  <c r="L381" i="3" s="1"/>
  <c r="N381" i="3" s="1"/>
  <c r="O381" i="3" s="1"/>
  <c r="K382" i="3"/>
  <c r="L382" i="3" s="1"/>
  <c r="N382" i="3" s="1"/>
  <c r="O382" i="3" s="1"/>
  <c r="K383" i="3"/>
  <c r="L383" i="3" s="1"/>
  <c r="N383" i="3" s="1"/>
  <c r="O383" i="3" s="1"/>
  <c r="K384" i="3"/>
  <c r="L384" i="3" s="1"/>
  <c r="N384" i="3" s="1"/>
  <c r="O384" i="3" s="1"/>
  <c r="K385" i="3"/>
  <c r="L385" i="3" s="1"/>
  <c r="N385" i="3" s="1"/>
  <c r="O385" i="3" s="1"/>
  <c r="K386" i="3"/>
  <c r="L386" i="3" s="1"/>
  <c r="N386" i="3" s="1"/>
  <c r="O386" i="3" s="1"/>
  <c r="K387" i="3"/>
  <c r="L387" i="3" s="1"/>
  <c r="N387" i="3" s="1"/>
  <c r="O387" i="3" s="1"/>
  <c r="K388" i="3"/>
  <c r="L388" i="3" s="1"/>
  <c r="N388" i="3" s="1"/>
  <c r="O388" i="3" s="1"/>
  <c r="K389" i="3"/>
  <c r="L389" i="3" s="1"/>
  <c r="N389" i="3" s="1"/>
  <c r="O389" i="3" s="1"/>
  <c r="K390" i="3"/>
  <c r="L390" i="3" s="1"/>
  <c r="N390" i="3" s="1"/>
  <c r="O390" i="3" s="1"/>
  <c r="K391" i="3"/>
  <c r="L391" i="3" s="1"/>
  <c r="N391" i="3" s="1"/>
  <c r="O391" i="3" s="1"/>
  <c r="K392" i="3"/>
  <c r="L392" i="3" s="1"/>
  <c r="N392" i="3" s="1"/>
  <c r="O392" i="3" s="1"/>
  <c r="K393" i="3"/>
  <c r="L393" i="3" s="1"/>
  <c r="N393" i="3" s="1"/>
  <c r="O393" i="3" s="1"/>
  <c r="K394" i="3"/>
  <c r="L394" i="3" s="1"/>
  <c r="N394" i="3" s="1"/>
  <c r="O394" i="3" s="1"/>
  <c r="K395" i="3"/>
  <c r="L395" i="3" s="1"/>
  <c r="N395" i="3" s="1"/>
  <c r="O395" i="3" s="1"/>
  <c r="K396" i="3"/>
  <c r="L396" i="3" s="1"/>
  <c r="N396" i="3" s="1"/>
  <c r="O396" i="3" s="1"/>
  <c r="K397" i="3"/>
  <c r="L397" i="3" s="1"/>
  <c r="N397" i="3" s="1"/>
  <c r="O397" i="3" s="1"/>
  <c r="K398" i="3"/>
  <c r="L398" i="3" s="1"/>
  <c r="N398" i="3" s="1"/>
  <c r="O398" i="3" s="1"/>
  <c r="K399" i="3"/>
  <c r="L399" i="3" s="1"/>
  <c r="N399" i="3" s="1"/>
  <c r="O399" i="3" s="1"/>
  <c r="K400" i="3"/>
  <c r="L400" i="3" s="1"/>
  <c r="N400" i="3" s="1"/>
  <c r="O400" i="3" s="1"/>
  <c r="K401" i="3"/>
  <c r="L401" i="3" s="1"/>
  <c r="N401" i="3" s="1"/>
  <c r="O401" i="3" s="1"/>
  <c r="K402" i="3"/>
  <c r="L402" i="3" s="1"/>
  <c r="N402" i="3" s="1"/>
  <c r="O402" i="3" s="1"/>
  <c r="K403" i="3"/>
  <c r="L403" i="3" s="1"/>
  <c r="N403" i="3" s="1"/>
  <c r="O403" i="3" s="1"/>
  <c r="K404" i="3"/>
  <c r="L404" i="3" s="1"/>
  <c r="N404" i="3" s="1"/>
  <c r="O404" i="3" s="1"/>
  <c r="K405" i="3"/>
  <c r="L405" i="3" s="1"/>
  <c r="N405" i="3" s="1"/>
  <c r="O405" i="3" s="1"/>
  <c r="K406" i="3"/>
  <c r="L406" i="3" s="1"/>
  <c r="N406" i="3" s="1"/>
  <c r="O406" i="3" s="1"/>
  <c r="K407" i="3"/>
  <c r="L407" i="3" s="1"/>
  <c r="N407" i="3" s="1"/>
  <c r="O407" i="3" s="1"/>
  <c r="K408" i="3"/>
  <c r="L408" i="3" s="1"/>
  <c r="N408" i="3" s="1"/>
  <c r="O408" i="3" s="1"/>
  <c r="K409" i="3"/>
  <c r="L409" i="3" s="1"/>
  <c r="N409" i="3" s="1"/>
  <c r="O409" i="3" s="1"/>
  <c r="K410" i="3"/>
  <c r="L410" i="3" s="1"/>
  <c r="N410" i="3" s="1"/>
  <c r="O410" i="3" s="1"/>
  <c r="K411" i="3"/>
  <c r="L411" i="3" s="1"/>
  <c r="N411" i="3" s="1"/>
  <c r="O411" i="3" s="1"/>
  <c r="K412" i="3"/>
  <c r="L412" i="3" s="1"/>
  <c r="N412" i="3" s="1"/>
  <c r="O412" i="3" s="1"/>
  <c r="K413" i="3"/>
  <c r="L413" i="3" s="1"/>
  <c r="N413" i="3" s="1"/>
  <c r="O413" i="3" s="1"/>
  <c r="K414" i="3"/>
  <c r="L414" i="3" s="1"/>
  <c r="N414" i="3" s="1"/>
  <c r="O414" i="3" s="1"/>
  <c r="K415" i="3"/>
  <c r="L415" i="3" s="1"/>
  <c r="N415" i="3" s="1"/>
  <c r="O415" i="3" s="1"/>
  <c r="K416" i="3"/>
  <c r="L416" i="3" s="1"/>
  <c r="N416" i="3" s="1"/>
  <c r="O416" i="3" s="1"/>
  <c r="K417" i="3"/>
  <c r="L417" i="3" s="1"/>
  <c r="N417" i="3" s="1"/>
  <c r="O417" i="3" s="1"/>
  <c r="K418" i="3"/>
  <c r="L418" i="3" s="1"/>
  <c r="N418" i="3" s="1"/>
  <c r="O418" i="3" s="1"/>
  <c r="K419" i="3"/>
  <c r="L419" i="3" s="1"/>
  <c r="N419" i="3" s="1"/>
  <c r="O419" i="3" s="1"/>
  <c r="K420" i="3"/>
  <c r="L420" i="3" s="1"/>
  <c r="N420" i="3" s="1"/>
  <c r="O420" i="3" s="1"/>
  <c r="K421" i="3"/>
  <c r="L421" i="3" s="1"/>
  <c r="N421" i="3" s="1"/>
  <c r="O421" i="3" s="1"/>
  <c r="K422" i="3"/>
  <c r="L422" i="3" s="1"/>
  <c r="N422" i="3" s="1"/>
  <c r="O422" i="3" s="1"/>
  <c r="K423" i="3"/>
  <c r="L423" i="3" s="1"/>
  <c r="N423" i="3" s="1"/>
  <c r="O423" i="3" s="1"/>
  <c r="K424" i="3"/>
  <c r="L424" i="3" s="1"/>
  <c r="N424" i="3" s="1"/>
  <c r="O424" i="3" s="1"/>
  <c r="K425" i="3"/>
  <c r="L425" i="3" s="1"/>
  <c r="N425" i="3" s="1"/>
  <c r="O425" i="3" s="1"/>
  <c r="K426" i="3"/>
  <c r="L426" i="3" s="1"/>
  <c r="N426" i="3" s="1"/>
  <c r="O426" i="3" s="1"/>
  <c r="K427" i="3"/>
  <c r="L427" i="3" s="1"/>
  <c r="N427" i="3" s="1"/>
  <c r="O427" i="3" s="1"/>
  <c r="K428" i="3"/>
  <c r="L428" i="3" s="1"/>
  <c r="N428" i="3" s="1"/>
  <c r="O428" i="3" s="1"/>
  <c r="K429" i="3"/>
  <c r="L429" i="3" s="1"/>
  <c r="N429" i="3" s="1"/>
  <c r="O429" i="3" s="1"/>
  <c r="K430" i="3"/>
  <c r="L430" i="3" s="1"/>
  <c r="N430" i="3" s="1"/>
  <c r="O430" i="3" s="1"/>
  <c r="K431" i="3"/>
  <c r="L431" i="3" s="1"/>
  <c r="N431" i="3" s="1"/>
  <c r="O431" i="3" s="1"/>
  <c r="K432" i="3"/>
  <c r="L432" i="3" s="1"/>
  <c r="N432" i="3" s="1"/>
  <c r="O432" i="3" s="1"/>
  <c r="K433" i="3"/>
  <c r="L433" i="3" s="1"/>
  <c r="N433" i="3" s="1"/>
  <c r="O433" i="3" s="1"/>
  <c r="K434" i="3"/>
  <c r="L434" i="3" s="1"/>
  <c r="N434" i="3" s="1"/>
  <c r="O434" i="3" s="1"/>
  <c r="K435" i="3"/>
  <c r="L435" i="3" s="1"/>
  <c r="N435" i="3" s="1"/>
  <c r="O435" i="3" s="1"/>
  <c r="K436" i="3"/>
  <c r="L436" i="3" s="1"/>
  <c r="N436" i="3" s="1"/>
  <c r="O436" i="3" s="1"/>
  <c r="K437" i="3"/>
  <c r="L437" i="3" s="1"/>
  <c r="N437" i="3" s="1"/>
  <c r="O437" i="3" s="1"/>
  <c r="K438" i="3"/>
  <c r="L438" i="3" s="1"/>
  <c r="N438" i="3" s="1"/>
  <c r="O438" i="3" s="1"/>
  <c r="K439" i="3"/>
  <c r="L439" i="3" s="1"/>
  <c r="N439" i="3" s="1"/>
  <c r="O439" i="3" s="1"/>
  <c r="K440" i="3"/>
  <c r="L440" i="3" s="1"/>
  <c r="N440" i="3" s="1"/>
  <c r="O440" i="3" s="1"/>
  <c r="K441" i="3"/>
  <c r="L441" i="3" s="1"/>
  <c r="N441" i="3" s="1"/>
  <c r="O441" i="3" s="1"/>
  <c r="K442" i="3"/>
  <c r="L442" i="3" s="1"/>
  <c r="N442" i="3" s="1"/>
  <c r="O442" i="3" s="1"/>
  <c r="K443" i="3"/>
  <c r="L443" i="3" s="1"/>
  <c r="N443" i="3" s="1"/>
  <c r="O443" i="3" s="1"/>
  <c r="K444" i="3"/>
  <c r="L444" i="3" s="1"/>
  <c r="N444" i="3" s="1"/>
  <c r="O444" i="3" s="1"/>
  <c r="K445" i="3"/>
  <c r="L445" i="3" s="1"/>
  <c r="N445" i="3" s="1"/>
  <c r="O445" i="3" s="1"/>
  <c r="K446" i="3"/>
  <c r="L446" i="3" s="1"/>
  <c r="N446" i="3" s="1"/>
  <c r="O446" i="3" s="1"/>
  <c r="K447" i="3"/>
  <c r="L447" i="3" s="1"/>
  <c r="N447" i="3" s="1"/>
  <c r="O447" i="3" s="1"/>
  <c r="K448" i="3"/>
  <c r="L448" i="3" s="1"/>
  <c r="N448" i="3" s="1"/>
  <c r="O448" i="3" s="1"/>
  <c r="K449" i="3"/>
  <c r="L449" i="3" s="1"/>
  <c r="N449" i="3" s="1"/>
  <c r="O449" i="3" s="1"/>
  <c r="K450" i="3"/>
  <c r="L450" i="3" s="1"/>
  <c r="N450" i="3" s="1"/>
  <c r="O450" i="3" s="1"/>
  <c r="K451" i="3"/>
  <c r="L451" i="3" s="1"/>
  <c r="N451" i="3" s="1"/>
  <c r="O451" i="3" s="1"/>
  <c r="K452" i="3"/>
  <c r="L452" i="3" s="1"/>
  <c r="N452" i="3" s="1"/>
  <c r="O452" i="3" s="1"/>
  <c r="K453" i="3"/>
  <c r="L453" i="3" s="1"/>
  <c r="N453" i="3" s="1"/>
  <c r="O453" i="3" s="1"/>
  <c r="K454" i="3"/>
  <c r="L454" i="3" s="1"/>
  <c r="N454" i="3" s="1"/>
  <c r="O454" i="3" s="1"/>
  <c r="K455" i="3"/>
  <c r="L455" i="3" s="1"/>
  <c r="N455" i="3" s="1"/>
  <c r="O455" i="3" s="1"/>
  <c r="K456" i="3"/>
  <c r="L456" i="3" s="1"/>
  <c r="N456" i="3" s="1"/>
  <c r="O456" i="3" s="1"/>
  <c r="K457" i="3"/>
  <c r="L457" i="3" s="1"/>
  <c r="N457" i="3" s="1"/>
  <c r="O457" i="3" s="1"/>
  <c r="K458" i="3"/>
  <c r="L458" i="3" s="1"/>
  <c r="N458" i="3" s="1"/>
  <c r="O458" i="3" s="1"/>
  <c r="K459" i="3"/>
  <c r="L459" i="3" s="1"/>
  <c r="N459" i="3" s="1"/>
  <c r="O459" i="3" s="1"/>
  <c r="K460" i="3"/>
  <c r="L460" i="3" s="1"/>
  <c r="N460" i="3" s="1"/>
  <c r="O460" i="3" s="1"/>
  <c r="K461" i="3"/>
  <c r="L461" i="3" s="1"/>
  <c r="N461" i="3" s="1"/>
  <c r="O461" i="3" s="1"/>
  <c r="K462" i="3"/>
  <c r="L462" i="3" s="1"/>
  <c r="N462" i="3" s="1"/>
  <c r="O462" i="3" s="1"/>
  <c r="K463" i="3"/>
  <c r="L463" i="3" s="1"/>
  <c r="N463" i="3" s="1"/>
  <c r="O463" i="3" s="1"/>
  <c r="K464" i="3"/>
  <c r="L464" i="3" s="1"/>
  <c r="N464" i="3" s="1"/>
  <c r="O464" i="3" s="1"/>
  <c r="K465" i="3"/>
  <c r="L465" i="3" s="1"/>
  <c r="N465" i="3" s="1"/>
  <c r="O465" i="3" s="1"/>
  <c r="K466" i="3"/>
  <c r="L466" i="3" s="1"/>
  <c r="N466" i="3" s="1"/>
  <c r="O466" i="3" s="1"/>
  <c r="K467" i="3"/>
  <c r="L467" i="3" s="1"/>
  <c r="N467" i="3" s="1"/>
  <c r="O467" i="3" s="1"/>
  <c r="K468" i="3"/>
  <c r="L468" i="3" s="1"/>
  <c r="N468" i="3" s="1"/>
  <c r="O468" i="3" s="1"/>
  <c r="K469" i="3"/>
  <c r="L469" i="3" s="1"/>
  <c r="N469" i="3" s="1"/>
  <c r="O469" i="3" s="1"/>
  <c r="K470" i="3"/>
  <c r="L470" i="3" s="1"/>
  <c r="N470" i="3" s="1"/>
  <c r="O470" i="3" s="1"/>
  <c r="K471" i="3"/>
  <c r="L471" i="3" s="1"/>
  <c r="N471" i="3" s="1"/>
  <c r="O471" i="3" s="1"/>
  <c r="K472" i="3"/>
  <c r="L472" i="3" s="1"/>
  <c r="N472" i="3" s="1"/>
  <c r="O472" i="3" s="1"/>
  <c r="K473" i="3"/>
  <c r="L473" i="3" s="1"/>
  <c r="N473" i="3" s="1"/>
  <c r="O473" i="3" s="1"/>
  <c r="K474" i="3"/>
  <c r="L474" i="3" s="1"/>
  <c r="N474" i="3" s="1"/>
  <c r="O474" i="3" s="1"/>
  <c r="K475" i="3"/>
  <c r="L475" i="3" s="1"/>
  <c r="N475" i="3" s="1"/>
  <c r="O475" i="3" s="1"/>
  <c r="K476" i="3"/>
  <c r="L476" i="3" s="1"/>
  <c r="N476" i="3" s="1"/>
  <c r="O476" i="3" s="1"/>
  <c r="K477" i="3"/>
  <c r="L477" i="3" s="1"/>
  <c r="N477" i="3" s="1"/>
  <c r="O477" i="3" s="1"/>
  <c r="K478" i="3"/>
  <c r="L478" i="3" s="1"/>
  <c r="N478" i="3" s="1"/>
  <c r="O478" i="3" s="1"/>
  <c r="K479" i="3"/>
  <c r="L479" i="3" s="1"/>
  <c r="N479" i="3" s="1"/>
  <c r="O479" i="3" s="1"/>
  <c r="K480" i="3"/>
  <c r="L480" i="3" s="1"/>
  <c r="N480" i="3" s="1"/>
  <c r="O480" i="3" s="1"/>
  <c r="K481" i="3"/>
  <c r="L481" i="3" s="1"/>
  <c r="N481" i="3" s="1"/>
  <c r="O481" i="3" s="1"/>
  <c r="K482" i="3"/>
  <c r="L482" i="3" s="1"/>
  <c r="N482" i="3" s="1"/>
  <c r="O482" i="3" s="1"/>
  <c r="K483" i="3"/>
  <c r="L483" i="3" s="1"/>
  <c r="N483" i="3" s="1"/>
  <c r="O483" i="3" s="1"/>
  <c r="K484" i="3"/>
  <c r="L484" i="3" s="1"/>
  <c r="N484" i="3" s="1"/>
  <c r="O484" i="3" s="1"/>
  <c r="K485" i="3"/>
  <c r="L485" i="3" s="1"/>
  <c r="N485" i="3" s="1"/>
  <c r="O485" i="3" s="1"/>
  <c r="K486" i="3"/>
  <c r="L486" i="3" s="1"/>
  <c r="N486" i="3" s="1"/>
  <c r="O486" i="3" s="1"/>
  <c r="K487" i="3"/>
  <c r="L487" i="3" s="1"/>
  <c r="N487" i="3" s="1"/>
  <c r="O487" i="3" s="1"/>
  <c r="K488" i="3"/>
  <c r="L488" i="3" s="1"/>
  <c r="N488" i="3" s="1"/>
  <c r="O488" i="3" s="1"/>
  <c r="K489" i="3"/>
  <c r="L489" i="3" s="1"/>
  <c r="N489" i="3" s="1"/>
  <c r="O489" i="3" s="1"/>
  <c r="K490" i="3"/>
  <c r="L490" i="3" s="1"/>
  <c r="N490" i="3" s="1"/>
  <c r="O490" i="3" s="1"/>
  <c r="K491" i="3"/>
  <c r="L491" i="3" s="1"/>
  <c r="N491" i="3" s="1"/>
  <c r="O491" i="3" s="1"/>
  <c r="K492" i="3"/>
  <c r="L492" i="3" s="1"/>
  <c r="N492" i="3" s="1"/>
  <c r="O492" i="3" s="1"/>
  <c r="K493" i="3"/>
  <c r="L493" i="3" s="1"/>
  <c r="N493" i="3" s="1"/>
  <c r="O493" i="3" s="1"/>
  <c r="K494" i="3"/>
  <c r="L494" i="3" s="1"/>
  <c r="N494" i="3" s="1"/>
  <c r="O494" i="3" s="1"/>
  <c r="K495" i="3"/>
  <c r="L495" i="3" s="1"/>
  <c r="N495" i="3" s="1"/>
  <c r="O495" i="3" s="1"/>
  <c r="K496" i="3"/>
  <c r="L496" i="3" s="1"/>
  <c r="N496" i="3" s="1"/>
  <c r="O496" i="3" s="1"/>
  <c r="K497" i="3"/>
  <c r="L497" i="3" s="1"/>
  <c r="N497" i="3" s="1"/>
  <c r="O497" i="3" s="1"/>
  <c r="K498" i="3"/>
  <c r="L498" i="3" s="1"/>
  <c r="N498" i="3" s="1"/>
  <c r="O498" i="3" s="1"/>
  <c r="K499" i="3"/>
  <c r="L499" i="3" s="1"/>
  <c r="N499" i="3" s="1"/>
  <c r="O499" i="3" s="1"/>
  <c r="K500" i="3"/>
  <c r="L500" i="3" s="1"/>
  <c r="N500" i="3" s="1"/>
  <c r="O500" i="3" s="1"/>
  <c r="K501" i="3"/>
  <c r="L501" i="3" s="1"/>
  <c r="N501" i="3" s="1"/>
  <c r="O501" i="3" s="1"/>
  <c r="K502" i="3"/>
  <c r="L502" i="3" s="1"/>
  <c r="N502" i="3" s="1"/>
  <c r="O502" i="3" s="1"/>
  <c r="K503" i="3"/>
  <c r="L503" i="3" s="1"/>
  <c r="N503" i="3" s="1"/>
  <c r="O503" i="3" s="1"/>
  <c r="K504" i="3"/>
  <c r="L504" i="3" s="1"/>
  <c r="N504" i="3" s="1"/>
  <c r="O504" i="3" s="1"/>
  <c r="K505" i="3"/>
  <c r="L505" i="3" s="1"/>
  <c r="N505" i="3" s="1"/>
  <c r="O505" i="3" s="1"/>
  <c r="K506" i="3"/>
  <c r="L506" i="3" s="1"/>
  <c r="N506" i="3" s="1"/>
  <c r="O506" i="3" s="1"/>
  <c r="K507" i="3"/>
  <c r="L507" i="3" s="1"/>
  <c r="N507" i="3" s="1"/>
  <c r="O507" i="3" s="1"/>
  <c r="K508" i="3"/>
  <c r="L508" i="3" s="1"/>
  <c r="N508" i="3" s="1"/>
  <c r="O508" i="3" s="1"/>
  <c r="K509" i="3"/>
  <c r="L509" i="3" s="1"/>
  <c r="N509" i="3" s="1"/>
  <c r="O509" i="3" s="1"/>
  <c r="K510" i="3"/>
  <c r="L510" i="3" s="1"/>
  <c r="N510" i="3" s="1"/>
  <c r="O510" i="3" s="1"/>
  <c r="K511" i="3"/>
  <c r="L511" i="3" s="1"/>
  <c r="N511" i="3" s="1"/>
  <c r="O511" i="3" s="1"/>
  <c r="K512" i="3"/>
  <c r="L512" i="3" s="1"/>
  <c r="N512" i="3" s="1"/>
  <c r="O512" i="3" s="1"/>
  <c r="K513" i="3"/>
  <c r="L513" i="3" s="1"/>
  <c r="N513" i="3" s="1"/>
  <c r="O513" i="3" s="1"/>
  <c r="K514" i="3"/>
  <c r="L514" i="3" s="1"/>
  <c r="N514" i="3" s="1"/>
  <c r="O514" i="3" s="1"/>
  <c r="K515" i="3"/>
  <c r="L515" i="3" s="1"/>
  <c r="N515" i="3" s="1"/>
  <c r="O515" i="3" s="1"/>
  <c r="K516" i="3"/>
  <c r="L516" i="3" s="1"/>
  <c r="N516" i="3" s="1"/>
  <c r="O516" i="3" s="1"/>
  <c r="K517" i="3"/>
  <c r="L517" i="3" s="1"/>
  <c r="N517" i="3" s="1"/>
  <c r="O517" i="3" s="1"/>
  <c r="K518" i="3"/>
  <c r="L518" i="3" s="1"/>
  <c r="N518" i="3" s="1"/>
  <c r="O518" i="3" s="1"/>
  <c r="K519" i="3"/>
  <c r="L519" i="3" s="1"/>
  <c r="N519" i="3" s="1"/>
  <c r="O519" i="3" s="1"/>
  <c r="K520" i="3"/>
  <c r="L520" i="3" s="1"/>
  <c r="N520" i="3" s="1"/>
  <c r="O520" i="3" s="1"/>
  <c r="K521" i="3"/>
  <c r="L521" i="3" s="1"/>
  <c r="N521" i="3" s="1"/>
  <c r="O521" i="3" s="1"/>
  <c r="K522" i="3"/>
  <c r="L522" i="3" s="1"/>
  <c r="N522" i="3" s="1"/>
  <c r="O522" i="3" s="1"/>
  <c r="K523" i="3"/>
  <c r="L523" i="3" s="1"/>
  <c r="N523" i="3" s="1"/>
  <c r="O523" i="3" s="1"/>
  <c r="K524" i="3"/>
  <c r="L524" i="3" s="1"/>
  <c r="N524" i="3" s="1"/>
  <c r="O524" i="3" s="1"/>
  <c r="K525" i="3"/>
  <c r="L525" i="3" s="1"/>
  <c r="N525" i="3" s="1"/>
  <c r="O525" i="3" s="1"/>
  <c r="K526" i="3"/>
  <c r="L526" i="3" s="1"/>
  <c r="N526" i="3" s="1"/>
  <c r="O526" i="3" s="1"/>
  <c r="K527" i="3"/>
  <c r="L527" i="3" s="1"/>
  <c r="N527" i="3" s="1"/>
  <c r="O527" i="3" s="1"/>
  <c r="K528" i="3"/>
  <c r="L528" i="3" s="1"/>
  <c r="N528" i="3" s="1"/>
  <c r="O528" i="3" s="1"/>
  <c r="K529" i="3"/>
  <c r="L529" i="3" s="1"/>
  <c r="N529" i="3" s="1"/>
  <c r="O529" i="3" s="1"/>
  <c r="K530" i="3"/>
  <c r="L530" i="3" s="1"/>
  <c r="N530" i="3" s="1"/>
  <c r="O530" i="3" s="1"/>
  <c r="K531" i="3"/>
  <c r="L531" i="3" s="1"/>
  <c r="N531" i="3" s="1"/>
  <c r="O531" i="3" s="1"/>
  <c r="K532" i="3"/>
  <c r="L532" i="3" s="1"/>
  <c r="N532" i="3" s="1"/>
  <c r="O532" i="3" s="1"/>
  <c r="K533" i="3"/>
  <c r="L533" i="3" s="1"/>
  <c r="N533" i="3" s="1"/>
  <c r="O533" i="3" s="1"/>
  <c r="K534" i="3"/>
  <c r="L534" i="3" s="1"/>
  <c r="N534" i="3" s="1"/>
  <c r="O534" i="3" s="1"/>
  <c r="K535" i="3"/>
  <c r="L535" i="3" s="1"/>
  <c r="N535" i="3" s="1"/>
  <c r="O535" i="3" s="1"/>
  <c r="K536" i="3"/>
  <c r="L536" i="3" s="1"/>
  <c r="N536" i="3" s="1"/>
  <c r="O536" i="3" s="1"/>
  <c r="K537" i="3"/>
  <c r="L537" i="3" s="1"/>
  <c r="N537" i="3" s="1"/>
  <c r="O537" i="3" s="1"/>
  <c r="K538" i="3"/>
  <c r="L538" i="3" s="1"/>
  <c r="N538" i="3" s="1"/>
  <c r="O538" i="3" s="1"/>
  <c r="K539" i="3"/>
  <c r="L539" i="3" s="1"/>
  <c r="N539" i="3" s="1"/>
  <c r="O539" i="3" s="1"/>
  <c r="K540" i="3"/>
  <c r="L540" i="3" s="1"/>
  <c r="N540" i="3" s="1"/>
  <c r="O540" i="3" s="1"/>
  <c r="K541" i="3"/>
  <c r="L541" i="3" s="1"/>
  <c r="N541" i="3" s="1"/>
  <c r="O541" i="3" s="1"/>
  <c r="K542" i="3"/>
  <c r="L542" i="3" s="1"/>
  <c r="N542" i="3" s="1"/>
  <c r="O542" i="3" s="1"/>
  <c r="K543" i="3"/>
  <c r="L543" i="3" s="1"/>
  <c r="N543" i="3" s="1"/>
  <c r="O543" i="3" s="1"/>
  <c r="K544" i="3"/>
  <c r="L544" i="3" s="1"/>
  <c r="N544" i="3" s="1"/>
  <c r="O544" i="3" s="1"/>
  <c r="K545" i="3"/>
  <c r="L545" i="3" s="1"/>
  <c r="N545" i="3" s="1"/>
  <c r="O545" i="3" s="1"/>
  <c r="K546" i="3"/>
  <c r="L546" i="3" s="1"/>
  <c r="N546" i="3" s="1"/>
  <c r="O546" i="3" s="1"/>
  <c r="K547" i="3"/>
  <c r="L547" i="3" s="1"/>
  <c r="N547" i="3" s="1"/>
  <c r="O547" i="3" s="1"/>
  <c r="K548" i="3"/>
  <c r="L548" i="3" s="1"/>
  <c r="N548" i="3" s="1"/>
  <c r="O548" i="3" s="1"/>
  <c r="K549" i="3"/>
  <c r="L549" i="3" s="1"/>
  <c r="N549" i="3" s="1"/>
  <c r="O549" i="3" s="1"/>
  <c r="K550" i="3"/>
  <c r="L550" i="3" s="1"/>
  <c r="N550" i="3" s="1"/>
  <c r="O550" i="3" s="1"/>
  <c r="K551" i="3"/>
  <c r="L551" i="3" s="1"/>
  <c r="N551" i="3" s="1"/>
  <c r="O551" i="3" s="1"/>
  <c r="K552" i="3"/>
  <c r="L552" i="3" s="1"/>
  <c r="N552" i="3" s="1"/>
  <c r="O552" i="3" s="1"/>
  <c r="K553" i="3"/>
  <c r="L553" i="3" s="1"/>
  <c r="N553" i="3" s="1"/>
  <c r="O553" i="3" s="1"/>
  <c r="K554" i="3"/>
  <c r="L554" i="3" s="1"/>
  <c r="N554" i="3" s="1"/>
  <c r="O554" i="3" s="1"/>
  <c r="K555" i="3"/>
  <c r="L555" i="3" s="1"/>
  <c r="N555" i="3" s="1"/>
  <c r="O555" i="3" s="1"/>
  <c r="K556" i="3"/>
  <c r="L556" i="3" s="1"/>
  <c r="N556" i="3" s="1"/>
  <c r="O556" i="3" s="1"/>
  <c r="K557" i="3"/>
  <c r="L557" i="3" s="1"/>
  <c r="N557" i="3" s="1"/>
  <c r="O557" i="3" s="1"/>
  <c r="K558" i="3"/>
  <c r="L558" i="3" s="1"/>
  <c r="N558" i="3" s="1"/>
  <c r="O558" i="3" s="1"/>
  <c r="K559" i="3"/>
  <c r="L559" i="3" s="1"/>
  <c r="N559" i="3" s="1"/>
  <c r="O559" i="3" s="1"/>
  <c r="K560" i="3"/>
  <c r="L560" i="3" s="1"/>
  <c r="N560" i="3" s="1"/>
  <c r="O560" i="3" s="1"/>
  <c r="K561" i="3"/>
  <c r="L561" i="3" s="1"/>
  <c r="N561" i="3" s="1"/>
  <c r="O561" i="3" s="1"/>
  <c r="K562" i="3"/>
  <c r="L562" i="3" s="1"/>
  <c r="N562" i="3" s="1"/>
  <c r="O562" i="3" s="1"/>
  <c r="K563" i="3"/>
  <c r="L563" i="3" s="1"/>
  <c r="N563" i="3" s="1"/>
  <c r="O563" i="3" s="1"/>
  <c r="K564" i="3"/>
  <c r="L564" i="3" s="1"/>
  <c r="N564" i="3" s="1"/>
  <c r="O564" i="3" s="1"/>
  <c r="K565" i="3"/>
  <c r="L565" i="3" s="1"/>
  <c r="N565" i="3" s="1"/>
  <c r="O565" i="3" s="1"/>
  <c r="K566" i="3"/>
  <c r="L566" i="3" s="1"/>
  <c r="N566" i="3" s="1"/>
  <c r="O566" i="3" s="1"/>
  <c r="K567" i="3"/>
  <c r="L567" i="3" s="1"/>
  <c r="N567" i="3" s="1"/>
  <c r="O567" i="3" s="1"/>
  <c r="K568" i="3"/>
  <c r="L568" i="3" s="1"/>
  <c r="N568" i="3" s="1"/>
  <c r="O568" i="3" s="1"/>
  <c r="K569" i="3"/>
  <c r="L569" i="3" s="1"/>
  <c r="N569" i="3" s="1"/>
  <c r="O569" i="3" s="1"/>
  <c r="K570" i="3"/>
  <c r="L570" i="3" s="1"/>
  <c r="N570" i="3" s="1"/>
  <c r="O570" i="3" s="1"/>
  <c r="K571" i="3"/>
  <c r="L571" i="3" s="1"/>
  <c r="N571" i="3" s="1"/>
  <c r="O571" i="3" s="1"/>
  <c r="K572" i="3"/>
  <c r="L572" i="3" s="1"/>
  <c r="N572" i="3" s="1"/>
  <c r="O572" i="3" s="1"/>
  <c r="K573" i="3"/>
  <c r="L573" i="3" s="1"/>
  <c r="N573" i="3" s="1"/>
  <c r="O573" i="3" s="1"/>
  <c r="K574" i="3"/>
  <c r="L574" i="3" s="1"/>
  <c r="N574" i="3" s="1"/>
  <c r="O574" i="3" s="1"/>
  <c r="K575" i="3"/>
  <c r="L575" i="3" s="1"/>
  <c r="N575" i="3" s="1"/>
  <c r="O575" i="3" s="1"/>
  <c r="K576" i="3"/>
  <c r="L576" i="3" s="1"/>
  <c r="N576" i="3" s="1"/>
  <c r="O576" i="3" s="1"/>
  <c r="K577" i="3"/>
  <c r="L577" i="3" s="1"/>
  <c r="N577" i="3" s="1"/>
  <c r="O577" i="3" s="1"/>
  <c r="K578" i="3"/>
  <c r="L578" i="3" s="1"/>
  <c r="N578" i="3" s="1"/>
  <c r="O578" i="3" s="1"/>
  <c r="K579" i="3"/>
  <c r="L579" i="3" s="1"/>
  <c r="N579" i="3" s="1"/>
  <c r="O579" i="3" s="1"/>
  <c r="K580" i="3"/>
  <c r="L580" i="3" s="1"/>
  <c r="N580" i="3" s="1"/>
  <c r="O580" i="3" s="1"/>
  <c r="K581" i="3"/>
  <c r="L581" i="3" s="1"/>
  <c r="N581" i="3" s="1"/>
  <c r="O581" i="3" s="1"/>
  <c r="K582" i="3"/>
  <c r="L582" i="3" s="1"/>
  <c r="N582" i="3" s="1"/>
  <c r="O582" i="3" s="1"/>
  <c r="K583" i="3"/>
  <c r="L583" i="3" s="1"/>
  <c r="N583" i="3" s="1"/>
  <c r="O583" i="3" s="1"/>
  <c r="K584" i="3"/>
  <c r="L584" i="3" s="1"/>
  <c r="N584" i="3" s="1"/>
  <c r="O584" i="3" s="1"/>
  <c r="K585" i="3"/>
  <c r="L585" i="3" s="1"/>
  <c r="N585" i="3" s="1"/>
  <c r="O585" i="3" s="1"/>
  <c r="K586" i="3"/>
  <c r="L586" i="3" s="1"/>
  <c r="N586" i="3" s="1"/>
  <c r="O586" i="3" s="1"/>
  <c r="K587" i="3"/>
  <c r="L587" i="3" s="1"/>
  <c r="N587" i="3" s="1"/>
  <c r="O587" i="3" s="1"/>
  <c r="K588" i="3"/>
  <c r="L588" i="3" s="1"/>
  <c r="N588" i="3" s="1"/>
  <c r="O588" i="3" s="1"/>
  <c r="K589" i="3"/>
  <c r="L589" i="3" s="1"/>
  <c r="N589" i="3" s="1"/>
  <c r="O589" i="3" s="1"/>
  <c r="K590" i="3"/>
  <c r="L590" i="3" s="1"/>
  <c r="N590" i="3" s="1"/>
  <c r="O590" i="3" s="1"/>
  <c r="K591" i="3"/>
  <c r="L591" i="3" s="1"/>
  <c r="N591" i="3" s="1"/>
  <c r="O591" i="3" s="1"/>
  <c r="K592" i="3"/>
  <c r="L592" i="3" s="1"/>
  <c r="N592" i="3" s="1"/>
  <c r="O592" i="3" s="1"/>
  <c r="K593" i="3"/>
  <c r="L593" i="3" s="1"/>
  <c r="N593" i="3" s="1"/>
  <c r="O593" i="3" s="1"/>
  <c r="K594" i="3"/>
  <c r="L594" i="3" s="1"/>
  <c r="N594" i="3" s="1"/>
  <c r="O594" i="3" s="1"/>
  <c r="K595" i="3"/>
  <c r="L595" i="3" s="1"/>
  <c r="N595" i="3" s="1"/>
  <c r="O595" i="3" s="1"/>
  <c r="K596" i="3"/>
  <c r="L596" i="3" s="1"/>
  <c r="N596" i="3" s="1"/>
  <c r="O596" i="3" s="1"/>
  <c r="K597" i="3"/>
  <c r="L597" i="3" s="1"/>
  <c r="N597" i="3" s="1"/>
  <c r="O597" i="3" s="1"/>
  <c r="K598" i="3"/>
  <c r="L598" i="3" s="1"/>
  <c r="N598" i="3" s="1"/>
  <c r="O598" i="3" s="1"/>
  <c r="K599" i="3"/>
  <c r="L599" i="3" s="1"/>
  <c r="N599" i="3" s="1"/>
  <c r="O599" i="3" s="1"/>
  <c r="K600" i="3"/>
  <c r="L600" i="3" s="1"/>
  <c r="N600" i="3" s="1"/>
  <c r="O600" i="3" s="1"/>
  <c r="K601" i="3"/>
  <c r="L601" i="3" s="1"/>
  <c r="N601" i="3" s="1"/>
  <c r="O601" i="3" s="1"/>
  <c r="K602" i="3"/>
  <c r="L602" i="3" s="1"/>
  <c r="N602" i="3" s="1"/>
  <c r="O602" i="3" s="1"/>
  <c r="K603" i="3"/>
  <c r="L603" i="3" s="1"/>
  <c r="N603" i="3" s="1"/>
  <c r="O603" i="3" s="1"/>
  <c r="K604" i="3"/>
  <c r="L604" i="3" s="1"/>
  <c r="N604" i="3" s="1"/>
  <c r="O604" i="3" s="1"/>
  <c r="K605" i="3"/>
  <c r="L605" i="3" s="1"/>
  <c r="N605" i="3" s="1"/>
  <c r="O605" i="3" s="1"/>
  <c r="K606" i="3"/>
  <c r="L606" i="3" s="1"/>
  <c r="N606" i="3" s="1"/>
  <c r="O606" i="3" s="1"/>
  <c r="K607" i="3"/>
  <c r="L607" i="3" s="1"/>
  <c r="N607" i="3" s="1"/>
  <c r="O607" i="3" s="1"/>
  <c r="K608" i="3"/>
  <c r="L608" i="3" s="1"/>
  <c r="N608" i="3" s="1"/>
  <c r="O608" i="3" s="1"/>
  <c r="K609" i="3"/>
  <c r="L609" i="3" s="1"/>
  <c r="N609" i="3" s="1"/>
  <c r="O609" i="3" s="1"/>
  <c r="K610" i="3"/>
  <c r="L610" i="3" s="1"/>
  <c r="N610" i="3" s="1"/>
  <c r="O610" i="3" s="1"/>
  <c r="K611" i="3"/>
  <c r="L611" i="3" s="1"/>
  <c r="N611" i="3" s="1"/>
  <c r="O611" i="3" s="1"/>
  <c r="K612" i="3"/>
  <c r="L612" i="3" s="1"/>
  <c r="N612" i="3" s="1"/>
  <c r="O612" i="3" s="1"/>
  <c r="K613" i="3"/>
  <c r="L613" i="3" s="1"/>
  <c r="N613" i="3" s="1"/>
  <c r="O613" i="3" s="1"/>
  <c r="K614" i="3"/>
  <c r="L614" i="3" s="1"/>
  <c r="N614" i="3" s="1"/>
  <c r="O614" i="3" s="1"/>
  <c r="K615" i="3"/>
  <c r="L615" i="3" s="1"/>
  <c r="N615" i="3" s="1"/>
  <c r="O615" i="3" s="1"/>
  <c r="K616" i="3"/>
  <c r="L616" i="3" s="1"/>
  <c r="N616" i="3" s="1"/>
  <c r="O616" i="3" s="1"/>
  <c r="K617" i="3"/>
  <c r="L617" i="3" s="1"/>
  <c r="N617" i="3" s="1"/>
  <c r="O617" i="3" s="1"/>
  <c r="K618" i="3"/>
  <c r="L618" i="3" s="1"/>
  <c r="N618" i="3" s="1"/>
  <c r="O618" i="3" s="1"/>
  <c r="K619" i="3"/>
  <c r="L619" i="3" s="1"/>
  <c r="N619" i="3" s="1"/>
  <c r="O619" i="3" s="1"/>
  <c r="K620" i="3"/>
  <c r="L620" i="3" s="1"/>
  <c r="N620" i="3" s="1"/>
  <c r="O620" i="3" s="1"/>
  <c r="K621" i="3"/>
  <c r="L621" i="3" s="1"/>
  <c r="N621" i="3" s="1"/>
  <c r="O621" i="3" s="1"/>
  <c r="K622" i="3"/>
  <c r="L622" i="3" s="1"/>
  <c r="N622" i="3" s="1"/>
  <c r="O622" i="3" s="1"/>
  <c r="K623" i="3"/>
  <c r="L623" i="3" s="1"/>
  <c r="N623" i="3" s="1"/>
  <c r="O623" i="3" s="1"/>
  <c r="K624" i="3"/>
  <c r="L624" i="3" s="1"/>
  <c r="N624" i="3" s="1"/>
  <c r="O624" i="3" s="1"/>
  <c r="K625" i="3"/>
  <c r="L625" i="3" s="1"/>
  <c r="N625" i="3" s="1"/>
  <c r="O625" i="3" s="1"/>
  <c r="K626" i="3"/>
  <c r="L626" i="3" s="1"/>
  <c r="N626" i="3" s="1"/>
  <c r="O626" i="3" s="1"/>
  <c r="K627" i="3"/>
  <c r="L627" i="3" s="1"/>
  <c r="N627" i="3" s="1"/>
  <c r="O627" i="3" s="1"/>
  <c r="K628" i="3"/>
  <c r="L628" i="3" s="1"/>
  <c r="N628" i="3" s="1"/>
  <c r="O628" i="3" s="1"/>
  <c r="K629" i="3"/>
  <c r="L629" i="3" s="1"/>
  <c r="N629" i="3" s="1"/>
  <c r="O629" i="3" s="1"/>
  <c r="K630" i="3"/>
  <c r="L630" i="3" s="1"/>
  <c r="N630" i="3" s="1"/>
  <c r="O630" i="3" s="1"/>
  <c r="K631" i="3"/>
  <c r="L631" i="3" s="1"/>
  <c r="N631" i="3" s="1"/>
  <c r="O631" i="3" s="1"/>
  <c r="K632" i="3"/>
  <c r="L632" i="3" s="1"/>
  <c r="N632" i="3" s="1"/>
  <c r="O632" i="3" s="1"/>
  <c r="K633" i="3"/>
  <c r="L633" i="3" s="1"/>
  <c r="N633" i="3" s="1"/>
  <c r="O633" i="3" s="1"/>
  <c r="K634" i="3"/>
  <c r="L634" i="3" s="1"/>
  <c r="N634" i="3" s="1"/>
  <c r="O634" i="3" s="1"/>
  <c r="K635" i="3"/>
  <c r="L635" i="3" s="1"/>
  <c r="N635" i="3" s="1"/>
  <c r="O635" i="3" s="1"/>
  <c r="K636" i="3"/>
  <c r="L636" i="3" s="1"/>
  <c r="N636" i="3" s="1"/>
  <c r="O636" i="3" s="1"/>
  <c r="K637" i="3"/>
  <c r="L637" i="3" s="1"/>
  <c r="N637" i="3" s="1"/>
  <c r="O637" i="3" s="1"/>
  <c r="K638" i="3"/>
  <c r="L638" i="3" s="1"/>
  <c r="N638" i="3" s="1"/>
  <c r="O638" i="3" s="1"/>
  <c r="K639" i="3"/>
  <c r="L639" i="3" s="1"/>
  <c r="N639" i="3" s="1"/>
  <c r="O639" i="3" s="1"/>
  <c r="K640" i="3"/>
  <c r="L640" i="3" s="1"/>
  <c r="N640" i="3" s="1"/>
  <c r="O640" i="3" s="1"/>
  <c r="K641" i="3"/>
  <c r="L641" i="3" s="1"/>
  <c r="N641" i="3" s="1"/>
  <c r="O641" i="3" s="1"/>
  <c r="K642" i="3"/>
  <c r="L642" i="3" s="1"/>
  <c r="N642" i="3" s="1"/>
  <c r="O642" i="3" s="1"/>
  <c r="K643" i="3"/>
  <c r="L643" i="3" s="1"/>
  <c r="N643" i="3" s="1"/>
  <c r="O643" i="3" s="1"/>
  <c r="K644" i="3"/>
  <c r="L644" i="3" s="1"/>
  <c r="N644" i="3" s="1"/>
  <c r="O644" i="3" s="1"/>
  <c r="K645" i="3"/>
  <c r="L645" i="3" s="1"/>
  <c r="N645" i="3" s="1"/>
  <c r="O645" i="3" s="1"/>
  <c r="K646" i="3"/>
  <c r="L646" i="3" s="1"/>
  <c r="N646" i="3" s="1"/>
  <c r="O646" i="3" s="1"/>
  <c r="K647" i="3"/>
  <c r="L647" i="3" s="1"/>
  <c r="N647" i="3" s="1"/>
  <c r="O647" i="3" s="1"/>
  <c r="K648" i="3"/>
  <c r="L648" i="3" s="1"/>
  <c r="N648" i="3" s="1"/>
  <c r="O648" i="3" s="1"/>
  <c r="K649" i="3"/>
  <c r="L649" i="3" s="1"/>
  <c r="N649" i="3" s="1"/>
  <c r="O649" i="3" s="1"/>
  <c r="K650" i="3"/>
  <c r="L650" i="3" s="1"/>
  <c r="N650" i="3" s="1"/>
  <c r="O650" i="3" s="1"/>
  <c r="K651" i="3"/>
  <c r="L651" i="3" s="1"/>
  <c r="N651" i="3" s="1"/>
  <c r="O651" i="3" s="1"/>
  <c r="K652" i="3"/>
  <c r="L652" i="3" s="1"/>
  <c r="N652" i="3" s="1"/>
  <c r="O652" i="3" s="1"/>
  <c r="K653" i="3"/>
  <c r="L653" i="3" s="1"/>
  <c r="N653" i="3" s="1"/>
  <c r="O653" i="3" s="1"/>
  <c r="K654" i="3"/>
  <c r="L654" i="3" s="1"/>
  <c r="N654" i="3" s="1"/>
  <c r="O654" i="3" s="1"/>
  <c r="K655" i="3"/>
  <c r="L655" i="3" s="1"/>
  <c r="N655" i="3" s="1"/>
  <c r="O655" i="3" s="1"/>
  <c r="K656" i="3"/>
  <c r="L656" i="3" s="1"/>
  <c r="N656" i="3" s="1"/>
  <c r="O656" i="3" s="1"/>
  <c r="K657" i="3"/>
  <c r="L657" i="3" s="1"/>
  <c r="N657" i="3" s="1"/>
  <c r="O657" i="3" s="1"/>
  <c r="K658" i="3"/>
  <c r="L658" i="3" s="1"/>
  <c r="N658" i="3" s="1"/>
  <c r="O658" i="3" s="1"/>
  <c r="K659" i="3"/>
  <c r="L659" i="3" s="1"/>
  <c r="N659" i="3" s="1"/>
  <c r="O659" i="3" s="1"/>
  <c r="K660" i="3"/>
  <c r="L660" i="3" s="1"/>
  <c r="N660" i="3" s="1"/>
  <c r="O660" i="3" s="1"/>
  <c r="K661" i="3"/>
  <c r="L661" i="3" s="1"/>
  <c r="N661" i="3" s="1"/>
  <c r="O661" i="3" s="1"/>
  <c r="K662" i="3"/>
  <c r="L662" i="3" s="1"/>
  <c r="N662" i="3" s="1"/>
  <c r="O662" i="3" s="1"/>
  <c r="K663" i="3"/>
  <c r="L663" i="3" s="1"/>
  <c r="N663" i="3" s="1"/>
  <c r="O663" i="3" s="1"/>
  <c r="K664" i="3"/>
  <c r="L664" i="3" s="1"/>
  <c r="N664" i="3" s="1"/>
  <c r="O664" i="3" s="1"/>
  <c r="K665" i="3"/>
  <c r="L665" i="3" s="1"/>
  <c r="N665" i="3" s="1"/>
  <c r="O665" i="3" s="1"/>
  <c r="K666" i="3"/>
  <c r="L666" i="3" s="1"/>
  <c r="N666" i="3" s="1"/>
  <c r="O666" i="3" s="1"/>
  <c r="K667" i="3"/>
  <c r="L667" i="3" s="1"/>
  <c r="N667" i="3" s="1"/>
  <c r="O667" i="3" s="1"/>
  <c r="K668" i="3"/>
  <c r="L668" i="3" s="1"/>
  <c r="N668" i="3" s="1"/>
  <c r="O668" i="3" s="1"/>
  <c r="K669" i="3"/>
  <c r="L669" i="3" s="1"/>
  <c r="N669" i="3" s="1"/>
  <c r="O669" i="3" s="1"/>
  <c r="K670" i="3"/>
  <c r="L670" i="3" s="1"/>
  <c r="N670" i="3" s="1"/>
  <c r="O670" i="3" s="1"/>
  <c r="K671" i="3"/>
  <c r="L671" i="3" s="1"/>
  <c r="N671" i="3" s="1"/>
  <c r="O671" i="3" s="1"/>
  <c r="K672" i="3"/>
  <c r="L672" i="3" s="1"/>
  <c r="N672" i="3" s="1"/>
  <c r="O672" i="3" s="1"/>
  <c r="K673" i="3"/>
  <c r="L673" i="3" s="1"/>
  <c r="N673" i="3" s="1"/>
  <c r="O673" i="3" s="1"/>
  <c r="K674" i="3"/>
  <c r="L674" i="3" s="1"/>
  <c r="N674" i="3" s="1"/>
  <c r="O674" i="3" s="1"/>
  <c r="K675" i="3"/>
  <c r="L675" i="3" s="1"/>
  <c r="N675" i="3" s="1"/>
  <c r="O675" i="3" s="1"/>
  <c r="K676" i="3"/>
  <c r="L676" i="3" s="1"/>
  <c r="N676" i="3" s="1"/>
  <c r="O676" i="3" s="1"/>
  <c r="K677" i="3"/>
  <c r="L677" i="3" s="1"/>
  <c r="N677" i="3" s="1"/>
  <c r="O677" i="3" s="1"/>
  <c r="K678" i="3"/>
  <c r="L678" i="3" s="1"/>
  <c r="N678" i="3" s="1"/>
  <c r="O678" i="3" s="1"/>
  <c r="K679" i="3"/>
  <c r="L679" i="3" s="1"/>
  <c r="N679" i="3" s="1"/>
  <c r="O679" i="3" s="1"/>
  <c r="K680" i="3"/>
  <c r="L680" i="3" s="1"/>
  <c r="N680" i="3" s="1"/>
  <c r="O680" i="3" s="1"/>
  <c r="K681" i="3"/>
  <c r="L681" i="3" s="1"/>
  <c r="N681" i="3" s="1"/>
  <c r="O681" i="3" s="1"/>
  <c r="K682" i="3"/>
  <c r="L682" i="3" s="1"/>
  <c r="N682" i="3" s="1"/>
  <c r="O682" i="3" s="1"/>
  <c r="K683" i="3"/>
  <c r="L683" i="3" s="1"/>
  <c r="N683" i="3" s="1"/>
  <c r="O683" i="3" s="1"/>
  <c r="K684" i="3"/>
  <c r="L684" i="3" s="1"/>
  <c r="N684" i="3" s="1"/>
  <c r="O684" i="3" s="1"/>
  <c r="K685" i="3"/>
  <c r="L685" i="3" s="1"/>
  <c r="N685" i="3" s="1"/>
  <c r="O685" i="3" s="1"/>
  <c r="K686" i="3"/>
  <c r="L686" i="3" s="1"/>
  <c r="N686" i="3" s="1"/>
  <c r="O686" i="3" s="1"/>
  <c r="K687" i="3"/>
  <c r="L687" i="3" s="1"/>
  <c r="N687" i="3" s="1"/>
  <c r="O687" i="3" s="1"/>
  <c r="K688" i="3"/>
  <c r="L688" i="3" s="1"/>
  <c r="N688" i="3" s="1"/>
  <c r="O688" i="3" s="1"/>
  <c r="K689" i="3"/>
  <c r="L689" i="3" s="1"/>
  <c r="N689" i="3" s="1"/>
  <c r="O689" i="3" s="1"/>
  <c r="K690" i="3"/>
  <c r="L690" i="3" s="1"/>
  <c r="N690" i="3" s="1"/>
  <c r="O690" i="3" s="1"/>
  <c r="K691" i="3"/>
  <c r="L691" i="3" s="1"/>
  <c r="N691" i="3" s="1"/>
  <c r="O691" i="3" s="1"/>
  <c r="K692" i="3"/>
  <c r="L692" i="3" s="1"/>
  <c r="N692" i="3" s="1"/>
  <c r="O692" i="3" s="1"/>
  <c r="K693" i="3"/>
  <c r="L693" i="3" s="1"/>
  <c r="N693" i="3" s="1"/>
  <c r="O693" i="3" s="1"/>
  <c r="K694" i="3"/>
  <c r="L694" i="3" s="1"/>
  <c r="N694" i="3" s="1"/>
  <c r="O694" i="3" s="1"/>
  <c r="K695" i="3"/>
  <c r="L695" i="3" s="1"/>
  <c r="N695" i="3" s="1"/>
  <c r="O695" i="3" s="1"/>
  <c r="K696" i="3"/>
  <c r="L696" i="3" s="1"/>
  <c r="N696" i="3" s="1"/>
  <c r="O696" i="3" s="1"/>
  <c r="K697" i="3"/>
  <c r="L697" i="3" s="1"/>
  <c r="N697" i="3" s="1"/>
  <c r="O697" i="3" s="1"/>
  <c r="K698" i="3"/>
  <c r="L698" i="3" s="1"/>
  <c r="N698" i="3" s="1"/>
  <c r="O698" i="3" s="1"/>
  <c r="K699" i="3"/>
  <c r="L699" i="3" s="1"/>
  <c r="N699" i="3" s="1"/>
  <c r="O699" i="3" s="1"/>
  <c r="K700" i="3"/>
  <c r="L700" i="3" s="1"/>
  <c r="N700" i="3" s="1"/>
  <c r="O700" i="3" s="1"/>
  <c r="K701" i="3"/>
  <c r="L701" i="3" s="1"/>
  <c r="N701" i="3" s="1"/>
  <c r="O701" i="3" s="1"/>
  <c r="K702" i="3"/>
  <c r="L702" i="3" s="1"/>
  <c r="N702" i="3" s="1"/>
  <c r="O702" i="3" s="1"/>
  <c r="K703" i="3"/>
  <c r="L703" i="3" s="1"/>
  <c r="N703" i="3" s="1"/>
  <c r="O703" i="3" s="1"/>
  <c r="K704" i="3"/>
  <c r="L704" i="3" s="1"/>
  <c r="N704" i="3" s="1"/>
  <c r="O704" i="3" s="1"/>
  <c r="K705" i="3"/>
  <c r="L705" i="3" s="1"/>
  <c r="N705" i="3" s="1"/>
  <c r="O705" i="3" s="1"/>
  <c r="K706" i="3"/>
  <c r="L706" i="3" s="1"/>
  <c r="N706" i="3" s="1"/>
  <c r="O706" i="3" s="1"/>
  <c r="K707" i="3"/>
  <c r="L707" i="3" s="1"/>
  <c r="N707" i="3" s="1"/>
  <c r="O707" i="3" s="1"/>
  <c r="K708" i="3"/>
  <c r="L708" i="3" s="1"/>
  <c r="N708" i="3" s="1"/>
  <c r="O708" i="3" s="1"/>
  <c r="K709" i="3"/>
  <c r="L709" i="3" s="1"/>
  <c r="N709" i="3" s="1"/>
  <c r="O709" i="3" s="1"/>
  <c r="K710" i="3"/>
  <c r="L710" i="3" s="1"/>
  <c r="N710" i="3" s="1"/>
  <c r="O710" i="3" s="1"/>
  <c r="K711" i="3"/>
  <c r="L711" i="3" s="1"/>
  <c r="N711" i="3" s="1"/>
  <c r="O711" i="3" s="1"/>
  <c r="K712" i="3"/>
  <c r="L712" i="3" s="1"/>
  <c r="N712" i="3" s="1"/>
  <c r="O712" i="3" s="1"/>
  <c r="K713" i="3"/>
  <c r="L713" i="3" s="1"/>
  <c r="N713" i="3" s="1"/>
  <c r="O713" i="3" s="1"/>
  <c r="K714" i="3"/>
  <c r="L714" i="3" s="1"/>
  <c r="N714" i="3" s="1"/>
  <c r="O714" i="3" s="1"/>
  <c r="K715" i="3"/>
  <c r="L715" i="3" s="1"/>
  <c r="N715" i="3" s="1"/>
  <c r="O715" i="3" s="1"/>
  <c r="K716" i="3"/>
  <c r="L716" i="3" s="1"/>
  <c r="N716" i="3" s="1"/>
  <c r="O716" i="3" s="1"/>
  <c r="K717" i="3"/>
  <c r="L717" i="3" s="1"/>
  <c r="N717" i="3" s="1"/>
  <c r="O717" i="3" s="1"/>
  <c r="K718" i="3"/>
  <c r="L718" i="3" s="1"/>
  <c r="N718" i="3" s="1"/>
  <c r="O718" i="3" s="1"/>
  <c r="K719" i="3"/>
  <c r="L719" i="3" s="1"/>
  <c r="N719" i="3" s="1"/>
  <c r="O719" i="3" s="1"/>
  <c r="K720" i="3"/>
  <c r="L720" i="3" s="1"/>
  <c r="N720" i="3" s="1"/>
  <c r="O720" i="3" s="1"/>
  <c r="K721" i="3"/>
  <c r="L721" i="3" s="1"/>
  <c r="N721" i="3" s="1"/>
  <c r="O721" i="3" s="1"/>
  <c r="K722" i="3"/>
  <c r="L722" i="3" s="1"/>
  <c r="N722" i="3" s="1"/>
  <c r="O722" i="3" s="1"/>
  <c r="K723" i="3"/>
  <c r="L723" i="3" s="1"/>
  <c r="N723" i="3" s="1"/>
  <c r="O723" i="3" s="1"/>
  <c r="K724" i="3"/>
  <c r="L724" i="3" s="1"/>
  <c r="N724" i="3" s="1"/>
  <c r="O724" i="3" s="1"/>
  <c r="K725" i="3"/>
  <c r="L725" i="3" s="1"/>
  <c r="N725" i="3" s="1"/>
  <c r="O725" i="3" s="1"/>
  <c r="K726" i="3"/>
  <c r="L726" i="3" s="1"/>
  <c r="N726" i="3" s="1"/>
  <c r="O726" i="3" s="1"/>
  <c r="K727" i="3"/>
  <c r="L727" i="3" s="1"/>
  <c r="N727" i="3" s="1"/>
  <c r="O727" i="3" s="1"/>
  <c r="K728" i="3"/>
  <c r="L728" i="3" s="1"/>
  <c r="N728" i="3" s="1"/>
  <c r="O728" i="3" s="1"/>
  <c r="K729" i="3"/>
  <c r="L729" i="3" s="1"/>
  <c r="N729" i="3" s="1"/>
  <c r="O729" i="3" s="1"/>
  <c r="K730" i="3"/>
  <c r="L730" i="3" s="1"/>
  <c r="N730" i="3" s="1"/>
  <c r="O730" i="3" s="1"/>
  <c r="K731" i="3"/>
  <c r="L731" i="3" s="1"/>
  <c r="N731" i="3" s="1"/>
  <c r="O731" i="3" s="1"/>
  <c r="K732" i="3"/>
  <c r="L732" i="3" s="1"/>
  <c r="N732" i="3" s="1"/>
  <c r="O732" i="3" s="1"/>
  <c r="K733" i="3"/>
  <c r="L733" i="3" s="1"/>
  <c r="N733" i="3" s="1"/>
  <c r="O733" i="3" s="1"/>
  <c r="K734" i="3"/>
  <c r="L734" i="3" s="1"/>
  <c r="N734" i="3" s="1"/>
  <c r="O734" i="3" s="1"/>
  <c r="K735" i="3"/>
  <c r="L735" i="3" s="1"/>
  <c r="N735" i="3" s="1"/>
  <c r="O735" i="3" s="1"/>
  <c r="K736" i="3"/>
  <c r="L736" i="3" s="1"/>
  <c r="N736" i="3" s="1"/>
  <c r="O736" i="3" s="1"/>
  <c r="K737" i="3"/>
  <c r="L737" i="3" s="1"/>
  <c r="N737" i="3" s="1"/>
  <c r="O737" i="3" s="1"/>
  <c r="K738" i="3"/>
  <c r="L738" i="3" s="1"/>
  <c r="N738" i="3" s="1"/>
  <c r="O738" i="3" s="1"/>
  <c r="K739" i="3"/>
  <c r="L739" i="3" s="1"/>
  <c r="N739" i="3" s="1"/>
  <c r="O739" i="3" s="1"/>
  <c r="K740" i="3"/>
  <c r="L740" i="3" s="1"/>
  <c r="N740" i="3" s="1"/>
  <c r="O740" i="3" s="1"/>
  <c r="K741" i="3"/>
  <c r="L741" i="3" s="1"/>
  <c r="N741" i="3" s="1"/>
  <c r="O741" i="3" s="1"/>
  <c r="K742" i="3"/>
  <c r="L742" i="3" s="1"/>
  <c r="N742" i="3" s="1"/>
  <c r="O742" i="3" s="1"/>
  <c r="K743" i="3"/>
  <c r="L743" i="3" s="1"/>
  <c r="N743" i="3" s="1"/>
  <c r="O743" i="3" s="1"/>
  <c r="K744" i="3"/>
  <c r="L744" i="3" s="1"/>
  <c r="N744" i="3" s="1"/>
  <c r="O744" i="3" s="1"/>
  <c r="K745" i="3"/>
  <c r="L745" i="3" s="1"/>
  <c r="N745" i="3" s="1"/>
  <c r="O745" i="3" s="1"/>
  <c r="K746" i="3"/>
  <c r="L746" i="3" s="1"/>
  <c r="N746" i="3" s="1"/>
  <c r="O746" i="3" s="1"/>
  <c r="K747" i="3"/>
  <c r="L747" i="3" s="1"/>
  <c r="N747" i="3" s="1"/>
  <c r="O747" i="3" s="1"/>
  <c r="K748" i="3"/>
  <c r="L748" i="3" s="1"/>
  <c r="N748" i="3" s="1"/>
  <c r="O748" i="3" s="1"/>
  <c r="K749" i="3"/>
  <c r="L749" i="3" s="1"/>
  <c r="N749" i="3" s="1"/>
  <c r="O749" i="3" s="1"/>
  <c r="K750" i="3"/>
  <c r="L750" i="3" s="1"/>
  <c r="N750" i="3" s="1"/>
  <c r="O750" i="3" s="1"/>
  <c r="K751" i="3"/>
  <c r="L751" i="3" s="1"/>
  <c r="N751" i="3" s="1"/>
  <c r="O751" i="3" s="1"/>
  <c r="K752" i="3"/>
  <c r="L752" i="3" s="1"/>
  <c r="N752" i="3" s="1"/>
  <c r="O752" i="3" s="1"/>
  <c r="K753" i="3"/>
  <c r="L753" i="3" s="1"/>
  <c r="N753" i="3" s="1"/>
  <c r="O753" i="3" s="1"/>
  <c r="K754" i="3"/>
  <c r="L754" i="3" s="1"/>
  <c r="N754" i="3" s="1"/>
  <c r="O754" i="3" s="1"/>
  <c r="K755" i="3"/>
  <c r="L755" i="3" s="1"/>
  <c r="N755" i="3" s="1"/>
  <c r="O755" i="3" s="1"/>
  <c r="K756" i="3"/>
  <c r="L756" i="3" s="1"/>
  <c r="N756" i="3" s="1"/>
  <c r="O756" i="3" s="1"/>
  <c r="K757" i="3"/>
  <c r="L757" i="3" s="1"/>
  <c r="N757" i="3" s="1"/>
  <c r="O757" i="3" s="1"/>
  <c r="K758" i="3"/>
  <c r="L758" i="3" s="1"/>
  <c r="N758" i="3" s="1"/>
  <c r="O758" i="3" s="1"/>
  <c r="K759" i="3"/>
  <c r="L759" i="3" s="1"/>
  <c r="N759" i="3" s="1"/>
  <c r="O759" i="3" s="1"/>
  <c r="K760" i="3"/>
  <c r="L760" i="3" s="1"/>
  <c r="N760" i="3" s="1"/>
  <c r="O760" i="3" s="1"/>
  <c r="K761" i="3"/>
  <c r="L761" i="3" s="1"/>
  <c r="N761" i="3" s="1"/>
  <c r="O761" i="3" s="1"/>
  <c r="K762" i="3"/>
  <c r="L762" i="3" s="1"/>
  <c r="N762" i="3" s="1"/>
  <c r="O762" i="3" s="1"/>
  <c r="K763" i="3"/>
  <c r="L763" i="3" s="1"/>
  <c r="N763" i="3" s="1"/>
  <c r="O763" i="3" s="1"/>
  <c r="K764" i="3"/>
  <c r="L764" i="3" s="1"/>
  <c r="N764" i="3" s="1"/>
  <c r="O764" i="3" s="1"/>
  <c r="K765" i="3"/>
  <c r="L765" i="3" s="1"/>
  <c r="N765" i="3" s="1"/>
  <c r="O765" i="3" s="1"/>
  <c r="K766" i="3"/>
  <c r="L766" i="3" s="1"/>
  <c r="N766" i="3" s="1"/>
  <c r="O766" i="3" s="1"/>
  <c r="K767" i="3"/>
  <c r="L767" i="3" s="1"/>
  <c r="N767" i="3" s="1"/>
  <c r="O767" i="3" s="1"/>
  <c r="K768" i="3"/>
  <c r="L768" i="3" s="1"/>
  <c r="N768" i="3" s="1"/>
  <c r="O768" i="3" s="1"/>
  <c r="K769" i="3"/>
  <c r="L769" i="3" s="1"/>
  <c r="N769" i="3" s="1"/>
  <c r="O769" i="3" s="1"/>
  <c r="K770" i="3"/>
  <c r="L770" i="3" s="1"/>
  <c r="N770" i="3" s="1"/>
  <c r="O770" i="3" s="1"/>
  <c r="K771" i="3"/>
  <c r="L771" i="3" s="1"/>
  <c r="N771" i="3" s="1"/>
  <c r="O771" i="3" s="1"/>
  <c r="K772" i="3"/>
  <c r="L772" i="3" s="1"/>
  <c r="N772" i="3" s="1"/>
  <c r="O772" i="3" s="1"/>
  <c r="K773" i="3"/>
  <c r="L773" i="3" s="1"/>
  <c r="N773" i="3" s="1"/>
  <c r="O773" i="3" s="1"/>
  <c r="K774" i="3"/>
  <c r="L774" i="3" s="1"/>
  <c r="N774" i="3" s="1"/>
  <c r="O774" i="3" s="1"/>
  <c r="K775" i="3"/>
  <c r="L775" i="3" s="1"/>
  <c r="N775" i="3" s="1"/>
  <c r="O775" i="3" s="1"/>
  <c r="K776" i="3"/>
  <c r="L776" i="3" s="1"/>
  <c r="N776" i="3" s="1"/>
  <c r="O776" i="3" s="1"/>
  <c r="K777" i="3"/>
  <c r="L777" i="3" s="1"/>
  <c r="N777" i="3" s="1"/>
  <c r="O777" i="3" s="1"/>
  <c r="K778" i="3"/>
  <c r="L778" i="3" s="1"/>
  <c r="N778" i="3" s="1"/>
  <c r="O778" i="3" s="1"/>
  <c r="K779" i="3"/>
  <c r="L779" i="3" s="1"/>
  <c r="N779" i="3" s="1"/>
  <c r="O779" i="3" s="1"/>
  <c r="K780" i="3"/>
  <c r="L780" i="3" s="1"/>
  <c r="N780" i="3" s="1"/>
  <c r="O780" i="3" s="1"/>
  <c r="K781" i="3"/>
  <c r="L781" i="3" s="1"/>
  <c r="N781" i="3" s="1"/>
  <c r="O781" i="3" s="1"/>
  <c r="K782" i="3"/>
  <c r="L782" i="3" s="1"/>
  <c r="N782" i="3" s="1"/>
  <c r="O782" i="3" s="1"/>
  <c r="K783" i="3"/>
  <c r="L783" i="3" s="1"/>
  <c r="N783" i="3" s="1"/>
  <c r="O783" i="3" s="1"/>
  <c r="K784" i="3"/>
  <c r="L784" i="3" s="1"/>
  <c r="N784" i="3" s="1"/>
  <c r="O784" i="3" s="1"/>
  <c r="K785" i="3"/>
  <c r="L785" i="3" s="1"/>
  <c r="N785" i="3" s="1"/>
  <c r="O785" i="3" s="1"/>
  <c r="K786" i="3"/>
  <c r="L786" i="3" s="1"/>
  <c r="N786" i="3" s="1"/>
  <c r="O786" i="3" s="1"/>
  <c r="K787" i="3"/>
  <c r="L787" i="3" s="1"/>
  <c r="N787" i="3" s="1"/>
  <c r="O787" i="3" s="1"/>
  <c r="K788" i="3"/>
  <c r="L788" i="3" s="1"/>
  <c r="N788" i="3" s="1"/>
  <c r="O788" i="3" s="1"/>
  <c r="K789" i="3"/>
  <c r="L789" i="3" s="1"/>
  <c r="N789" i="3" s="1"/>
  <c r="O789" i="3" s="1"/>
  <c r="K790" i="3"/>
  <c r="L790" i="3" s="1"/>
  <c r="N790" i="3" s="1"/>
  <c r="O790" i="3" s="1"/>
  <c r="K791" i="3"/>
  <c r="L791" i="3" s="1"/>
  <c r="N791" i="3" s="1"/>
  <c r="O791" i="3" s="1"/>
  <c r="K792" i="3"/>
  <c r="L792" i="3" s="1"/>
  <c r="N792" i="3" s="1"/>
  <c r="O792" i="3" s="1"/>
  <c r="K793" i="3"/>
  <c r="L793" i="3" s="1"/>
  <c r="N793" i="3" s="1"/>
  <c r="O793" i="3" s="1"/>
  <c r="K794" i="3"/>
  <c r="L794" i="3" s="1"/>
  <c r="N794" i="3" s="1"/>
  <c r="O794" i="3" s="1"/>
  <c r="K795" i="3"/>
  <c r="L795" i="3" s="1"/>
  <c r="N795" i="3" s="1"/>
  <c r="O795" i="3" s="1"/>
  <c r="K796" i="3"/>
  <c r="L796" i="3" s="1"/>
  <c r="N796" i="3" s="1"/>
  <c r="O796" i="3" s="1"/>
  <c r="K797" i="3"/>
  <c r="L797" i="3" s="1"/>
  <c r="N797" i="3" s="1"/>
  <c r="O797" i="3" s="1"/>
  <c r="K798" i="3"/>
  <c r="L798" i="3" s="1"/>
  <c r="N798" i="3" s="1"/>
  <c r="O798" i="3" s="1"/>
  <c r="K799" i="3"/>
  <c r="L799" i="3" s="1"/>
  <c r="N799" i="3" s="1"/>
  <c r="O799" i="3" s="1"/>
  <c r="K800" i="3"/>
  <c r="L800" i="3" s="1"/>
  <c r="N800" i="3" s="1"/>
  <c r="O800" i="3" s="1"/>
  <c r="K801" i="3"/>
  <c r="L801" i="3" s="1"/>
  <c r="N801" i="3" s="1"/>
  <c r="O801" i="3" s="1"/>
  <c r="K802" i="3"/>
  <c r="L802" i="3" s="1"/>
  <c r="N802" i="3" s="1"/>
  <c r="O802" i="3" s="1"/>
  <c r="K803" i="3"/>
  <c r="L803" i="3" s="1"/>
  <c r="N803" i="3" s="1"/>
  <c r="O803" i="3" s="1"/>
  <c r="K804" i="3"/>
  <c r="L804" i="3" s="1"/>
  <c r="N804" i="3" s="1"/>
  <c r="O804" i="3" s="1"/>
  <c r="K805" i="3"/>
  <c r="L805" i="3" s="1"/>
  <c r="N805" i="3" s="1"/>
  <c r="O805" i="3" s="1"/>
  <c r="K806" i="3"/>
  <c r="L806" i="3" s="1"/>
  <c r="N806" i="3" s="1"/>
  <c r="O806" i="3" s="1"/>
  <c r="K807" i="3"/>
  <c r="L807" i="3" s="1"/>
  <c r="N807" i="3" s="1"/>
  <c r="O807" i="3" s="1"/>
  <c r="K808" i="3"/>
  <c r="L808" i="3" s="1"/>
  <c r="N808" i="3" s="1"/>
  <c r="O808" i="3" s="1"/>
  <c r="K809" i="3"/>
  <c r="L809" i="3" s="1"/>
  <c r="N809" i="3" s="1"/>
  <c r="O809" i="3" s="1"/>
  <c r="K810" i="3"/>
  <c r="L810" i="3" s="1"/>
  <c r="N810" i="3" s="1"/>
  <c r="O810" i="3" s="1"/>
  <c r="K811" i="3"/>
  <c r="L811" i="3" s="1"/>
  <c r="N811" i="3" s="1"/>
  <c r="O811" i="3" s="1"/>
  <c r="K812" i="3"/>
  <c r="L812" i="3" s="1"/>
  <c r="N812" i="3" s="1"/>
  <c r="O812" i="3" s="1"/>
  <c r="K813" i="3"/>
  <c r="L813" i="3" s="1"/>
  <c r="N813" i="3" s="1"/>
  <c r="O813" i="3" s="1"/>
  <c r="K814" i="3"/>
  <c r="L814" i="3" s="1"/>
  <c r="N814" i="3" s="1"/>
  <c r="O814" i="3" s="1"/>
  <c r="K815" i="3"/>
  <c r="L815" i="3" s="1"/>
  <c r="N815" i="3" s="1"/>
  <c r="O815" i="3" s="1"/>
  <c r="K816" i="3"/>
  <c r="L816" i="3" s="1"/>
  <c r="N816" i="3" s="1"/>
  <c r="O816" i="3" s="1"/>
  <c r="K817" i="3"/>
  <c r="L817" i="3" s="1"/>
  <c r="N817" i="3" s="1"/>
  <c r="O817" i="3" s="1"/>
  <c r="K818" i="3"/>
  <c r="L818" i="3" s="1"/>
  <c r="N818" i="3" s="1"/>
  <c r="O818" i="3" s="1"/>
  <c r="K819" i="3"/>
  <c r="L819" i="3" s="1"/>
  <c r="N819" i="3" s="1"/>
  <c r="O819" i="3" s="1"/>
  <c r="K820" i="3"/>
  <c r="L820" i="3" s="1"/>
  <c r="N820" i="3" s="1"/>
  <c r="O820" i="3" s="1"/>
  <c r="K821" i="3"/>
  <c r="L821" i="3" s="1"/>
  <c r="N821" i="3" s="1"/>
  <c r="O821" i="3" s="1"/>
  <c r="K822" i="3"/>
  <c r="L822" i="3" s="1"/>
  <c r="N822" i="3" s="1"/>
  <c r="O822" i="3" s="1"/>
  <c r="K823" i="3"/>
  <c r="L823" i="3" s="1"/>
  <c r="N823" i="3" s="1"/>
  <c r="O823" i="3" s="1"/>
  <c r="K824" i="3"/>
  <c r="L824" i="3" s="1"/>
  <c r="N824" i="3" s="1"/>
  <c r="O824" i="3" s="1"/>
  <c r="K825" i="3"/>
  <c r="L825" i="3" s="1"/>
  <c r="N825" i="3" s="1"/>
  <c r="O825" i="3" s="1"/>
  <c r="K826" i="3"/>
  <c r="L826" i="3" s="1"/>
  <c r="N826" i="3" s="1"/>
  <c r="O826" i="3" s="1"/>
  <c r="K827" i="3"/>
  <c r="L827" i="3" s="1"/>
  <c r="N827" i="3" s="1"/>
  <c r="O827" i="3" s="1"/>
  <c r="K828" i="3"/>
  <c r="L828" i="3" s="1"/>
  <c r="N828" i="3" s="1"/>
  <c r="O828" i="3" s="1"/>
  <c r="K829" i="3"/>
  <c r="L829" i="3" s="1"/>
  <c r="N829" i="3" s="1"/>
  <c r="O829" i="3" s="1"/>
  <c r="K830" i="3"/>
  <c r="L830" i="3" s="1"/>
  <c r="N830" i="3" s="1"/>
  <c r="O830" i="3" s="1"/>
  <c r="K831" i="3"/>
  <c r="L831" i="3" s="1"/>
  <c r="N831" i="3" s="1"/>
  <c r="O831" i="3" s="1"/>
  <c r="K832" i="3"/>
  <c r="L832" i="3" s="1"/>
  <c r="N832" i="3" s="1"/>
  <c r="O832" i="3" s="1"/>
  <c r="K833" i="3"/>
  <c r="L833" i="3" s="1"/>
  <c r="N833" i="3" s="1"/>
  <c r="O833" i="3" s="1"/>
  <c r="K834" i="3"/>
  <c r="L834" i="3" s="1"/>
  <c r="N834" i="3" s="1"/>
  <c r="O834" i="3" s="1"/>
  <c r="K835" i="3"/>
  <c r="L835" i="3" s="1"/>
  <c r="N835" i="3" s="1"/>
  <c r="O835" i="3" s="1"/>
  <c r="K836" i="3"/>
  <c r="L836" i="3" s="1"/>
  <c r="N836" i="3" s="1"/>
  <c r="O836" i="3" s="1"/>
  <c r="K837" i="3"/>
  <c r="L837" i="3" s="1"/>
  <c r="N837" i="3" s="1"/>
  <c r="O837" i="3" s="1"/>
  <c r="K838" i="3"/>
  <c r="L838" i="3" s="1"/>
  <c r="N838" i="3" s="1"/>
  <c r="O838" i="3" s="1"/>
  <c r="K839" i="3"/>
  <c r="L839" i="3" s="1"/>
  <c r="N839" i="3" s="1"/>
  <c r="O839" i="3" s="1"/>
  <c r="K840" i="3"/>
  <c r="L840" i="3" s="1"/>
  <c r="N840" i="3" s="1"/>
  <c r="O840" i="3" s="1"/>
  <c r="K841" i="3"/>
  <c r="L841" i="3" s="1"/>
  <c r="N841" i="3" s="1"/>
  <c r="O841" i="3" s="1"/>
  <c r="K842" i="3"/>
  <c r="L842" i="3" s="1"/>
  <c r="N842" i="3" s="1"/>
  <c r="O842" i="3" s="1"/>
  <c r="K843" i="3"/>
  <c r="L843" i="3" s="1"/>
  <c r="N843" i="3" s="1"/>
  <c r="O843" i="3" s="1"/>
  <c r="K844" i="3"/>
  <c r="L844" i="3" s="1"/>
  <c r="N844" i="3" s="1"/>
  <c r="O844" i="3" s="1"/>
  <c r="K845" i="3"/>
  <c r="L845" i="3" s="1"/>
  <c r="N845" i="3" s="1"/>
  <c r="O845" i="3" s="1"/>
  <c r="K846" i="3"/>
  <c r="L846" i="3" s="1"/>
  <c r="N846" i="3" s="1"/>
  <c r="O846" i="3" s="1"/>
  <c r="K847" i="3"/>
  <c r="L847" i="3" s="1"/>
  <c r="N847" i="3" s="1"/>
  <c r="O847" i="3" s="1"/>
  <c r="K848" i="3"/>
  <c r="L848" i="3" s="1"/>
  <c r="N848" i="3" s="1"/>
  <c r="O848" i="3" s="1"/>
  <c r="K849" i="3"/>
  <c r="L849" i="3" s="1"/>
  <c r="N849" i="3" s="1"/>
  <c r="O849" i="3" s="1"/>
  <c r="K850" i="3"/>
  <c r="L850" i="3" s="1"/>
  <c r="N850" i="3" s="1"/>
  <c r="O850" i="3" s="1"/>
  <c r="K851" i="3"/>
  <c r="L851" i="3" s="1"/>
  <c r="N851" i="3" s="1"/>
  <c r="O851" i="3" s="1"/>
  <c r="K852" i="3"/>
  <c r="L852" i="3" s="1"/>
  <c r="N852" i="3" s="1"/>
  <c r="O852" i="3" s="1"/>
  <c r="K853" i="3"/>
  <c r="L853" i="3" s="1"/>
  <c r="N853" i="3" s="1"/>
  <c r="O853" i="3" s="1"/>
  <c r="K854" i="3"/>
  <c r="L854" i="3" s="1"/>
  <c r="N854" i="3" s="1"/>
  <c r="O854" i="3" s="1"/>
  <c r="K855" i="3"/>
  <c r="L855" i="3" s="1"/>
  <c r="N855" i="3" s="1"/>
  <c r="O855" i="3" s="1"/>
  <c r="K856" i="3"/>
  <c r="L856" i="3" s="1"/>
  <c r="N856" i="3" s="1"/>
  <c r="O856" i="3" s="1"/>
  <c r="K857" i="3"/>
  <c r="L857" i="3" s="1"/>
  <c r="N857" i="3" s="1"/>
  <c r="O857" i="3" s="1"/>
  <c r="K858" i="3"/>
  <c r="L858" i="3" s="1"/>
  <c r="N858" i="3" s="1"/>
  <c r="O858" i="3" s="1"/>
  <c r="K859" i="3"/>
  <c r="L859" i="3" s="1"/>
  <c r="N859" i="3" s="1"/>
  <c r="O859" i="3" s="1"/>
  <c r="K860" i="3"/>
  <c r="L860" i="3" s="1"/>
  <c r="N860" i="3" s="1"/>
  <c r="O860" i="3" s="1"/>
  <c r="K861" i="3"/>
  <c r="L861" i="3" s="1"/>
  <c r="N861" i="3" s="1"/>
  <c r="O861" i="3" s="1"/>
  <c r="K862" i="3"/>
  <c r="L862" i="3" s="1"/>
  <c r="N862" i="3" s="1"/>
  <c r="O862" i="3" s="1"/>
  <c r="K863" i="3"/>
  <c r="L863" i="3" s="1"/>
  <c r="N863" i="3" s="1"/>
  <c r="O863" i="3" s="1"/>
  <c r="K864" i="3"/>
  <c r="L864" i="3" s="1"/>
  <c r="N864" i="3" s="1"/>
  <c r="O864" i="3" s="1"/>
  <c r="K865" i="3"/>
  <c r="L865" i="3" s="1"/>
  <c r="N865" i="3" s="1"/>
  <c r="O865" i="3" s="1"/>
  <c r="K866" i="3"/>
  <c r="L866" i="3" s="1"/>
  <c r="N866" i="3" s="1"/>
  <c r="O866" i="3" s="1"/>
  <c r="K867" i="3"/>
  <c r="L867" i="3" s="1"/>
  <c r="N867" i="3" s="1"/>
  <c r="O867" i="3" s="1"/>
  <c r="K868" i="3"/>
  <c r="L868" i="3" s="1"/>
  <c r="N868" i="3" s="1"/>
  <c r="O868" i="3" s="1"/>
  <c r="K869" i="3"/>
  <c r="L869" i="3" s="1"/>
  <c r="N869" i="3" s="1"/>
  <c r="O869" i="3" s="1"/>
  <c r="K870" i="3"/>
  <c r="L870" i="3" s="1"/>
  <c r="N870" i="3" s="1"/>
  <c r="O870" i="3" s="1"/>
  <c r="K871" i="3"/>
  <c r="L871" i="3" s="1"/>
  <c r="N871" i="3" s="1"/>
  <c r="O871" i="3" s="1"/>
  <c r="K872" i="3"/>
  <c r="L872" i="3" s="1"/>
  <c r="N872" i="3" s="1"/>
  <c r="O872" i="3" s="1"/>
  <c r="K873" i="3"/>
  <c r="L873" i="3" s="1"/>
  <c r="N873" i="3" s="1"/>
  <c r="O873" i="3" s="1"/>
  <c r="K874" i="3"/>
  <c r="L874" i="3" s="1"/>
  <c r="N874" i="3" s="1"/>
  <c r="O874" i="3" s="1"/>
  <c r="K875" i="3"/>
  <c r="L875" i="3" s="1"/>
  <c r="N875" i="3" s="1"/>
  <c r="O875" i="3" s="1"/>
  <c r="K876" i="3"/>
  <c r="L876" i="3" s="1"/>
  <c r="N876" i="3" s="1"/>
  <c r="O876" i="3" s="1"/>
  <c r="K877" i="3"/>
  <c r="L877" i="3" s="1"/>
  <c r="N877" i="3" s="1"/>
  <c r="O877" i="3" s="1"/>
  <c r="K878" i="3"/>
  <c r="L878" i="3" s="1"/>
  <c r="N878" i="3" s="1"/>
  <c r="O878" i="3" s="1"/>
  <c r="K879" i="3"/>
  <c r="L879" i="3" s="1"/>
  <c r="N879" i="3" s="1"/>
  <c r="O879" i="3" s="1"/>
  <c r="K880" i="3"/>
  <c r="L880" i="3" s="1"/>
  <c r="N880" i="3" s="1"/>
  <c r="O880" i="3" s="1"/>
  <c r="K881" i="3"/>
  <c r="L881" i="3" s="1"/>
  <c r="N881" i="3" s="1"/>
  <c r="O881" i="3" s="1"/>
  <c r="K882" i="3"/>
  <c r="L882" i="3" s="1"/>
  <c r="N882" i="3" s="1"/>
  <c r="O882" i="3" s="1"/>
  <c r="K883" i="3"/>
  <c r="L883" i="3" s="1"/>
  <c r="N883" i="3" s="1"/>
  <c r="O883" i="3" s="1"/>
  <c r="K884" i="3"/>
  <c r="L884" i="3" s="1"/>
  <c r="N884" i="3" s="1"/>
  <c r="O884" i="3" s="1"/>
  <c r="K885" i="3"/>
  <c r="L885" i="3" s="1"/>
  <c r="N885" i="3" s="1"/>
  <c r="O885" i="3" s="1"/>
  <c r="K886" i="3"/>
  <c r="L886" i="3" s="1"/>
  <c r="N886" i="3" s="1"/>
  <c r="O886" i="3" s="1"/>
  <c r="K887" i="3"/>
  <c r="L887" i="3" s="1"/>
  <c r="N887" i="3" s="1"/>
  <c r="O887" i="3" s="1"/>
  <c r="K888" i="3"/>
  <c r="L888" i="3" s="1"/>
  <c r="N888" i="3" s="1"/>
  <c r="O888" i="3" s="1"/>
  <c r="K889" i="3"/>
  <c r="L889" i="3" s="1"/>
  <c r="N889" i="3" s="1"/>
  <c r="O889" i="3" s="1"/>
  <c r="K890" i="3"/>
  <c r="L890" i="3" s="1"/>
  <c r="N890" i="3" s="1"/>
  <c r="O890" i="3" s="1"/>
  <c r="K891" i="3"/>
  <c r="L891" i="3" s="1"/>
  <c r="N891" i="3" s="1"/>
  <c r="O891" i="3" s="1"/>
  <c r="K892" i="3"/>
  <c r="L892" i="3" s="1"/>
  <c r="N892" i="3" s="1"/>
  <c r="O892" i="3" s="1"/>
  <c r="K893" i="3"/>
  <c r="L893" i="3" s="1"/>
  <c r="N893" i="3" s="1"/>
  <c r="O893" i="3" s="1"/>
  <c r="K894" i="3"/>
  <c r="L894" i="3" s="1"/>
  <c r="N894" i="3" s="1"/>
  <c r="O894" i="3" s="1"/>
  <c r="K895" i="3"/>
  <c r="L895" i="3" s="1"/>
  <c r="N895" i="3" s="1"/>
  <c r="O895" i="3" s="1"/>
  <c r="K896" i="3"/>
  <c r="L896" i="3" s="1"/>
  <c r="N896" i="3" s="1"/>
  <c r="O896" i="3" s="1"/>
  <c r="K897" i="3"/>
  <c r="L897" i="3" s="1"/>
  <c r="N897" i="3" s="1"/>
  <c r="O897" i="3" s="1"/>
  <c r="K898" i="3"/>
  <c r="L898" i="3" s="1"/>
  <c r="N898" i="3" s="1"/>
  <c r="O898" i="3" s="1"/>
  <c r="K899" i="3"/>
  <c r="L899" i="3" s="1"/>
  <c r="N899" i="3" s="1"/>
  <c r="O899" i="3" s="1"/>
  <c r="K900" i="3"/>
  <c r="L900" i="3" s="1"/>
  <c r="N900" i="3" s="1"/>
  <c r="O900" i="3" s="1"/>
  <c r="K901" i="3"/>
  <c r="L901" i="3" s="1"/>
  <c r="N901" i="3" s="1"/>
  <c r="O901" i="3" s="1"/>
  <c r="K902" i="3"/>
  <c r="L902" i="3" s="1"/>
  <c r="N902" i="3" s="1"/>
  <c r="O902" i="3" s="1"/>
  <c r="K903" i="3"/>
  <c r="L903" i="3" s="1"/>
  <c r="N903" i="3" s="1"/>
  <c r="O903" i="3" s="1"/>
  <c r="K904" i="3"/>
  <c r="L904" i="3" s="1"/>
  <c r="N904" i="3" s="1"/>
  <c r="O904" i="3" s="1"/>
  <c r="K905" i="3"/>
  <c r="L905" i="3" s="1"/>
  <c r="N905" i="3" s="1"/>
  <c r="O905" i="3" s="1"/>
  <c r="K906" i="3"/>
  <c r="L906" i="3" s="1"/>
  <c r="N906" i="3" s="1"/>
  <c r="O906" i="3" s="1"/>
  <c r="K907" i="3"/>
  <c r="L907" i="3" s="1"/>
  <c r="N907" i="3" s="1"/>
  <c r="O907" i="3" s="1"/>
  <c r="K908" i="3"/>
  <c r="L908" i="3" s="1"/>
  <c r="N908" i="3" s="1"/>
  <c r="O908" i="3" s="1"/>
  <c r="K909" i="3"/>
  <c r="L909" i="3" s="1"/>
  <c r="N909" i="3" s="1"/>
  <c r="O909" i="3" s="1"/>
  <c r="K910" i="3"/>
  <c r="L910" i="3" s="1"/>
  <c r="N910" i="3" s="1"/>
  <c r="O910" i="3" s="1"/>
  <c r="K911" i="3"/>
  <c r="L911" i="3" s="1"/>
  <c r="N911" i="3" s="1"/>
  <c r="O911" i="3" s="1"/>
  <c r="K912" i="3"/>
  <c r="L912" i="3" s="1"/>
  <c r="N912" i="3" s="1"/>
  <c r="O912" i="3" s="1"/>
  <c r="K913" i="3"/>
  <c r="L913" i="3" s="1"/>
  <c r="N913" i="3" s="1"/>
  <c r="O913" i="3" s="1"/>
  <c r="K914" i="3"/>
  <c r="L914" i="3" s="1"/>
  <c r="N914" i="3" s="1"/>
  <c r="O914" i="3" s="1"/>
  <c r="K915" i="3"/>
  <c r="L915" i="3" s="1"/>
  <c r="N915" i="3" s="1"/>
  <c r="O915" i="3" s="1"/>
  <c r="K916" i="3"/>
  <c r="L916" i="3" s="1"/>
  <c r="N916" i="3" s="1"/>
  <c r="O916" i="3" s="1"/>
  <c r="K917" i="3"/>
  <c r="L917" i="3" s="1"/>
  <c r="N917" i="3" s="1"/>
  <c r="O917" i="3" s="1"/>
  <c r="K918" i="3"/>
  <c r="L918" i="3" s="1"/>
  <c r="N918" i="3" s="1"/>
  <c r="O918" i="3" s="1"/>
  <c r="K919" i="3"/>
  <c r="L919" i="3" s="1"/>
  <c r="N919" i="3" s="1"/>
  <c r="O919" i="3" s="1"/>
  <c r="K920" i="3"/>
  <c r="L920" i="3" s="1"/>
  <c r="N920" i="3" s="1"/>
  <c r="O920" i="3" s="1"/>
  <c r="K921" i="3"/>
  <c r="L921" i="3" s="1"/>
  <c r="N921" i="3" s="1"/>
  <c r="O921" i="3" s="1"/>
  <c r="K922" i="3"/>
  <c r="L922" i="3" s="1"/>
  <c r="N922" i="3" s="1"/>
  <c r="O922" i="3" s="1"/>
  <c r="K923" i="3"/>
  <c r="L923" i="3" s="1"/>
  <c r="N923" i="3" s="1"/>
  <c r="O923" i="3" s="1"/>
  <c r="K924" i="3"/>
  <c r="L924" i="3" s="1"/>
  <c r="N924" i="3" s="1"/>
  <c r="O924" i="3" s="1"/>
  <c r="K925" i="3"/>
  <c r="L925" i="3" s="1"/>
  <c r="N925" i="3" s="1"/>
  <c r="O925" i="3" s="1"/>
  <c r="K926" i="3"/>
  <c r="L926" i="3" s="1"/>
  <c r="N926" i="3" s="1"/>
  <c r="O926" i="3" s="1"/>
  <c r="K927" i="3"/>
  <c r="L927" i="3" s="1"/>
  <c r="N927" i="3" s="1"/>
  <c r="O927" i="3" s="1"/>
  <c r="K928" i="3"/>
  <c r="L928" i="3" s="1"/>
  <c r="N928" i="3" s="1"/>
  <c r="O928" i="3" s="1"/>
  <c r="K929" i="3"/>
  <c r="L929" i="3" s="1"/>
  <c r="N929" i="3" s="1"/>
  <c r="O929" i="3" s="1"/>
  <c r="K930" i="3"/>
  <c r="L930" i="3" s="1"/>
  <c r="N930" i="3" s="1"/>
  <c r="O930" i="3" s="1"/>
  <c r="K931" i="3"/>
  <c r="L931" i="3" s="1"/>
  <c r="N931" i="3" s="1"/>
  <c r="O931" i="3" s="1"/>
  <c r="K932" i="3"/>
  <c r="L932" i="3" s="1"/>
  <c r="N932" i="3" s="1"/>
  <c r="O932" i="3" s="1"/>
  <c r="K933" i="3"/>
  <c r="L933" i="3" s="1"/>
  <c r="N933" i="3" s="1"/>
  <c r="O933" i="3" s="1"/>
  <c r="K934" i="3"/>
  <c r="L934" i="3" s="1"/>
  <c r="N934" i="3" s="1"/>
  <c r="O934" i="3" s="1"/>
  <c r="K935" i="3"/>
  <c r="L935" i="3" s="1"/>
  <c r="N935" i="3" s="1"/>
  <c r="O935" i="3" s="1"/>
  <c r="K936" i="3"/>
  <c r="L936" i="3" s="1"/>
  <c r="N936" i="3" s="1"/>
  <c r="O936" i="3" s="1"/>
  <c r="K937" i="3"/>
  <c r="L937" i="3" s="1"/>
  <c r="N937" i="3" s="1"/>
  <c r="O937" i="3" s="1"/>
  <c r="K938" i="3"/>
  <c r="L938" i="3" s="1"/>
  <c r="N938" i="3" s="1"/>
  <c r="O938" i="3" s="1"/>
  <c r="K939" i="3"/>
  <c r="L939" i="3" s="1"/>
  <c r="N939" i="3" s="1"/>
  <c r="O939" i="3" s="1"/>
  <c r="K940" i="3"/>
  <c r="L940" i="3" s="1"/>
  <c r="N940" i="3" s="1"/>
  <c r="O940" i="3" s="1"/>
  <c r="K941" i="3"/>
  <c r="L941" i="3" s="1"/>
  <c r="N941" i="3" s="1"/>
  <c r="O941" i="3" s="1"/>
  <c r="K942" i="3"/>
  <c r="L942" i="3" s="1"/>
  <c r="N942" i="3" s="1"/>
  <c r="O942" i="3" s="1"/>
  <c r="K943" i="3"/>
  <c r="L943" i="3" s="1"/>
  <c r="N943" i="3" s="1"/>
  <c r="O943" i="3" s="1"/>
  <c r="K944" i="3"/>
  <c r="L944" i="3" s="1"/>
  <c r="N944" i="3" s="1"/>
  <c r="O944" i="3" s="1"/>
  <c r="K945" i="3"/>
  <c r="L945" i="3" s="1"/>
  <c r="N945" i="3" s="1"/>
  <c r="O945" i="3" s="1"/>
  <c r="K946" i="3"/>
  <c r="L946" i="3" s="1"/>
  <c r="N946" i="3" s="1"/>
  <c r="O946" i="3" s="1"/>
  <c r="K947" i="3"/>
  <c r="L947" i="3" s="1"/>
  <c r="N947" i="3" s="1"/>
  <c r="O947" i="3" s="1"/>
  <c r="K948" i="3"/>
  <c r="L948" i="3" s="1"/>
  <c r="N948" i="3" s="1"/>
  <c r="O948" i="3" s="1"/>
  <c r="K949" i="3"/>
  <c r="L949" i="3" s="1"/>
  <c r="N949" i="3" s="1"/>
  <c r="O949" i="3" s="1"/>
  <c r="K950" i="3"/>
  <c r="L950" i="3" s="1"/>
  <c r="N950" i="3" s="1"/>
  <c r="O950" i="3" s="1"/>
  <c r="K951" i="3"/>
  <c r="L951" i="3" s="1"/>
  <c r="N951" i="3" s="1"/>
  <c r="O951" i="3" s="1"/>
  <c r="K952" i="3"/>
  <c r="L952" i="3" s="1"/>
  <c r="N952" i="3" s="1"/>
  <c r="O952" i="3" s="1"/>
  <c r="K953" i="3"/>
  <c r="L953" i="3" s="1"/>
  <c r="N953" i="3" s="1"/>
  <c r="O953" i="3" s="1"/>
  <c r="K954" i="3"/>
  <c r="L954" i="3" s="1"/>
  <c r="N954" i="3" s="1"/>
  <c r="O954" i="3" s="1"/>
  <c r="K955" i="3"/>
  <c r="L955" i="3" s="1"/>
  <c r="N955" i="3" s="1"/>
  <c r="O955" i="3" s="1"/>
  <c r="K956" i="3"/>
  <c r="L956" i="3" s="1"/>
  <c r="N956" i="3" s="1"/>
  <c r="O956" i="3" s="1"/>
  <c r="K957" i="3"/>
  <c r="L957" i="3" s="1"/>
  <c r="N957" i="3" s="1"/>
  <c r="O957" i="3" s="1"/>
  <c r="K958" i="3"/>
  <c r="L958" i="3" s="1"/>
  <c r="N958" i="3" s="1"/>
  <c r="O958" i="3" s="1"/>
  <c r="K959" i="3"/>
  <c r="L959" i="3" s="1"/>
  <c r="N959" i="3" s="1"/>
  <c r="O959" i="3" s="1"/>
  <c r="K960" i="3"/>
  <c r="L960" i="3" s="1"/>
  <c r="N960" i="3" s="1"/>
  <c r="O960" i="3" s="1"/>
  <c r="K961" i="3"/>
  <c r="L961" i="3" s="1"/>
  <c r="N961" i="3" s="1"/>
  <c r="O961" i="3" s="1"/>
  <c r="K962" i="3"/>
  <c r="L962" i="3" s="1"/>
  <c r="N962" i="3" s="1"/>
  <c r="O962" i="3" s="1"/>
  <c r="K963" i="3"/>
  <c r="L963" i="3" s="1"/>
  <c r="N963" i="3" s="1"/>
  <c r="O963" i="3" s="1"/>
  <c r="K964" i="3"/>
  <c r="L964" i="3" s="1"/>
  <c r="N964" i="3" s="1"/>
  <c r="O964" i="3" s="1"/>
  <c r="K965" i="3"/>
  <c r="L965" i="3" s="1"/>
  <c r="N965" i="3" s="1"/>
  <c r="O965" i="3" s="1"/>
  <c r="K966" i="3"/>
  <c r="L966" i="3" s="1"/>
  <c r="N966" i="3" s="1"/>
  <c r="O966" i="3" s="1"/>
  <c r="K967" i="3"/>
  <c r="L967" i="3" s="1"/>
  <c r="N967" i="3" s="1"/>
  <c r="O967" i="3" s="1"/>
  <c r="K968" i="3"/>
  <c r="L968" i="3" s="1"/>
  <c r="N968" i="3" s="1"/>
  <c r="O968" i="3" s="1"/>
  <c r="K969" i="3"/>
  <c r="L969" i="3" s="1"/>
  <c r="N969" i="3" s="1"/>
  <c r="O969" i="3" s="1"/>
  <c r="K970" i="3"/>
  <c r="L970" i="3" s="1"/>
  <c r="N970" i="3" s="1"/>
  <c r="O970" i="3" s="1"/>
  <c r="K971" i="3"/>
  <c r="L971" i="3" s="1"/>
  <c r="N971" i="3" s="1"/>
  <c r="O971" i="3" s="1"/>
  <c r="K972" i="3"/>
  <c r="L972" i="3" s="1"/>
  <c r="N972" i="3" s="1"/>
  <c r="O972" i="3" s="1"/>
  <c r="K973" i="3"/>
  <c r="L973" i="3" s="1"/>
  <c r="N973" i="3" s="1"/>
  <c r="O973" i="3" s="1"/>
  <c r="K974" i="3"/>
  <c r="L974" i="3" s="1"/>
  <c r="N974" i="3" s="1"/>
  <c r="O974" i="3" s="1"/>
  <c r="K975" i="3"/>
  <c r="L975" i="3" s="1"/>
  <c r="N975" i="3" s="1"/>
  <c r="O975" i="3" s="1"/>
  <c r="K976" i="3"/>
  <c r="L976" i="3" s="1"/>
  <c r="N976" i="3" s="1"/>
  <c r="O976" i="3" s="1"/>
  <c r="K977" i="3"/>
  <c r="L977" i="3" s="1"/>
  <c r="N977" i="3" s="1"/>
  <c r="O977" i="3" s="1"/>
  <c r="K978" i="3"/>
  <c r="L978" i="3" s="1"/>
  <c r="N978" i="3" s="1"/>
  <c r="O978" i="3" s="1"/>
  <c r="K979" i="3"/>
  <c r="L979" i="3" s="1"/>
  <c r="N979" i="3" s="1"/>
  <c r="O979" i="3" s="1"/>
  <c r="K980" i="3"/>
  <c r="L980" i="3" s="1"/>
  <c r="N980" i="3" s="1"/>
  <c r="O980" i="3" s="1"/>
  <c r="K981" i="3"/>
  <c r="L981" i="3" s="1"/>
  <c r="N981" i="3" s="1"/>
  <c r="O981" i="3" s="1"/>
  <c r="K982" i="3"/>
  <c r="L982" i="3" s="1"/>
  <c r="N982" i="3" s="1"/>
  <c r="O982" i="3" s="1"/>
  <c r="K983" i="3"/>
  <c r="L983" i="3" s="1"/>
  <c r="N983" i="3" s="1"/>
  <c r="O983" i="3" s="1"/>
  <c r="K984" i="3"/>
  <c r="L984" i="3" s="1"/>
  <c r="N984" i="3" s="1"/>
  <c r="O984" i="3" s="1"/>
  <c r="K985" i="3"/>
  <c r="L985" i="3" s="1"/>
  <c r="N985" i="3" s="1"/>
  <c r="O985" i="3" s="1"/>
  <c r="K986" i="3"/>
  <c r="L986" i="3" s="1"/>
  <c r="N986" i="3" s="1"/>
  <c r="O986" i="3" s="1"/>
  <c r="K987" i="3"/>
  <c r="L987" i="3" s="1"/>
  <c r="N987" i="3" s="1"/>
  <c r="O987" i="3" s="1"/>
  <c r="K988" i="3"/>
  <c r="L988" i="3" s="1"/>
  <c r="N988" i="3" s="1"/>
  <c r="O988" i="3" s="1"/>
  <c r="K989" i="3"/>
  <c r="L989" i="3" s="1"/>
  <c r="N989" i="3" s="1"/>
  <c r="O989" i="3" s="1"/>
  <c r="K990" i="3"/>
  <c r="L990" i="3" s="1"/>
  <c r="N990" i="3" s="1"/>
  <c r="O990" i="3" s="1"/>
  <c r="K991" i="3"/>
  <c r="L991" i="3" s="1"/>
  <c r="N991" i="3" s="1"/>
  <c r="O991" i="3" s="1"/>
  <c r="K992" i="3"/>
  <c r="L992" i="3" s="1"/>
  <c r="N992" i="3" s="1"/>
  <c r="O992" i="3" s="1"/>
  <c r="K993" i="3"/>
  <c r="L993" i="3" s="1"/>
  <c r="N993" i="3" s="1"/>
  <c r="O993" i="3" s="1"/>
  <c r="K994" i="3"/>
  <c r="L994" i="3" s="1"/>
  <c r="N994" i="3" s="1"/>
  <c r="O994" i="3" s="1"/>
  <c r="K995" i="3"/>
  <c r="L995" i="3" s="1"/>
  <c r="N995" i="3" s="1"/>
  <c r="O995" i="3" s="1"/>
  <c r="K996" i="3"/>
  <c r="L996" i="3" s="1"/>
  <c r="N996" i="3" s="1"/>
  <c r="O996" i="3" s="1"/>
  <c r="K997" i="3"/>
  <c r="L997" i="3" s="1"/>
  <c r="N997" i="3" s="1"/>
  <c r="O997" i="3" s="1"/>
  <c r="K998" i="3"/>
  <c r="L998" i="3" s="1"/>
  <c r="N998" i="3" s="1"/>
  <c r="O998" i="3" s="1"/>
  <c r="K999" i="3"/>
  <c r="L999" i="3" s="1"/>
  <c r="N999" i="3" s="1"/>
  <c r="O999" i="3" s="1"/>
  <c r="K1000" i="3"/>
  <c r="L1000" i="3" s="1"/>
  <c r="N1000" i="3" s="1"/>
  <c r="O1000" i="3" s="1"/>
  <c r="K1001" i="3"/>
  <c r="L1001" i="3" s="1"/>
  <c r="N1001" i="3" s="1"/>
  <c r="O1001" i="3" s="1"/>
  <c r="K10" i="5"/>
  <c r="H10" i="5"/>
  <c r="E10" i="5"/>
  <c r="B10" i="5"/>
</calcChain>
</file>

<file path=xl/sharedStrings.xml><?xml version="1.0" encoding="utf-8"?>
<sst xmlns="http://schemas.openxmlformats.org/spreadsheetml/2006/main" count="12125" uniqueCount="1112">
  <si>
    <t>Date</t>
  </si>
  <si>
    <t>Employee ID</t>
  </si>
  <si>
    <t>Employee</t>
  </si>
  <si>
    <t>Department</t>
  </si>
  <si>
    <t>Request Type</t>
  </si>
  <si>
    <t>Category</t>
  </si>
  <si>
    <t>Advance Amount</t>
  </si>
  <si>
    <t>Expense Amount</t>
  </si>
  <si>
    <t>Return Amount</t>
  </si>
  <si>
    <t>Status</t>
  </si>
  <si>
    <t>Age Days</t>
  </si>
  <si>
    <t>EMP008</t>
  </si>
  <si>
    <t>Hendra Wijaya</t>
  </si>
  <si>
    <t>Finance</t>
  </si>
  <si>
    <t>Cash Advance</t>
  </si>
  <si>
    <t>Perjalanan Dinas</t>
  </si>
  <si>
    <t>Settled</t>
  </si>
  <si>
    <t>EMP013</t>
  </si>
  <si>
    <t>Maya Sari</t>
  </si>
  <si>
    <t>Procurement</t>
  </si>
  <si>
    <t>Petty Cash</t>
  </si>
  <si>
    <t>Outstanding</t>
  </si>
  <si>
    <t>EMP018</t>
  </si>
  <si>
    <t>Sinta Dewi</t>
  </si>
  <si>
    <t>Operations</t>
  </si>
  <si>
    <t>EMP020</t>
  </si>
  <si>
    <t>Vina Anggraini</t>
  </si>
  <si>
    <t>HR</t>
  </si>
  <si>
    <t>ATK</t>
  </si>
  <si>
    <t>EMP002</t>
  </si>
  <si>
    <t>Budi Santoso</t>
  </si>
  <si>
    <t>Operasional</t>
  </si>
  <si>
    <t>EMP003</t>
  </si>
  <si>
    <t>Citra Lestari</t>
  </si>
  <si>
    <t>Konsumsi</t>
  </si>
  <si>
    <t>EMP009</t>
  </si>
  <si>
    <t>Intan Permata</t>
  </si>
  <si>
    <t>Marketing</t>
  </si>
  <si>
    <t>EMP010</t>
  </si>
  <si>
    <t>Joko Susilo</t>
  </si>
  <si>
    <t>Transportasi</t>
  </si>
  <si>
    <t>EMP007</t>
  </si>
  <si>
    <t>Gita Maharani</t>
  </si>
  <si>
    <t>Sales</t>
  </si>
  <si>
    <t>EMP012</t>
  </si>
  <si>
    <t>Lukman Hakim</t>
  </si>
  <si>
    <t>EMP001</t>
  </si>
  <si>
    <t>Andi Pratama</t>
  </si>
  <si>
    <t>EMP005</t>
  </si>
  <si>
    <t>Eka Wulandari</t>
  </si>
  <si>
    <t>EMP014</t>
  </si>
  <si>
    <t>Nanda Putri</t>
  </si>
  <si>
    <t>IT</t>
  </si>
  <si>
    <t>EMP017</t>
  </si>
  <si>
    <t>Rizky Maulana</t>
  </si>
  <si>
    <t>EMP004</t>
  </si>
  <si>
    <t>Dimas Saputra</t>
  </si>
  <si>
    <t>Kurir &amp; Pengiriman</t>
  </si>
  <si>
    <t>Meeting</t>
  </si>
  <si>
    <t>EMP019</t>
  </si>
  <si>
    <t>Taufik Hidayat</t>
  </si>
  <si>
    <t>Internet &amp; Komunikasi</t>
  </si>
  <si>
    <t>EMP006</t>
  </si>
  <si>
    <t>Fajar Nugroho</t>
  </si>
  <si>
    <t>EMP015</t>
  </si>
  <si>
    <t>Oscar Ramadhan</t>
  </si>
  <si>
    <t>EMP016</t>
  </si>
  <si>
    <t>Putri Ayu</t>
  </si>
  <si>
    <t>EMP011</t>
  </si>
  <si>
    <t>Karin Amelia</t>
  </si>
  <si>
    <t>Project Guide</t>
  </si>
  <si>
    <t>Petty Cash &amp; Cash Advance Management</t>
  </si>
  <si>
    <t>Dataset: 1,000 transaksi periode Januari–Agustus 2026.</t>
  </si>
  <si>
    <t>Gunakan sheet Transactions sebagai raw transaction data.</t>
  </si>
  <si>
    <t>KPI utama: Total Advance, Total Expense, Total Return, Outstanding, Unsettled Transactions.</t>
  </si>
  <si>
    <t>Analisis: Aging Outstanding, Employee Outstanding Terbesar, Expense by Category/Department.</t>
  </si>
  <si>
    <r>
      <t>STEP 1 — Pahami transaksi</t>
    </r>
    <r>
      <rPr>
        <sz val="11"/>
        <color theme="1"/>
        <rFont val="Calibri"/>
        <family val="2"/>
        <scheme val="minor"/>
      </rPr>
      <t xml:space="preserve"> ← sekarang</t>
    </r>
  </si>
  <si>
    <t>↓</t>
  </si>
  <si>
    <t>STEP 2 — Cleaning data</t>
  </si>
  <si>
    <t>STEP 3 — Buat kolom Outstanding</t>
  </si>
  <si>
    <t>STEP 4 — Buat Aging &amp; Aging Bucket</t>
  </si>
  <si>
    <t>STEP 5 — Rekonsiliasi data</t>
  </si>
  <si>
    <t>STEP 6 — PivotTable</t>
  </si>
  <si>
    <t>STEP 7 — KPI</t>
  </si>
  <si>
    <t>STEP 8 — Dashboard</t>
  </si>
  <si>
    <t>Transaction ID</t>
  </si>
  <si>
    <t>PC-2026-0001</t>
  </si>
  <si>
    <t>PC-2026-0002</t>
  </si>
  <si>
    <t>PC-2026-0003</t>
  </si>
  <si>
    <t>PC-2026-0004</t>
  </si>
  <si>
    <t>PC-2026-0005</t>
  </si>
  <si>
    <t>PC-2026-0006</t>
  </si>
  <si>
    <t>PC-2026-0007</t>
  </si>
  <si>
    <t>PC-2026-0008</t>
  </si>
  <si>
    <t>PC-2026-0009</t>
  </si>
  <si>
    <t>PC-2026-0010</t>
  </si>
  <si>
    <t>PC-2026-0011</t>
  </si>
  <si>
    <t>PC-2026-0012</t>
  </si>
  <si>
    <t>PC-2026-0013</t>
  </si>
  <si>
    <t>PC-2026-0014</t>
  </si>
  <si>
    <t>PC-2026-0015</t>
  </si>
  <si>
    <t>PC-2026-0016</t>
  </si>
  <si>
    <t>PC-2026-0017</t>
  </si>
  <si>
    <t>PC-2026-0018</t>
  </si>
  <si>
    <t>PC-2026-0019</t>
  </si>
  <si>
    <t>PC-2026-0020</t>
  </si>
  <si>
    <t>PC-2026-0021</t>
  </si>
  <si>
    <t>PC-2026-0022</t>
  </si>
  <si>
    <t>PC-2026-0023</t>
  </si>
  <si>
    <t>PC-2026-0024</t>
  </si>
  <si>
    <t>PC-2026-0025</t>
  </si>
  <si>
    <t>PC-2026-0026</t>
  </si>
  <si>
    <t>PC-2026-0027</t>
  </si>
  <si>
    <t>PC-2026-0028</t>
  </si>
  <si>
    <t>PC-2026-0029</t>
  </si>
  <si>
    <t>PC-2026-0030</t>
  </si>
  <si>
    <t>PC-2026-0031</t>
  </si>
  <si>
    <t>PC-2026-0032</t>
  </si>
  <si>
    <t>PC-2026-0033</t>
  </si>
  <si>
    <t>PC-2026-0034</t>
  </si>
  <si>
    <t>PC-2026-0035</t>
  </si>
  <si>
    <t>PC-2026-0036</t>
  </si>
  <si>
    <t>PC-2026-0037</t>
  </si>
  <si>
    <t>PC-2026-0038</t>
  </si>
  <si>
    <t>PC-2026-0039</t>
  </si>
  <si>
    <t>PC-2026-0040</t>
  </si>
  <si>
    <t>PC-2026-0041</t>
  </si>
  <si>
    <t>PC-2026-0042</t>
  </si>
  <si>
    <t>PC-2026-0043</t>
  </si>
  <si>
    <t>PC-2026-0044</t>
  </si>
  <si>
    <t>PC-2026-0045</t>
  </si>
  <si>
    <t>PC-2026-0046</t>
  </si>
  <si>
    <t>PC-2026-0047</t>
  </si>
  <si>
    <t>PC-2026-0048</t>
  </si>
  <si>
    <t>PC-2026-0049</t>
  </si>
  <si>
    <t>PC-2026-0050</t>
  </si>
  <si>
    <t>PC-2026-0051</t>
  </si>
  <si>
    <t>PC-2026-0052</t>
  </si>
  <si>
    <t>PC-2026-0053</t>
  </si>
  <si>
    <t>PC-2026-0054</t>
  </si>
  <si>
    <t>PC-2026-0055</t>
  </si>
  <si>
    <t>PC-2026-0056</t>
  </si>
  <si>
    <t>PC-2026-0057</t>
  </si>
  <si>
    <t>PC-2026-0058</t>
  </si>
  <si>
    <t>PC-2026-0059</t>
  </si>
  <si>
    <t>PC-2026-0060</t>
  </si>
  <si>
    <t>PC-2026-0061</t>
  </si>
  <si>
    <t>PC-2026-0062</t>
  </si>
  <si>
    <t>PC-2026-0063</t>
  </si>
  <si>
    <t>PC-2026-0064</t>
  </si>
  <si>
    <t>PC-2026-0065</t>
  </si>
  <si>
    <t>PC-2026-0066</t>
  </si>
  <si>
    <t>PC-2026-0067</t>
  </si>
  <si>
    <t>PC-2026-0068</t>
  </si>
  <si>
    <t>PC-2026-0069</t>
  </si>
  <si>
    <t>PC-2026-0070</t>
  </si>
  <si>
    <t>PC-2026-0071</t>
  </si>
  <si>
    <t>PC-2026-0072</t>
  </si>
  <si>
    <t>PC-2026-0073</t>
  </si>
  <si>
    <t>PC-2026-0074</t>
  </si>
  <si>
    <t>PC-2026-0075</t>
  </si>
  <si>
    <t>PC-2026-0076</t>
  </si>
  <si>
    <t>PC-2026-0077</t>
  </si>
  <si>
    <t>PC-2026-0078</t>
  </si>
  <si>
    <t>PC-2026-0079</t>
  </si>
  <si>
    <t>PC-2026-0080</t>
  </si>
  <si>
    <t>PC-2026-0081</t>
  </si>
  <si>
    <t>PC-2026-0082</t>
  </si>
  <si>
    <t>PC-2026-0083</t>
  </si>
  <si>
    <t>PC-2026-0084</t>
  </si>
  <si>
    <t>PC-2026-0085</t>
  </si>
  <si>
    <t>PC-2026-0086</t>
  </si>
  <si>
    <t>PC-2026-0087</t>
  </si>
  <si>
    <t>PC-2026-0088</t>
  </si>
  <si>
    <t>PC-2026-0089</t>
  </si>
  <si>
    <t>PC-2026-0090</t>
  </si>
  <si>
    <t>PC-2026-0091</t>
  </si>
  <si>
    <t>PC-2026-0092</t>
  </si>
  <si>
    <t>PC-2026-0093</t>
  </si>
  <si>
    <t>PC-2026-0094</t>
  </si>
  <si>
    <t>PC-2026-0095</t>
  </si>
  <si>
    <t>PC-2026-0096</t>
  </si>
  <si>
    <t>PC-2026-0097</t>
  </si>
  <si>
    <t>PC-2026-0098</t>
  </si>
  <si>
    <t>PC-2026-0099</t>
  </si>
  <si>
    <t>PC-2026-0100</t>
  </si>
  <si>
    <t>PC-2026-0101</t>
  </si>
  <si>
    <t>PC-2026-0102</t>
  </si>
  <si>
    <t>PC-2026-0103</t>
  </si>
  <si>
    <t>PC-2026-0104</t>
  </si>
  <si>
    <t>PC-2026-0105</t>
  </si>
  <si>
    <t>PC-2026-0106</t>
  </si>
  <si>
    <t>PC-2026-0107</t>
  </si>
  <si>
    <t>PC-2026-0108</t>
  </si>
  <si>
    <t>PC-2026-0109</t>
  </si>
  <si>
    <t>PC-2026-0110</t>
  </si>
  <si>
    <t>PC-2026-0111</t>
  </si>
  <si>
    <t>PC-2026-0112</t>
  </si>
  <si>
    <t>PC-2026-0113</t>
  </si>
  <si>
    <t>PC-2026-0114</t>
  </si>
  <si>
    <t>PC-2026-0115</t>
  </si>
  <si>
    <t>PC-2026-0116</t>
  </si>
  <si>
    <t>PC-2026-0117</t>
  </si>
  <si>
    <t>PC-2026-0118</t>
  </si>
  <si>
    <t>PC-2026-0119</t>
  </si>
  <si>
    <t>PC-2026-0120</t>
  </si>
  <si>
    <t>PC-2026-0121</t>
  </si>
  <si>
    <t>PC-2026-0122</t>
  </si>
  <si>
    <t>PC-2026-0123</t>
  </si>
  <si>
    <t>PC-2026-0124</t>
  </si>
  <si>
    <t>PC-2026-0125</t>
  </si>
  <si>
    <t>PC-2026-0126</t>
  </si>
  <si>
    <t>PC-2026-0127</t>
  </si>
  <si>
    <t>PC-2026-0128</t>
  </si>
  <si>
    <t>PC-2026-0129</t>
  </si>
  <si>
    <t>PC-2026-0130</t>
  </si>
  <si>
    <t>PC-2026-0131</t>
  </si>
  <si>
    <t>PC-2026-0132</t>
  </si>
  <si>
    <t>PC-2026-0133</t>
  </si>
  <si>
    <t>PC-2026-0134</t>
  </si>
  <si>
    <t>PC-2026-0135</t>
  </si>
  <si>
    <t>PC-2026-0136</t>
  </si>
  <si>
    <t>PC-2026-0137</t>
  </si>
  <si>
    <t>PC-2026-0138</t>
  </si>
  <si>
    <t>PC-2026-0139</t>
  </si>
  <si>
    <t>PC-2026-0140</t>
  </si>
  <si>
    <t>PC-2026-0141</t>
  </si>
  <si>
    <t>PC-2026-0142</t>
  </si>
  <si>
    <t>PC-2026-0143</t>
  </si>
  <si>
    <t>PC-2026-0144</t>
  </si>
  <si>
    <t>PC-2026-0145</t>
  </si>
  <si>
    <t>PC-2026-0146</t>
  </si>
  <si>
    <t>PC-2026-0147</t>
  </si>
  <si>
    <t>PC-2026-0148</t>
  </si>
  <si>
    <t>PC-2026-0149</t>
  </si>
  <si>
    <t>PC-2026-0150</t>
  </si>
  <si>
    <t>PC-2026-0151</t>
  </si>
  <si>
    <t>PC-2026-0152</t>
  </si>
  <si>
    <t>PC-2026-0153</t>
  </si>
  <si>
    <t>PC-2026-0154</t>
  </si>
  <si>
    <t>PC-2026-0155</t>
  </si>
  <si>
    <t>PC-2026-0156</t>
  </si>
  <si>
    <t>PC-2026-0157</t>
  </si>
  <si>
    <t>PC-2026-0158</t>
  </si>
  <si>
    <t>PC-2026-0159</t>
  </si>
  <si>
    <t>PC-2026-0160</t>
  </si>
  <si>
    <t>PC-2026-0161</t>
  </si>
  <si>
    <t>PC-2026-0162</t>
  </si>
  <si>
    <t>PC-2026-0163</t>
  </si>
  <si>
    <t>PC-2026-0164</t>
  </si>
  <si>
    <t>PC-2026-0165</t>
  </si>
  <si>
    <t>PC-2026-0166</t>
  </si>
  <si>
    <t>PC-2026-0167</t>
  </si>
  <si>
    <t>PC-2026-0168</t>
  </si>
  <si>
    <t>PC-2026-0169</t>
  </si>
  <si>
    <t>PC-2026-0170</t>
  </si>
  <si>
    <t>PC-2026-0171</t>
  </si>
  <si>
    <t>PC-2026-0172</t>
  </si>
  <si>
    <t>PC-2026-0173</t>
  </si>
  <si>
    <t>PC-2026-0174</t>
  </si>
  <si>
    <t>PC-2026-0175</t>
  </si>
  <si>
    <t>PC-2026-0176</t>
  </si>
  <si>
    <t>PC-2026-0177</t>
  </si>
  <si>
    <t>PC-2026-0178</t>
  </si>
  <si>
    <t>PC-2026-0179</t>
  </si>
  <si>
    <t>PC-2026-0180</t>
  </si>
  <si>
    <t>PC-2026-0181</t>
  </si>
  <si>
    <t>PC-2026-0182</t>
  </si>
  <si>
    <t>PC-2026-0183</t>
  </si>
  <si>
    <t>PC-2026-0184</t>
  </si>
  <si>
    <t>PC-2026-0185</t>
  </si>
  <si>
    <t>PC-2026-0186</t>
  </si>
  <si>
    <t>PC-2026-0187</t>
  </si>
  <si>
    <t>PC-2026-0188</t>
  </si>
  <si>
    <t>PC-2026-0189</t>
  </si>
  <si>
    <t>PC-2026-0190</t>
  </si>
  <si>
    <t>PC-2026-0191</t>
  </si>
  <si>
    <t>PC-2026-0192</t>
  </si>
  <si>
    <t>PC-2026-0193</t>
  </si>
  <si>
    <t>PC-2026-0194</t>
  </si>
  <si>
    <t>PC-2026-0195</t>
  </si>
  <si>
    <t>PC-2026-0196</t>
  </si>
  <si>
    <t>PC-2026-0197</t>
  </si>
  <si>
    <t>PC-2026-0198</t>
  </si>
  <si>
    <t>PC-2026-0199</t>
  </si>
  <si>
    <t>PC-2026-0200</t>
  </si>
  <si>
    <t>PC-2026-0201</t>
  </si>
  <si>
    <t>PC-2026-0202</t>
  </si>
  <si>
    <t>PC-2026-0203</t>
  </si>
  <si>
    <t>PC-2026-0204</t>
  </si>
  <si>
    <t>PC-2026-0205</t>
  </si>
  <si>
    <t>PC-2026-0206</t>
  </si>
  <si>
    <t>PC-2026-0207</t>
  </si>
  <si>
    <t>PC-2026-0208</t>
  </si>
  <si>
    <t>PC-2026-0209</t>
  </si>
  <si>
    <t>PC-2026-0210</t>
  </si>
  <si>
    <t>PC-2026-0211</t>
  </si>
  <si>
    <t>PC-2026-0212</t>
  </si>
  <si>
    <t>PC-2026-0213</t>
  </si>
  <si>
    <t>PC-2026-0214</t>
  </si>
  <si>
    <t>PC-2026-0215</t>
  </si>
  <si>
    <t>PC-2026-0216</t>
  </si>
  <si>
    <t>PC-2026-0217</t>
  </si>
  <si>
    <t>PC-2026-0218</t>
  </si>
  <si>
    <t>PC-2026-0219</t>
  </si>
  <si>
    <t>PC-2026-0220</t>
  </si>
  <si>
    <t>PC-2026-0221</t>
  </si>
  <si>
    <t>PC-2026-0222</t>
  </si>
  <si>
    <t>PC-2026-0223</t>
  </si>
  <si>
    <t>PC-2026-0224</t>
  </si>
  <si>
    <t>PC-2026-0225</t>
  </si>
  <si>
    <t>PC-2026-0226</t>
  </si>
  <si>
    <t>PC-2026-0227</t>
  </si>
  <si>
    <t>PC-2026-0228</t>
  </si>
  <si>
    <t>PC-2026-0229</t>
  </si>
  <si>
    <t>PC-2026-0230</t>
  </si>
  <si>
    <t>PC-2026-0231</t>
  </si>
  <si>
    <t>PC-2026-0232</t>
  </si>
  <si>
    <t>PC-2026-0233</t>
  </si>
  <si>
    <t>PC-2026-0234</t>
  </si>
  <si>
    <t>PC-2026-0235</t>
  </si>
  <si>
    <t>PC-2026-0236</t>
  </si>
  <si>
    <t>PC-2026-0237</t>
  </si>
  <si>
    <t>PC-2026-0238</t>
  </si>
  <si>
    <t>PC-2026-0239</t>
  </si>
  <si>
    <t>PC-2026-0240</t>
  </si>
  <si>
    <t>PC-2026-0241</t>
  </si>
  <si>
    <t>PC-2026-0242</t>
  </si>
  <si>
    <t>PC-2026-0243</t>
  </si>
  <si>
    <t>PC-2026-0244</t>
  </si>
  <si>
    <t>PC-2026-0245</t>
  </si>
  <si>
    <t>PC-2026-0246</t>
  </si>
  <si>
    <t>PC-2026-0247</t>
  </si>
  <si>
    <t>PC-2026-0248</t>
  </si>
  <si>
    <t>PC-2026-0249</t>
  </si>
  <si>
    <t>PC-2026-0250</t>
  </si>
  <si>
    <t>PC-2026-0251</t>
  </si>
  <si>
    <t>PC-2026-0252</t>
  </si>
  <si>
    <t>PC-2026-0253</t>
  </si>
  <si>
    <t>PC-2026-0254</t>
  </si>
  <si>
    <t>PC-2026-0255</t>
  </si>
  <si>
    <t>PC-2026-0256</t>
  </si>
  <si>
    <t>PC-2026-0257</t>
  </si>
  <si>
    <t>PC-2026-0258</t>
  </si>
  <si>
    <t>PC-2026-0259</t>
  </si>
  <si>
    <t>PC-2026-0260</t>
  </si>
  <si>
    <t>PC-2026-0261</t>
  </si>
  <si>
    <t>PC-2026-0262</t>
  </si>
  <si>
    <t>PC-2026-0263</t>
  </si>
  <si>
    <t>PC-2026-0264</t>
  </si>
  <si>
    <t>PC-2026-0265</t>
  </si>
  <si>
    <t>PC-2026-0266</t>
  </si>
  <si>
    <t>PC-2026-0267</t>
  </si>
  <si>
    <t>PC-2026-0268</t>
  </si>
  <si>
    <t>PC-2026-0269</t>
  </si>
  <si>
    <t>PC-2026-0270</t>
  </si>
  <si>
    <t>PC-2026-0271</t>
  </si>
  <si>
    <t>PC-2026-0272</t>
  </si>
  <si>
    <t>PC-2026-0273</t>
  </si>
  <si>
    <t>PC-2026-0274</t>
  </si>
  <si>
    <t>PC-2026-0275</t>
  </si>
  <si>
    <t>PC-2026-0276</t>
  </si>
  <si>
    <t>PC-2026-0277</t>
  </si>
  <si>
    <t>PC-2026-0278</t>
  </si>
  <si>
    <t>PC-2026-0279</t>
  </si>
  <si>
    <t>PC-2026-0280</t>
  </si>
  <si>
    <t>PC-2026-0281</t>
  </si>
  <si>
    <t>PC-2026-0282</t>
  </si>
  <si>
    <t>PC-2026-0283</t>
  </si>
  <si>
    <t>PC-2026-0284</t>
  </si>
  <si>
    <t>PC-2026-0285</t>
  </si>
  <si>
    <t>PC-2026-0286</t>
  </si>
  <si>
    <t>PC-2026-0287</t>
  </si>
  <si>
    <t>PC-2026-0288</t>
  </si>
  <si>
    <t>PC-2026-0289</t>
  </si>
  <si>
    <t>PC-2026-0290</t>
  </si>
  <si>
    <t>PC-2026-0291</t>
  </si>
  <si>
    <t>PC-2026-0292</t>
  </si>
  <si>
    <t>PC-2026-0293</t>
  </si>
  <si>
    <t>PC-2026-0294</t>
  </si>
  <si>
    <t>PC-2026-0295</t>
  </si>
  <si>
    <t>PC-2026-0296</t>
  </si>
  <si>
    <t>PC-2026-0297</t>
  </si>
  <si>
    <t>PC-2026-0298</t>
  </si>
  <si>
    <t>PC-2026-0299</t>
  </si>
  <si>
    <t>PC-2026-0300</t>
  </si>
  <si>
    <t>PC-2026-0301</t>
  </si>
  <si>
    <t>PC-2026-0302</t>
  </si>
  <si>
    <t>PC-2026-0303</t>
  </si>
  <si>
    <t>PC-2026-0304</t>
  </si>
  <si>
    <t>PC-2026-0305</t>
  </si>
  <si>
    <t>PC-2026-0306</t>
  </si>
  <si>
    <t>PC-2026-0307</t>
  </si>
  <si>
    <t>PC-2026-0308</t>
  </si>
  <si>
    <t>PC-2026-0309</t>
  </si>
  <si>
    <t>PC-2026-0310</t>
  </si>
  <si>
    <t>PC-2026-0311</t>
  </si>
  <si>
    <t>PC-2026-0312</t>
  </si>
  <si>
    <t>PC-2026-0313</t>
  </si>
  <si>
    <t>PC-2026-0314</t>
  </si>
  <si>
    <t>PC-2026-0315</t>
  </si>
  <si>
    <t>PC-2026-0316</t>
  </si>
  <si>
    <t>PC-2026-0317</t>
  </si>
  <si>
    <t>PC-2026-0318</t>
  </si>
  <si>
    <t>PC-2026-0319</t>
  </si>
  <si>
    <t>PC-2026-0320</t>
  </si>
  <si>
    <t>PC-2026-0321</t>
  </si>
  <si>
    <t>PC-2026-0322</t>
  </si>
  <si>
    <t>PC-2026-0323</t>
  </si>
  <si>
    <t>PC-2026-0324</t>
  </si>
  <si>
    <t>PC-2026-0325</t>
  </si>
  <si>
    <t>PC-2026-0326</t>
  </si>
  <si>
    <t>PC-2026-0327</t>
  </si>
  <si>
    <t>PC-2026-0328</t>
  </si>
  <si>
    <t>PC-2026-0329</t>
  </si>
  <si>
    <t>PC-2026-0330</t>
  </si>
  <si>
    <t>PC-2026-0331</t>
  </si>
  <si>
    <t>PC-2026-0332</t>
  </si>
  <si>
    <t>PC-2026-0333</t>
  </si>
  <si>
    <t>PC-2026-0334</t>
  </si>
  <si>
    <t>PC-2026-0335</t>
  </si>
  <si>
    <t>PC-2026-0336</t>
  </si>
  <si>
    <t>PC-2026-0337</t>
  </si>
  <si>
    <t>PC-2026-0338</t>
  </si>
  <si>
    <t>PC-2026-0339</t>
  </si>
  <si>
    <t>PC-2026-0340</t>
  </si>
  <si>
    <t>PC-2026-0341</t>
  </si>
  <si>
    <t>PC-2026-0342</t>
  </si>
  <si>
    <t>PC-2026-0343</t>
  </si>
  <si>
    <t>PC-2026-0344</t>
  </si>
  <si>
    <t>PC-2026-0345</t>
  </si>
  <si>
    <t>PC-2026-0346</t>
  </si>
  <si>
    <t>PC-2026-0347</t>
  </si>
  <si>
    <t>PC-2026-0348</t>
  </si>
  <si>
    <t>PC-2026-0349</t>
  </si>
  <si>
    <t>PC-2026-0350</t>
  </si>
  <si>
    <t>PC-2026-0351</t>
  </si>
  <si>
    <t>PC-2026-0352</t>
  </si>
  <si>
    <t>PC-2026-0353</t>
  </si>
  <si>
    <t>PC-2026-0354</t>
  </si>
  <si>
    <t>PC-2026-0355</t>
  </si>
  <si>
    <t>PC-2026-0356</t>
  </si>
  <si>
    <t>PC-2026-0357</t>
  </si>
  <si>
    <t>PC-2026-0358</t>
  </si>
  <si>
    <t>PC-2026-0359</t>
  </si>
  <si>
    <t>PC-2026-0360</t>
  </si>
  <si>
    <t>PC-2026-0361</t>
  </si>
  <si>
    <t>PC-2026-0362</t>
  </si>
  <si>
    <t>PC-2026-0363</t>
  </si>
  <si>
    <t>PC-2026-0364</t>
  </si>
  <si>
    <t>PC-2026-0365</t>
  </si>
  <si>
    <t>PC-2026-0366</t>
  </si>
  <si>
    <t>PC-2026-0367</t>
  </si>
  <si>
    <t>PC-2026-0368</t>
  </si>
  <si>
    <t>PC-2026-0369</t>
  </si>
  <si>
    <t>PC-2026-0370</t>
  </si>
  <si>
    <t>PC-2026-0371</t>
  </si>
  <si>
    <t>PC-2026-0372</t>
  </si>
  <si>
    <t>PC-2026-0373</t>
  </si>
  <si>
    <t>PC-2026-0374</t>
  </si>
  <si>
    <t>PC-2026-0375</t>
  </si>
  <si>
    <t>PC-2026-0376</t>
  </si>
  <si>
    <t>PC-2026-0377</t>
  </si>
  <si>
    <t>PC-2026-0378</t>
  </si>
  <si>
    <t>PC-2026-0379</t>
  </si>
  <si>
    <t>PC-2026-0380</t>
  </si>
  <si>
    <t>PC-2026-0381</t>
  </si>
  <si>
    <t>PC-2026-0382</t>
  </si>
  <si>
    <t>PC-2026-0383</t>
  </si>
  <si>
    <t>PC-2026-0384</t>
  </si>
  <si>
    <t>PC-2026-0385</t>
  </si>
  <si>
    <t>PC-2026-0386</t>
  </si>
  <si>
    <t>PC-2026-0387</t>
  </si>
  <si>
    <t>PC-2026-0388</t>
  </si>
  <si>
    <t>PC-2026-0389</t>
  </si>
  <si>
    <t>PC-2026-0390</t>
  </si>
  <si>
    <t>PC-2026-0391</t>
  </si>
  <si>
    <t>PC-2026-0392</t>
  </si>
  <si>
    <t>PC-2026-0393</t>
  </si>
  <si>
    <t>PC-2026-0394</t>
  </si>
  <si>
    <t>PC-2026-0395</t>
  </si>
  <si>
    <t>PC-2026-0396</t>
  </si>
  <si>
    <t>PC-2026-0397</t>
  </si>
  <si>
    <t>PC-2026-0398</t>
  </si>
  <si>
    <t>PC-2026-0399</t>
  </si>
  <si>
    <t>PC-2026-0400</t>
  </si>
  <si>
    <t>PC-2026-0401</t>
  </si>
  <si>
    <t>PC-2026-0402</t>
  </si>
  <si>
    <t>PC-2026-0403</t>
  </si>
  <si>
    <t>PC-2026-0404</t>
  </si>
  <si>
    <t>PC-2026-0405</t>
  </si>
  <si>
    <t>PC-2026-0406</t>
  </si>
  <si>
    <t>PC-2026-0407</t>
  </si>
  <si>
    <t>PC-2026-0408</t>
  </si>
  <si>
    <t>PC-2026-0409</t>
  </si>
  <si>
    <t>PC-2026-0410</t>
  </si>
  <si>
    <t>PC-2026-0411</t>
  </si>
  <si>
    <t>PC-2026-0412</t>
  </si>
  <si>
    <t>PC-2026-0413</t>
  </si>
  <si>
    <t>PC-2026-0414</t>
  </si>
  <si>
    <t>PC-2026-0415</t>
  </si>
  <si>
    <t>PC-2026-0416</t>
  </si>
  <si>
    <t>PC-2026-0417</t>
  </si>
  <si>
    <t>PC-2026-0418</t>
  </si>
  <si>
    <t>PC-2026-0419</t>
  </si>
  <si>
    <t>PC-2026-0420</t>
  </si>
  <si>
    <t>PC-2026-0421</t>
  </si>
  <si>
    <t>PC-2026-0422</t>
  </si>
  <si>
    <t>PC-2026-0423</t>
  </si>
  <si>
    <t>PC-2026-0424</t>
  </si>
  <si>
    <t>PC-2026-0425</t>
  </si>
  <si>
    <t>PC-2026-0426</t>
  </si>
  <si>
    <t>PC-2026-0427</t>
  </si>
  <si>
    <t>PC-2026-0428</t>
  </si>
  <si>
    <t>PC-2026-0429</t>
  </si>
  <si>
    <t>PC-2026-0430</t>
  </si>
  <si>
    <t>PC-2026-0431</t>
  </si>
  <si>
    <t>PC-2026-0432</t>
  </si>
  <si>
    <t>PC-2026-0433</t>
  </si>
  <si>
    <t>PC-2026-0434</t>
  </si>
  <si>
    <t>PC-2026-0435</t>
  </si>
  <si>
    <t>PC-2026-0436</t>
  </si>
  <si>
    <t>PC-2026-0437</t>
  </si>
  <si>
    <t>PC-2026-0438</t>
  </si>
  <si>
    <t>PC-2026-0439</t>
  </si>
  <si>
    <t>PC-2026-0440</t>
  </si>
  <si>
    <t>PC-2026-0441</t>
  </si>
  <si>
    <t>PC-2026-0442</t>
  </si>
  <si>
    <t>PC-2026-0443</t>
  </si>
  <si>
    <t>PC-2026-0444</t>
  </si>
  <si>
    <t>PC-2026-0445</t>
  </si>
  <si>
    <t>PC-2026-0446</t>
  </si>
  <si>
    <t>PC-2026-0447</t>
  </si>
  <si>
    <t>PC-2026-0448</t>
  </si>
  <si>
    <t>PC-2026-0449</t>
  </si>
  <si>
    <t>PC-2026-0450</t>
  </si>
  <si>
    <t>PC-2026-0451</t>
  </si>
  <si>
    <t>PC-2026-0452</t>
  </si>
  <si>
    <t>PC-2026-0453</t>
  </si>
  <si>
    <t>PC-2026-0454</t>
  </si>
  <si>
    <t>PC-2026-0455</t>
  </si>
  <si>
    <t>PC-2026-0456</t>
  </si>
  <si>
    <t>PC-2026-0457</t>
  </si>
  <si>
    <t>PC-2026-0458</t>
  </si>
  <si>
    <t>PC-2026-0459</t>
  </si>
  <si>
    <t>PC-2026-0460</t>
  </si>
  <si>
    <t>PC-2026-0461</t>
  </si>
  <si>
    <t>PC-2026-0462</t>
  </si>
  <si>
    <t>PC-2026-0463</t>
  </si>
  <si>
    <t>PC-2026-0464</t>
  </si>
  <si>
    <t>PC-2026-0465</t>
  </si>
  <si>
    <t>PC-2026-0466</t>
  </si>
  <si>
    <t>PC-2026-0467</t>
  </si>
  <si>
    <t>PC-2026-0468</t>
  </si>
  <si>
    <t>PC-2026-0469</t>
  </si>
  <si>
    <t>PC-2026-0470</t>
  </si>
  <si>
    <t>PC-2026-0471</t>
  </si>
  <si>
    <t>PC-2026-0472</t>
  </si>
  <si>
    <t>PC-2026-0473</t>
  </si>
  <si>
    <t>PC-2026-0474</t>
  </si>
  <si>
    <t>PC-2026-0475</t>
  </si>
  <si>
    <t>PC-2026-0476</t>
  </si>
  <si>
    <t>PC-2026-0477</t>
  </si>
  <si>
    <t>PC-2026-0478</t>
  </si>
  <si>
    <t>PC-2026-0479</t>
  </si>
  <si>
    <t>PC-2026-0480</t>
  </si>
  <si>
    <t>PC-2026-0481</t>
  </si>
  <si>
    <t>PC-2026-0482</t>
  </si>
  <si>
    <t>PC-2026-0483</t>
  </si>
  <si>
    <t>PC-2026-0484</t>
  </si>
  <si>
    <t>PC-2026-0485</t>
  </si>
  <si>
    <t>PC-2026-0486</t>
  </si>
  <si>
    <t>PC-2026-0487</t>
  </si>
  <si>
    <t>PC-2026-0488</t>
  </si>
  <si>
    <t>PC-2026-0489</t>
  </si>
  <si>
    <t>PC-2026-0490</t>
  </si>
  <si>
    <t>PC-2026-0491</t>
  </si>
  <si>
    <t>PC-2026-0492</t>
  </si>
  <si>
    <t>PC-2026-0493</t>
  </si>
  <si>
    <t>PC-2026-0494</t>
  </si>
  <si>
    <t>PC-2026-0495</t>
  </si>
  <si>
    <t>PC-2026-0496</t>
  </si>
  <si>
    <t>PC-2026-0497</t>
  </si>
  <si>
    <t>PC-2026-0498</t>
  </si>
  <si>
    <t>PC-2026-0499</t>
  </si>
  <si>
    <t>PC-2026-0500</t>
  </si>
  <si>
    <t>PC-2026-0501</t>
  </si>
  <si>
    <t>PC-2026-0502</t>
  </si>
  <si>
    <t>PC-2026-0503</t>
  </si>
  <si>
    <t>PC-2026-0504</t>
  </si>
  <si>
    <t>PC-2026-0505</t>
  </si>
  <si>
    <t>PC-2026-0506</t>
  </si>
  <si>
    <t>PC-2026-0507</t>
  </si>
  <si>
    <t>PC-2026-0508</t>
  </si>
  <si>
    <t>PC-2026-0509</t>
  </si>
  <si>
    <t>PC-2026-0510</t>
  </si>
  <si>
    <t>PC-2026-0511</t>
  </si>
  <si>
    <t>PC-2026-0512</t>
  </si>
  <si>
    <t>PC-2026-0513</t>
  </si>
  <si>
    <t>PC-2026-0514</t>
  </si>
  <si>
    <t>PC-2026-0515</t>
  </si>
  <si>
    <t>PC-2026-0516</t>
  </si>
  <si>
    <t>PC-2026-0517</t>
  </si>
  <si>
    <t>PC-2026-0518</t>
  </si>
  <si>
    <t>PC-2026-0519</t>
  </si>
  <si>
    <t>PC-2026-0520</t>
  </si>
  <si>
    <t>PC-2026-0521</t>
  </si>
  <si>
    <t>PC-2026-0522</t>
  </si>
  <si>
    <t>PC-2026-0523</t>
  </si>
  <si>
    <t>PC-2026-0524</t>
  </si>
  <si>
    <t>PC-2026-0525</t>
  </si>
  <si>
    <t>PC-2026-0526</t>
  </si>
  <si>
    <t>PC-2026-0527</t>
  </si>
  <si>
    <t>PC-2026-0528</t>
  </si>
  <si>
    <t>PC-2026-0529</t>
  </si>
  <si>
    <t>PC-2026-0530</t>
  </si>
  <si>
    <t>PC-2026-0531</t>
  </si>
  <si>
    <t>PC-2026-0532</t>
  </si>
  <si>
    <t>PC-2026-0533</t>
  </si>
  <si>
    <t>PC-2026-0534</t>
  </si>
  <si>
    <t>PC-2026-0535</t>
  </si>
  <si>
    <t>PC-2026-0536</t>
  </si>
  <si>
    <t>PC-2026-0537</t>
  </si>
  <si>
    <t>PC-2026-0538</t>
  </si>
  <si>
    <t>PC-2026-0539</t>
  </si>
  <si>
    <t>PC-2026-0540</t>
  </si>
  <si>
    <t>PC-2026-0541</t>
  </si>
  <si>
    <t>PC-2026-0542</t>
  </si>
  <si>
    <t>PC-2026-0543</t>
  </si>
  <si>
    <t>PC-2026-0544</t>
  </si>
  <si>
    <t>PC-2026-0545</t>
  </si>
  <si>
    <t>PC-2026-0546</t>
  </si>
  <si>
    <t>PC-2026-0547</t>
  </si>
  <si>
    <t>PC-2026-0548</t>
  </si>
  <si>
    <t>PC-2026-0549</t>
  </si>
  <si>
    <t>PC-2026-0550</t>
  </si>
  <si>
    <t>PC-2026-0551</t>
  </si>
  <si>
    <t>PC-2026-0552</t>
  </si>
  <si>
    <t>PC-2026-0553</t>
  </si>
  <si>
    <t>PC-2026-0554</t>
  </si>
  <si>
    <t>PC-2026-0555</t>
  </si>
  <si>
    <t>PC-2026-0556</t>
  </si>
  <si>
    <t>PC-2026-0557</t>
  </si>
  <si>
    <t>PC-2026-0558</t>
  </si>
  <si>
    <t>PC-2026-0559</t>
  </si>
  <si>
    <t>PC-2026-0560</t>
  </si>
  <si>
    <t>PC-2026-0561</t>
  </si>
  <si>
    <t>PC-2026-0562</t>
  </si>
  <si>
    <t>PC-2026-0563</t>
  </si>
  <si>
    <t>PC-2026-0564</t>
  </si>
  <si>
    <t>PC-2026-0565</t>
  </si>
  <si>
    <t>PC-2026-0566</t>
  </si>
  <si>
    <t>PC-2026-0567</t>
  </si>
  <si>
    <t>PC-2026-0568</t>
  </si>
  <si>
    <t>PC-2026-0569</t>
  </si>
  <si>
    <t>PC-2026-0570</t>
  </si>
  <si>
    <t>PC-2026-0571</t>
  </si>
  <si>
    <t>PC-2026-0572</t>
  </si>
  <si>
    <t>PC-2026-0573</t>
  </si>
  <si>
    <t>PC-2026-0574</t>
  </si>
  <si>
    <t>PC-2026-0575</t>
  </si>
  <si>
    <t>PC-2026-0576</t>
  </si>
  <si>
    <t>PC-2026-0577</t>
  </si>
  <si>
    <t>PC-2026-0578</t>
  </si>
  <si>
    <t>PC-2026-0579</t>
  </si>
  <si>
    <t>PC-2026-0580</t>
  </si>
  <si>
    <t>PC-2026-0581</t>
  </si>
  <si>
    <t>PC-2026-0582</t>
  </si>
  <si>
    <t>PC-2026-0583</t>
  </si>
  <si>
    <t>PC-2026-0584</t>
  </si>
  <si>
    <t>PC-2026-0585</t>
  </si>
  <si>
    <t>PC-2026-0586</t>
  </si>
  <si>
    <t>PC-2026-0587</t>
  </si>
  <si>
    <t>PC-2026-0588</t>
  </si>
  <si>
    <t>PC-2026-0589</t>
  </si>
  <si>
    <t>PC-2026-0590</t>
  </si>
  <si>
    <t>PC-2026-0591</t>
  </si>
  <si>
    <t>PC-2026-0592</t>
  </si>
  <si>
    <t>PC-2026-0593</t>
  </si>
  <si>
    <t>PC-2026-0594</t>
  </si>
  <si>
    <t>PC-2026-0595</t>
  </si>
  <si>
    <t>PC-2026-0596</t>
  </si>
  <si>
    <t>PC-2026-0597</t>
  </si>
  <si>
    <t>PC-2026-0598</t>
  </si>
  <si>
    <t>PC-2026-0599</t>
  </si>
  <si>
    <t>PC-2026-0600</t>
  </si>
  <si>
    <t>PC-2026-0601</t>
  </si>
  <si>
    <t>PC-2026-0602</t>
  </si>
  <si>
    <t>PC-2026-0603</t>
  </si>
  <si>
    <t>PC-2026-0604</t>
  </si>
  <si>
    <t>PC-2026-0605</t>
  </si>
  <si>
    <t>PC-2026-0606</t>
  </si>
  <si>
    <t>PC-2026-0607</t>
  </si>
  <si>
    <t>PC-2026-0608</t>
  </si>
  <si>
    <t>PC-2026-0609</t>
  </si>
  <si>
    <t>PC-2026-0610</t>
  </si>
  <si>
    <t>PC-2026-0611</t>
  </si>
  <si>
    <t>PC-2026-0612</t>
  </si>
  <si>
    <t>PC-2026-0613</t>
  </si>
  <si>
    <t>PC-2026-0614</t>
  </si>
  <si>
    <t>PC-2026-0615</t>
  </si>
  <si>
    <t>PC-2026-0616</t>
  </si>
  <si>
    <t>PC-2026-0617</t>
  </si>
  <si>
    <t>PC-2026-0618</t>
  </si>
  <si>
    <t>PC-2026-0619</t>
  </si>
  <si>
    <t>PC-2026-0620</t>
  </si>
  <si>
    <t>PC-2026-0621</t>
  </si>
  <si>
    <t>PC-2026-0622</t>
  </si>
  <si>
    <t>PC-2026-0623</t>
  </si>
  <si>
    <t>PC-2026-0624</t>
  </si>
  <si>
    <t>PC-2026-0625</t>
  </si>
  <si>
    <t>PC-2026-0626</t>
  </si>
  <si>
    <t>PC-2026-0627</t>
  </si>
  <si>
    <t>PC-2026-0628</t>
  </si>
  <si>
    <t>PC-2026-0629</t>
  </si>
  <si>
    <t>PC-2026-0630</t>
  </si>
  <si>
    <t>PC-2026-0631</t>
  </si>
  <si>
    <t>PC-2026-0632</t>
  </si>
  <si>
    <t>PC-2026-0633</t>
  </si>
  <si>
    <t>PC-2026-0634</t>
  </si>
  <si>
    <t>PC-2026-0635</t>
  </si>
  <si>
    <t>PC-2026-0636</t>
  </si>
  <si>
    <t>PC-2026-0637</t>
  </si>
  <si>
    <t>PC-2026-0638</t>
  </si>
  <si>
    <t>PC-2026-0639</t>
  </si>
  <si>
    <t>PC-2026-0640</t>
  </si>
  <si>
    <t>PC-2026-0641</t>
  </si>
  <si>
    <t>PC-2026-0642</t>
  </si>
  <si>
    <t>PC-2026-0643</t>
  </si>
  <si>
    <t>PC-2026-0644</t>
  </si>
  <si>
    <t>PC-2026-0645</t>
  </si>
  <si>
    <t>PC-2026-0646</t>
  </si>
  <si>
    <t>PC-2026-0647</t>
  </si>
  <si>
    <t>PC-2026-0648</t>
  </si>
  <si>
    <t>PC-2026-0649</t>
  </si>
  <si>
    <t>PC-2026-0650</t>
  </si>
  <si>
    <t>PC-2026-0651</t>
  </si>
  <si>
    <t>PC-2026-0652</t>
  </si>
  <si>
    <t>PC-2026-0653</t>
  </si>
  <si>
    <t>PC-2026-0654</t>
  </si>
  <si>
    <t>PC-2026-0655</t>
  </si>
  <si>
    <t>PC-2026-0656</t>
  </si>
  <si>
    <t>PC-2026-0657</t>
  </si>
  <si>
    <t>PC-2026-0658</t>
  </si>
  <si>
    <t>PC-2026-0659</t>
  </si>
  <si>
    <t>PC-2026-0660</t>
  </si>
  <si>
    <t>PC-2026-0661</t>
  </si>
  <si>
    <t>PC-2026-0662</t>
  </si>
  <si>
    <t>PC-2026-0663</t>
  </si>
  <si>
    <t>PC-2026-0664</t>
  </si>
  <si>
    <t>PC-2026-0665</t>
  </si>
  <si>
    <t>PC-2026-0666</t>
  </si>
  <si>
    <t>PC-2026-0667</t>
  </si>
  <si>
    <t>PC-2026-0668</t>
  </si>
  <si>
    <t>PC-2026-0669</t>
  </si>
  <si>
    <t>PC-2026-0670</t>
  </si>
  <si>
    <t>PC-2026-0671</t>
  </si>
  <si>
    <t>PC-2026-0672</t>
  </si>
  <si>
    <t>PC-2026-0673</t>
  </si>
  <si>
    <t>PC-2026-0674</t>
  </si>
  <si>
    <t>PC-2026-0675</t>
  </si>
  <si>
    <t>PC-2026-0676</t>
  </si>
  <si>
    <t>PC-2026-0677</t>
  </si>
  <si>
    <t>PC-2026-0678</t>
  </si>
  <si>
    <t>PC-2026-0679</t>
  </si>
  <si>
    <t>PC-2026-0680</t>
  </si>
  <si>
    <t>PC-2026-0681</t>
  </si>
  <si>
    <t>PC-2026-0682</t>
  </si>
  <si>
    <t>PC-2026-0683</t>
  </si>
  <si>
    <t>PC-2026-0684</t>
  </si>
  <si>
    <t>PC-2026-0685</t>
  </si>
  <si>
    <t>PC-2026-0686</t>
  </si>
  <si>
    <t>PC-2026-0687</t>
  </si>
  <si>
    <t>PC-2026-0688</t>
  </si>
  <si>
    <t>PC-2026-0689</t>
  </si>
  <si>
    <t>PC-2026-0690</t>
  </si>
  <si>
    <t>PC-2026-0691</t>
  </si>
  <si>
    <t>PC-2026-0692</t>
  </si>
  <si>
    <t>PC-2026-0693</t>
  </si>
  <si>
    <t>PC-2026-0694</t>
  </si>
  <si>
    <t>PC-2026-0695</t>
  </si>
  <si>
    <t>PC-2026-0696</t>
  </si>
  <si>
    <t>PC-2026-0697</t>
  </si>
  <si>
    <t>PC-2026-0698</t>
  </si>
  <si>
    <t>PC-2026-0699</t>
  </si>
  <si>
    <t>PC-2026-0700</t>
  </si>
  <si>
    <t>PC-2026-0701</t>
  </si>
  <si>
    <t>PC-2026-0702</t>
  </si>
  <si>
    <t>PC-2026-0703</t>
  </si>
  <si>
    <t>PC-2026-0704</t>
  </si>
  <si>
    <t>PC-2026-0705</t>
  </si>
  <si>
    <t>PC-2026-0706</t>
  </si>
  <si>
    <t>PC-2026-0707</t>
  </si>
  <si>
    <t>PC-2026-0708</t>
  </si>
  <si>
    <t>PC-2026-0709</t>
  </si>
  <si>
    <t>PC-2026-0710</t>
  </si>
  <si>
    <t>PC-2026-0711</t>
  </si>
  <si>
    <t>PC-2026-0712</t>
  </si>
  <si>
    <t>PC-2026-0713</t>
  </si>
  <si>
    <t>PC-2026-0714</t>
  </si>
  <si>
    <t>PC-2026-0715</t>
  </si>
  <si>
    <t>PC-2026-0716</t>
  </si>
  <si>
    <t>PC-2026-0717</t>
  </si>
  <si>
    <t>PC-2026-0718</t>
  </si>
  <si>
    <t>PC-2026-0719</t>
  </si>
  <si>
    <t>PC-2026-0720</t>
  </si>
  <si>
    <t>PC-2026-0721</t>
  </si>
  <si>
    <t>PC-2026-0722</t>
  </si>
  <si>
    <t>PC-2026-0723</t>
  </si>
  <si>
    <t>PC-2026-0724</t>
  </si>
  <si>
    <t>PC-2026-0725</t>
  </si>
  <si>
    <t>PC-2026-0726</t>
  </si>
  <si>
    <t>PC-2026-0727</t>
  </si>
  <si>
    <t>PC-2026-0728</t>
  </si>
  <si>
    <t>PC-2026-0729</t>
  </si>
  <si>
    <t>PC-2026-0730</t>
  </si>
  <si>
    <t>PC-2026-0731</t>
  </si>
  <si>
    <t>PC-2026-0732</t>
  </si>
  <si>
    <t>PC-2026-0733</t>
  </si>
  <si>
    <t>PC-2026-0734</t>
  </si>
  <si>
    <t>PC-2026-0735</t>
  </si>
  <si>
    <t>PC-2026-0736</t>
  </si>
  <si>
    <t>PC-2026-0737</t>
  </si>
  <si>
    <t>PC-2026-0738</t>
  </si>
  <si>
    <t>PC-2026-0739</t>
  </si>
  <si>
    <t>PC-2026-0740</t>
  </si>
  <si>
    <t>PC-2026-0741</t>
  </si>
  <si>
    <t>PC-2026-0742</t>
  </si>
  <si>
    <t>PC-2026-0743</t>
  </si>
  <si>
    <t>PC-2026-0744</t>
  </si>
  <si>
    <t>PC-2026-0745</t>
  </si>
  <si>
    <t>PC-2026-0746</t>
  </si>
  <si>
    <t>PC-2026-0747</t>
  </si>
  <si>
    <t>PC-2026-0748</t>
  </si>
  <si>
    <t>PC-2026-0749</t>
  </si>
  <si>
    <t>PC-2026-0750</t>
  </si>
  <si>
    <t>PC-2026-0751</t>
  </si>
  <si>
    <t>PC-2026-0752</t>
  </si>
  <si>
    <t>PC-2026-0753</t>
  </si>
  <si>
    <t>PC-2026-0754</t>
  </si>
  <si>
    <t>PC-2026-0755</t>
  </si>
  <si>
    <t>PC-2026-0756</t>
  </si>
  <si>
    <t>PC-2026-0757</t>
  </si>
  <si>
    <t>PC-2026-0758</t>
  </si>
  <si>
    <t>PC-2026-0759</t>
  </si>
  <si>
    <t>PC-2026-0760</t>
  </si>
  <si>
    <t>PC-2026-0761</t>
  </si>
  <si>
    <t>PC-2026-0762</t>
  </si>
  <si>
    <t>PC-2026-0763</t>
  </si>
  <si>
    <t>PC-2026-0764</t>
  </si>
  <si>
    <t>PC-2026-0765</t>
  </si>
  <si>
    <t>PC-2026-0766</t>
  </si>
  <si>
    <t>PC-2026-0767</t>
  </si>
  <si>
    <t>PC-2026-0768</t>
  </si>
  <si>
    <t>PC-2026-0769</t>
  </si>
  <si>
    <t>PC-2026-0770</t>
  </si>
  <si>
    <t>PC-2026-0771</t>
  </si>
  <si>
    <t>PC-2026-0772</t>
  </si>
  <si>
    <t>PC-2026-0773</t>
  </si>
  <si>
    <t>PC-2026-0774</t>
  </si>
  <si>
    <t>PC-2026-0775</t>
  </si>
  <si>
    <t>PC-2026-0776</t>
  </si>
  <si>
    <t>PC-2026-0777</t>
  </si>
  <si>
    <t>PC-2026-0778</t>
  </si>
  <si>
    <t>PC-2026-0779</t>
  </si>
  <si>
    <t>PC-2026-0780</t>
  </si>
  <si>
    <t>PC-2026-0781</t>
  </si>
  <si>
    <t>PC-2026-0782</t>
  </si>
  <si>
    <t>PC-2026-0783</t>
  </si>
  <si>
    <t>PC-2026-0784</t>
  </si>
  <si>
    <t>PC-2026-0785</t>
  </si>
  <si>
    <t>PC-2026-0786</t>
  </si>
  <si>
    <t>PC-2026-0787</t>
  </si>
  <si>
    <t>PC-2026-0788</t>
  </si>
  <si>
    <t>PC-2026-0789</t>
  </si>
  <si>
    <t>PC-2026-0790</t>
  </si>
  <si>
    <t>PC-2026-0791</t>
  </si>
  <si>
    <t>PC-2026-0792</t>
  </si>
  <si>
    <t>PC-2026-0793</t>
  </si>
  <si>
    <t>PC-2026-0794</t>
  </si>
  <si>
    <t>PC-2026-0795</t>
  </si>
  <si>
    <t>PC-2026-0796</t>
  </si>
  <si>
    <t>PC-2026-0797</t>
  </si>
  <si>
    <t>PC-2026-0798</t>
  </si>
  <si>
    <t>PC-2026-0799</t>
  </si>
  <si>
    <t>PC-2026-0800</t>
  </si>
  <si>
    <t>PC-2026-0801</t>
  </si>
  <si>
    <t>PC-2026-0802</t>
  </si>
  <si>
    <t>PC-2026-0803</t>
  </si>
  <si>
    <t>PC-2026-0804</t>
  </si>
  <si>
    <t>PC-2026-0805</t>
  </si>
  <si>
    <t>PC-2026-0806</t>
  </si>
  <si>
    <t>PC-2026-0807</t>
  </si>
  <si>
    <t>PC-2026-0808</t>
  </si>
  <si>
    <t>PC-2026-0809</t>
  </si>
  <si>
    <t>PC-2026-0810</t>
  </si>
  <si>
    <t>PC-2026-0811</t>
  </si>
  <si>
    <t>PC-2026-0812</t>
  </si>
  <si>
    <t>PC-2026-0813</t>
  </si>
  <si>
    <t>PC-2026-0814</t>
  </si>
  <si>
    <t>PC-2026-0815</t>
  </si>
  <si>
    <t>PC-2026-0816</t>
  </si>
  <si>
    <t>PC-2026-0817</t>
  </si>
  <si>
    <t>PC-2026-0818</t>
  </si>
  <si>
    <t>PC-2026-0819</t>
  </si>
  <si>
    <t>PC-2026-0820</t>
  </si>
  <si>
    <t>PC-2026-0821</t>
  </si>
  <si>
    <t>PC-2026-0822</t>
  </si>
  <si>
    <t>PC-2026-0823</t>
  </si>
  <si>
    <t>PC-2026-0824</t>
  </si>
  <si>
    <t>PC-2026-0825</t>
  </si>
  <si>
    <t>PC-2026-0826</t>
  </si>
  <si>
    <t>PC-2026-0827</t>
  </si>
  <si>
    <t>PC-2026-0828</t>
  </si>
  <si>
    <t>PC-2026-0829</t>
  </si>
  <si>
    <t>PC-2026-0830</t>
  </si>
  <si>
    <t>PC-2026-0831</t>
  </si>
  <si>
    <t>PC-2026-0832</t>
  </si>
  <si>
    <t>PC-2026-0833</t>
  </si>
  <si>
    <t>PC-2026-0834</t>
  </si>
  <si>
    <t>PC-2026-0835</t>
  </si>
  <si>
    <t>PC-2026-0836</t>
  </si>
  <si>
    <t>PC-2026-0837</t>
  </si>
  <si>
    <t>PC-2026-0838</t>
  </si>
  <si>
    <t>PC-2026-0839</t>
  </si>
  <si>
    <t>PC-2026-0840</t>
  </si>
  <si>
    <t>PC-2026-0841</t>
  </si>
  <si>
    <t>PC-2026-0842</t>
  </si>
  <si>
    <t>PC-2026-0843</t>
  </si>
  <si>
    <t>PC-2026-0844</t>
  </si>
  <si>
    <t>PC-2026-0845</t>
  </si>
  <si>
    <t>PC-2026-0846</t>
  </si>
  <si>
    <t>PC-2026-0847</t>
  </si>
  <si>
    <t>PC-2026-0848</t>
  </si>
  <si>
    <t>PC-2026-0849</t>
  </si>
  <si>
    <t>PC-2026-0850</t>
  </si>
  <si>
    <t>PC-2026-0851</t>
  </si>
  <si>
    <t>PC-2026-0852</t>
  </si>
  <si>
    <t>PC-2026-0853</t>
  </si>
  <si>
    <t>PC-2026-0854</t>
  </si>
  <si>
    <t>PC-2026-0855</t>
  </si>
  <si>
    <t>PC-2026-0856</t>
  </si>
  <si>
    <t>PC-2026-0857</t>
  </si>
  <si>
    <t>PC-2026-0858</t>
  </si>
  <si>
    <t>PC-2026-0859</t>
  </si>
  <si>
    <t>PC-2026-0860</t>
  </si>
  <si>
    <t>PC-2026-0861</t>
  </si>
  <si>
    <t>PC-2026-0862</t>
  </si>
  <si>
    <t>PC-2026-0863</t>
  </si>
  <si>
    <t>PC-2026-0864</t>
  </si>
  <si>
    <t>PC-2026-0865</t>
  </si>
  <si>
    <t>PC-2026-0866</t>
  </si>
  <si>
    <t>PC-2026-0867</t>
  </si>
  <si>
    <t>PC-2026-0868</t>
  </si>
  <si>
    <t>PC-2026-0869</t>
  </si>
  <si>
    <t>PC-2026-0870</t>
  </si>
  <si>
    <t>PC-2026-0871</t>
  </si>
  <si>
    <t>PC-2026-0872</t>
  </si>
  <si>
    <t>PC-2026-0873</t>
  </si>
  <si>
    <t>PC-2026-0874</t>
  </si>
  <si>
    <t>PC-2026-0875</t>
  </si>
  <si>
    <t>PC-2026-0876</t>
  </si>
  <si>
    <t>PC-2026-0877</t>
  </si>
  <si>
    <t>PC-2026-0878</t>
  </si>
  <si>
    <t>PC-2026-0879</t>
  </si>
  <si>
    <t>PC-2026-0880</t>
  </si>
  <si>
    <t>PC-2026-0881</t>
  </si>
  <si>
    <t>PC-2026-0882</t>
  </si>
  <si>
    <t>PC-2026-0883</t>
  </si>
  <si>
    <t>PC-2026-0884</t>
  </si>
  <si>
    <t>PC-2026-0885</t>
  </si>
  <si>
    <t>PC-2026-0886</t>
  </si>
  <si>
    <t>PC-2026-0887</t>
  </si>
  <si>
    <t>PC-2026-0888</t>
  </si>
  <si>
    <t>PC-2026-0889</t>
  </si>
  <si>
    <t>PC-2026-0890</t>
  </si>
  <si>
    <t>PC-2026-0891</t>
  </si>
  <si>
    <t>PC-2026-0892</t>
  </si>
  <si>
    <t>PC-2026-0893</t>
  </si>
  <si>
    <t>PC-2026-0894</t>
  </si>
  <si>
    <t>PC-2026-0895</t>
  </si>
  <si>
    <t>PC-2026-0896</t>
  </si>
  <si>
    <t>PC-2026-0897</t>
  </si>
  <si>
    <t>PC-2026-0898</t>
  </si>
  <si>
    <t>PC-2026-0899</t>
  </si>
  <si>
    <t>PC-2026-0900</t>
  </si>
  <si>
    <t>PC-2026-0901</t>
  </si>
  <si>
    <t>PC-2026-0902</t>
  </si>
  <si>
    <t>PC-2026-0903</t>
  </si>
  <si>
    <t>PC-2026-0904</t>
  </si>
  <si>
    <t>PC-2026-0905</t>
  </si>
  <si>
    <t>PC-2026-0906</t>
  </si>
  <si>
    <t>PC-2026-0907</t>
  </si>
  <si>
    <t>PC-2026-0908</t>
  </si>
  <si>
    <t>PC-2026-0909</t>
  </si>
  <si>
    <t>PC-2026-0910</t>
  </si>
  <si>
    <t>PC-2026-0911</t>
  </si>
  <si>
    <t>PC-2026-0912</t>
  </si>
  <si>
    <t>PC-2026-0913</t>
  </si>
  <si>
    <t>PC-2026-0914</t>
  </si>
  <si>
    <t>PC-2026-0915</t>
  </si>
  <si>
    <t>PC-2026-0916</t>
  </si>
  <si>
    <t>PC-2026-0917</t>
  </si>
  <si>
    <t>PC-2026-0918</t>
  </si>
  <si>
    <t>PC-2026-0919</t>
  </si>
  <si>
    <t>PC-2026-0920</t>
  </si>
  <si>
    <t>PC-2026-0921</t>
  </si>
  <si>
    <t>PC-2026-0922</t>
  </si>
  <si>
    <t>PC-2026-0923</t>
  </si>
  <si>
    <t>PC-2026-0924</t>
  </si>
  <si>
    <t>PC-2026-0925</t>
  </si>
  <si>
    <t>PC-2026-0926</t>
  </si>
  <si>
    <t>PC-2026-0927</t>
  </si>
  <si>
    <t>PC-2026-0928</t>
  </si>
  <si>
    <t>PC-2026-0929</t>
  </si>
  <si>
    <t>PC-2026-0930</t>
  </si>
  <si>
    <t>PC-2026-0931</t>
  </si>
  <si>
    <t>PC-2026-0932</t>
  </si>
  <si>
    <t>PC-2026-0933</t>
  </si>
  <si>
    <t>PC-2026-0934</t>
  </si>
  <si>
    <t>PC-2026-0935</t>
  </si>
  <si>
    <t>PC-2026-0936</t>
  </si>
  <si>
    <t>PC-2026-0937</t>
  </si>
  <si>
    <t>PC-2026-0938</t>
  </si>
  <si>
    <t>PC-2026-0939</t>
  </si>
  <si>
    <t>PC-2026-0940</t>
  </si>
  <si>
    <t>PC-2026-0941</t>
  </si>
  <si>
    <t>PC-2026-0942</t>
  </si>
  <si>
    <t>PC-2026-0943</t>
  </si>
  <si>
    <t>PC-2026-0944</t>
  </si>
  <si>
    <t>PC-2026-0945</t>
  </si>
  <si>
    <t>PC-2026-0946</t>
  </si>
  <si>
    <t>PC-2026-0947</t>
  </si>
  <si>
    <t>PC-2026-0948</t>
  </si>
  <si>
    <t>PC-2026-0949</t>
  </si>
  <si>
    <t>PC-2026-0950</t>
  </si>
  <si>
    <t>PC-2026-0951</t>
  </si>
  <si>
    <t>PC-2026-0952</t>
  </si>
  <si>
    <t>PC-2026-0953</t>
  </si>
  <si>
    <t>PC-2026-0954</t>
  </si>
  <si>
    <t>PC-2026-0955</t>
  </si>
  <si>
    <t>PC-2026-0956</t>
  </si>
  <si>
    <t>PC-2026-0957</t>
  </si>
  <si>
    <t>PC-2026-0958</t>
  </si>
  <si>
    <t>PC-2026-0959</t>
  </si>
  <si>
    <t>PC-2026-0960</t>
  </si>
  <si>
    <t>PC-2026-0961</t>
  </si>
  <si>
    <t>PC-2026-0962</t>
  </si>
  <si>
    <t>PC-2026-0963</t>
  </si>
  <si>
    <t>PC-2026-0964</t>
  </si>
  <si>
    <t>PC-2026-0965</t>
  </si>
  <si>
    <t>PC-2026-0966</t>
  </si>
  <si>
    <t>PC-2026-0967</t>
  </si>
  <si>
    <t>PC-2026-0968</t>
  </si>
  <si>
    <t>PC-2026-0969</t>
  </si>
  <si>
    <t>PC-2026-0970</t>
  </si>
  <si>
    <t>PC-2026-0971</t>
  </si>
  <si>
    <t>PC-2026-0972</t>
  </si>
  <si>
    <t>PC-2026-0973</t>
  </si>
  <si>
    <t>PC-2026-0974</t>
  </si>
  <si>
    <t>PC-2026-0975</t>
  </si>
  <si>
    <t>PC-2026-0976</t>
  </si>
  <si>
    <t>PC-2026-0977</t>
  </si>
  <si>
    <t>PC-2026-0978</t>
  </si>
  <si>
    <t>PC-2026-0979</t>
  </si>
  <si>
    <t>PC-2026-0980</t>
  </si>
  <si>
    <t>PC-2026-0981</t>
  </si>
  <si>
    <t>PC-2026-0982</t>
  </si>
  <si>
    <t>PC-2026-0983</t>
  </si>
  <si>
    <t>PC-2026-0984</t>
  </si>
  <si>
    <t>PC-2026-0985</t>
  </si>
  <si>
    <t>PC-2026-0986</t>
  </si>
  <si>
    <t>PC-2026-0987</t>
  </si>
  <si>
    <t>PC-2026-0988</t>
  </si>
  <si>
    <t>PC-2026-0989</t>
  </si>
  <si>
    <t>PC-2026-0990</t>
  </si>
  <si>
    <t>PC-2026-0991</t>
  </si>
  <si>
    <t>PC-2026-0992</t>
  </si>
  <si>
    <t>PC-2026-0993</t>
  </si>
  <si>
    <t>PC-2026-0994</t>
  </si>
  <si>
    <t>PC-2026-0995</t>
  </si>
  <si>
    <t>PC-2026-0996</t>
  </si>
  <si>
    <t>PC-2026-0997</t>
  </si>
  <si>
    <t>PC-2026-0998</t>
  </si>
  <si>
    <t>PC-2026-0999</t>
  </si>
  <si>
    <t>PC-2026-1000</t>
  </si>
  <si>
    <t>Aging Bucket</t>
  </si>
  <si>
    <t>Acuan Tanggal</t>
  </si>
  <si>
    <t>Sum of Advance Amount</t>
  </si>
  <si>
    <t>Sum of Expense Amount</t>
  </si>
  <si>
    <t>Sum of Return Amount</t>
  </si>
  <si>
    <t>Row Labels</t>
  </si>
  <si>
    <t>Grand Total</t>
  </si>
  <si>
    <t>Sum of Outstanding</t>
  </si>
  <si>
    <t>Tanggal acuan aging: 31/08/2026.</t>
  </si>
  <si>
    <t>Reconciliation</t>
  </si>
  <si>
    <t>Jan</t>
  </si>
  <si>
    <t>Feb</t>
  </si>
  <si>
    <t>Mar</t>
  </si>
  <si>
    <t>Apr</t>
  </si>
  <si>
    <t>Mei</t>
  </si>
  <si>
    <t>Jun</t>
  </si>
  <si>
    <t>Jul</t>
  </si>
  <si>
    <t>Agu</t>
  </si>
  <si>
    <t>Normal</t>
  </si>
  <si>
    <t>Overdue</t>
  </si>
  <si>
    <t>Perlu Dipantau</t>
  </si>
  <si>
    <t>Perlu Ditindaklanjuti</t>
  </si>
  <si>
    <t>TOTAL ADVANCE</t>
  </si>
  <si>
    <t>TOTAL EXPENSE</t>
  </si>
  <si>
    <t>TOTAL RETURN</t>
  </si>
  <si>
    <t>OUTSTANDING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</si>
</sst>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p&quot;* #,##0.00_-;\-&quot;Rp&quot;* #,##0.00_-;_-&quot;Rp&quot;* &quot;-&quot;??_-;_-@_-"/>
    <numFmt numFmtId="164" formatCode="_-&quot;Rp&quot;* #,##0_-;\-&quot;Rp&quot;* #,##0_-;_-&quot;Rp&quot;* &quot;-&quot;??_-;_-@_-"/>
    <numFmt numFmtId="165" formatCode="&quot;Rp&quot;#,##0"/>
  </numFmts>
  <fonts count="6" x14ac:knownFonts="1">
    <font>
      <sz val="11"/>
      <color theme="1"/>
      <name val="Calibri"/>
      <family val="2"/>
      <scheme val="minor"/>
    </font>
    <font>
      <b/>
      <sz val="11"/>
      <color theme="1"/>
      <name val="Calibri"/>
      <family val="2"/>
      <scheme val="minor"/>
    </font>
    <font>
      <b/>
      <sz val="11"/>
      <name val="Calibri"/>
    </font>
    <font>
      <sz val="11"/>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ck">
        <color theme="3"/>
      </bottom>
      <diagonal/>
    </border>
    <border>
      <left style="thick">
        <color theme="3"/>
      </left>
      <right/>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right style="thick">
        <color theme="3"/>
      </right>
      <top/>
      <bottom style="thick">
        <color theme="3"/>
      </bottom>
      <diagonal/>
    </border>
  </borders>
  <cellStyleXfs count="2">
    <xf numFmtId="0" fontId="0" fillId="0" borderId="0"/>
    <xf numFmtId="44" fontId="3"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64" fontId="1" fillId="0" borderId="1" xfId="1" applyNumberFormat="1" applyFont="1" applyBorder="1" applyAlignment="1">
      <alignment horizontal="center" vertical="top"/>
    </xf>
    <xf numFmtId="164" fontId="0" fillId="0" borderId="0" xfId="1" applyNumberFormat="1" applyFont="1"/>
    <xf numFmtId="0" fontId="1" fillId="0" borderId="0" xfId="0" applyFont="1"/>
    <xf numFmtId="14" fontId="1" fillId="0" borderId="3" xfId="0" applyNumberFormat="1" applyFont="1" applyBorder="1" applyAlignment="1">
      <alignment horizontal="center" vertical="top"/>
    </xf>
    <xf numFmtId="0" fontId="1" fillId="0" borderId="3" xfId="0" applyFont="1" applyBorder="1" applyAlignment="1">
      <alignment horizontal="center" vertical="top"/>
    </xf>
    <xf numFmtId="164" fontId="1" fillId="0" borderId="3" xfId="1" applyNumberFormat="1" applyFont="1" applyBorder="1" applyAlignment="1">
      <alignment horizontal="center" vertical="top"/>
    </xf>
    <xf numFmtId="1" fontId="1" fillId="0" borderId="3" xfId="0" applyNumberFormat="1" applyFont="1" applyBorder="1" applyAlignment="1">
      <alignment horizontal="center" vertical="top"/>
    </xf>
    <xf numFmtId="1" fontId="0" fillId="0" borderId="0" xfId="0" applyNumberFormat="1"/>
    <xf numFmtId="14" fontId="0" fillId="2" borderId="0" xfId="0" applyNumberFormat="1" applyFill="1"/>
    <xf numFmtId="164" fontId="0" fillId="0" borderId="0" xfId="0" applyNumberFormat="1"/>
    <xf numFmtId="0" fontId="0" fillId="0" borderId="0" xfId="0" pivotButton="1"/>
    <xf numFmtId="0" fontId="0" fillId="0" borderId="0" xfId="0" applyAlignment="1">
      <alignment horizontal="left"/>
    </xf>
    <xf numFmtId="0" fontId="2" fillId="0" borderId="2" xfId="0" applyFont="1" applyBorder="1" applyAlignment="1">
      <alignment horizontal="left" vertical="top"/>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9" xfId="0" applyFont="1" applyFill="1" applyBorder="1" applyAlignment="1">
      <alignment horizontal="center" vertical="center"/>
    </xf>
    <xf numFmtId="165" fontId="1" fillId="0" borderId="6" xfId="1" applyNumberFormat="1" applyFont="1" applyBorder="1" applyAlignment="1">
      <alignment horizontal="center" vertical="center"/>
    </xf>
    <xf numFmtId="165" fontId="1" fillId="0" borderId="7" xfId="1" applyNumberFormat="1" applyFont="1" applyBorder="1" applyAlignment="1">
      <alignment horizontal="center" vertical="center"/>
    </xf>
    <xf numFmtId="165" fontId="1" fillId="0" borderId="5" xfId="1" applyNumberFormat="1" applyFont="1" applyBorder="1" applyAlignment="1">
      <alignment horizontal="center" vertical="center"/>
    </xf>
    <xf numFmtId="165" fontId="1" fillId="0" borderId="4" xfId="1" applyNumberFormat="1" applyFont="1" applyBorder="1" applyAlignment="1">
      <alignment horizontal="center" vertical="center"/>
    </xf>
    <xf numFmtId="165" fontId="1" fillId="0" borderId="8" xfId="1" applyNumberFormat="1" applyFont="1" applyBorder="1" applyAlignment="1">
      <alignment horizontal="center" vertical="center"/>
    </xf>
    <xf numFmtId="165" fontId="1" fillId="0" borderId="9" xfId="1" applyNumberFormat="1" applyFont="1" applyBorder="1" applyAlignment="1">
      <alignment horizontal="center" vertical="center"/>
    </xf>
  </cellXfs>
  <cellStyles count="2">
    <cellStyle name="Currency" xfId="1" builtinId="4"/>
    <cellStyle name="Normal" xfId="0" builtinId="0"/>
  </cellStyles>
  <dxfs count="13">
    <dxf>
      <font>
        <b val="0"/>
        <i val="0"/>
        <strike val="0"/>
        <condense val="0"/>
        <extend val="0"/>
        <outline val="0"/>
        <shadow val="0"/>
        <u val="none"/>
        <vertAlign val="baseline"/>
        <sz val="11"/>
        <color theme="1"/>
        <name val="Calibri"/>
        <family val="2"/>
        <scheme val="minor"/>
      </font>
      <numFmt numFmtId="164" formatCode="_-&quot;Rp&quot;* #,##0_-;\-&quot;Rp&quot;* #,##0_-;_-&quot;Rp&quot;* &quot;-&quot;??_-;_-@_-"/>
    </dxf>
    <dxf>
      <numFmt numFmtId="1" formatCode="0"/>
    </dxf>
    <dxf>
      <font>
        <b val="0"/>
        <i val="0"/>
        <strike val="0"/>
        <condense val="0"/>
        <extend val="0"/>
        <outline val="0"/>
        <shadow val="0"/>
        <u val="none"/>
        <vertAlign val="baseline"/>
        <sz val="11"/>
        <color theme="1"/>
        <name val="Calibri"/>
        <family val="2"/>
        <scheme val="minor"/>
      </font>
      <numFmt numFmtId="164" formatCode="_-&quot;Rp&quot;* #,##0_-;\-&quot;Rp&quot;* #,##0_-;_-&quot;Rp&quot;* &quot;-&quot;??_-;_-@_-"/>
    </dxf>
    <dxf>
      <font>
        <b val="0"/>
        <i val="0"/>
        <strike val="0"/>
        <condense val="0"/>
        <extend val="0"/>
        <outline val="0"/>
        <shadow val="0"/>
        <u val="none"/>
        <vertAlign val="baseline"/>
        <sz val="11"/>
        <color theme="1"/>
        <name val="Calibri"/>
        <family val="2"/>
        <scheme val="minor"/>
      </font>
      <numFmt numFmtId="164" formatCode="_-&quot;Rp&quot;* #,##0_-;\-&quot;Rp&quot;* #,##0_-;_-&quot;Rp&quot;* &quot;-&quot;??_-;_-@_-"/>
    </dxf>
    <dxf>
      <numFmt numFmtId="164" formatCode="_-&quot;Rp&quot;* #,##0_-;\-&quot;Rp&quot;* #,##0_-;_-&quot;Rp&quot;* &quot;-&quot;??_-;_-@_-"/>
    </dxf>
    <dxf>
      <font>
        <b val="0"/>
        <i val="0"/>
        <strike val="0"/>
        <condense val="0"/>
        <extend val="0"/>
        <outline val="0"/>
        <shadow val="0"/>
        <u val="none"/>
        <vertAlign val="baseline"/>
        <sz val="11"/>
        <color theme="1"/>
        <name val="Calibri"/>
        <family val="2"/>
        <scheme val="minor"/>
      </font>
      <numFmt numFmtId="164" formatCode="_-&quot;Rp&quot;* #,##0_-;\-&quot;Rp&quot;* #,##0_-;_-&quot;Rp&quot;* &quot;-&quot;??_-;_-@_-"/>
    </dxf>
    <dxf>
      <font>
        <b val="0"/>
        <i val="0"/>
        <strike val="0"/>
        <condense val="0"/>
        <extend val="0"/>
        <outline val="0"/>
        <shadow val="0"/>
        <u val="none"/>
        <vertAlign val="baseline"/>
        <sz val="11"/>
        <color theme="1"/>
        <name val="Calibri"/>
        <family val="2"/>
        <scheme val="minor"/>
      </font>
      <numFmt numFmtId="164" formatCode="_-&quot;Rp&quot;* #,##0_-;\-&quot;Rp&quot;* #,##0_-;_-&quot;Rp&quot;* &quot;-&quot;??_-;_-@_-"/>
    </dxf>
    <dxf>
      <font>
        <b val="0"/>
        <i val="0"/>
        <strike val="0"/>
        <condense val="0"/>
        <extend val="0"/>
        <outline val="0"/>
        <shadow val="0"/>
        <u val="none"/>
        <vertAlign val="baseline"/>
        <sz val="11"/>
        <color theme="1"/>
        <name val="Calibri"/>
        <family val="2"/>
        <scheme val="minor"/>
      </font>
      <numFmt numFmtId="164" formatCode="_-&quot;Rp&quot;* #,##0_-;\-&quot;Rp&quot;* #,##0_-;_-&quot;Rp&quot;* &quot;-&quot;??_-;_-@_-"/>
    </dxf>
    <dxf>
      <numFmt numFmtId="19" formatCode="dd/mm/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Petty  Cash.xlsx]Pivot Table!PivotTable3</c:name>
    <c:fmtId val="6"/>
  </c:pivotSource>
  <c:chart>
    <c:title>
      <c:tx>
        <c:rich>
          <a:bodyPr rot="0" spcFirstLastPara="1" vertOverflow="ellipsis" vert="horz" wrap="square" anchor="ctr" anchorCtr="1"/>
          <a:lstStyle/>
          <a:p>
            <a:pPr>
              <a:defRPr sz="1600" b="1" i="0" u="none" strike="noStrike" kern="1200" baseline="0">
                <a:ln>
                  <a:noFill/>
                </a:ln>
                <a:solidFill>
                  <a:schemeClr val="tx2"/>
                </a:solidFill>
                <a:latin typeface="+mn-lt"/>
                <a:ea typeface="+mn-ea"/>
                <a:cs typeface="+mn-cs"/>
              </a:defRPr>
            </a:pPr>
            <a:r>
              <a:rPr lang="id-ID" sz="1600" b="1" i="0" u="none" strike="noStrike" baseline="0">
                <a:solidFill>
                  <a:schemeClr val="bg1"/>
                </a:solidFill>
              </a:rPr>
              <a:t>MONTHLY CASH ADVANCE</a:t>
            </a:r>
            <a:endParaRPr lang="id-ID">
              <a:solidFill>
                <a:schemeClr val="bg1"/>
              </a:solidFill>
            </a:endParaRPr>
          </a:p>
        </c:rich>
      </c:tx>
      <c:overlay val="0"/>
      <c:spPr>
        <a:noFill/>
        <a:ln>
          <a:noFill/>
        </a:ln>
        <a:effectLst/>
      </c:sp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elete val="1"/>
          <c:extLst>
            <c:ext xmlns:c15="http://schemas.microsoft.com/office/drawing/2012/chart" uri="{CE6537A1-D6FC-4f65-9D91-7224C49458BB}"/>
          </c:extLst>
        </c:dLbl>
      </c:pivotFmt>
      <c:pivotFmt>
        <c:idx val="2"/>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0" rIns="38100" bIns="19050" anchor="ctr" anchorCtr="0">
              <a:spAutoFit/>
            </a:bodyPr>
            <a:lstStyle/>
            <a:p>
              <a:pPr>
                <a:defRPr sz="900" b="0" i="0" u="none" strike="noStrike" kern="1200" baseline="0">
                  <a:ln>
                    <a:noFill/>
                  </a:ln>
                  <a:solidFill>
                    <a:srgbClr val="FFFF00"/>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lineChart>
        <c:grouping val="stacked"/>
        <c:varyColors val="0"/>
        <c:ser>
          <c:idx val="0"/>
          <c:order val="0"/>
          <c:tx>
            <c:strRef>
              <c:f>'Pivot Table'!$E$22</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0" rIns="38100" bIns="19050" anchor="ctr" anchorCtr="0">
                <a:spAutoFit/>
              </a:bodyPr>
              <a:lstStyle/>
              <a:p>
                <a:pPr>
                  <a:defRPr sz="900" b="0" i="0" u="none" strike="noStrike" kern="1200" baseline="0">
                    <a:ln>
                      <a:noFill/>
                    </a:ln>
                    <a:solidFill>
                      <a:srgbClr val="FFFF00"/>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Table'!$D$23:$D$31</c:f>
              <c:strCache>
                <c:ptCount val="8"/>
                <c:pt idx="0">
                  <c:v>Jan</c:v>
                </c:pt>
                <c:pt idx="1">
                  <c:v>Feb</c:v>
                </c:pt>
                <c:pt idx="2">
                  <c:v>Mar</c:v>
                </c:pt>
                <c:pt idx="3">
                  <c:v>Apr</c:v>
                </c:pt>
                <c:pt idx="4">
                  <c:v>Mei</c:v>
                </c:pt>
                <c:pt idx="5">
                  <c:v>Jun</c:v>
                </c:pt>
                <c:pt idx="6">
                  <c:v>Jul</c:v>
                </c:pt>
                <c:pt idx="7">
                  <c:v>Agu</c:v>
                </c:pt>
              </c:strCache>
            </c:strRef>
          </c:cat>
          <c:val>
            <c:numRef>
              <c:f>'Pivot Table'!$E$23:$E$31</c:f>
              <c:numCache>
                <c:formatCode>_-"Rp"* #,##0_-;\-"Rp"* #,##0_-;_-"Rp"* "-"??_-;_-@_-</c:formatCode>
                <c:ptCount val="8"/>
                <c:pt idx="0">
                  <c:v>91560000</c:v>
                </c:pt>
                <c:pt idx="1">
                  <c:v>71280000</c:v>
                </c:pt>
                <c:pt idx="2">
                  <c:v>82840000</c:v>
                </c:pt>
                <c:pt idx="3">
                  <c:v>77260000</c:v>
                </c:pt>
                <c:pt idx="4">
                  <c:v>84390000</c:v>
                </c:pt>
                <c:pt idx="5">
                  <c:v>78995000</c:v>
                </c:pt>
                <c:pt idx="6">
                  <c:v>85870000</c:v>
                </c:pt>
                <c:pt idx="7">
                  <c:v>94930000</c:v>
                </c:pt>
              </c:numCache>
            </c:numRef>
          </c:val>
          <c:smooth val="0"/>
          <c:extLst>
            <c:ext xmlns:c16="http://schemas.microsoft.com/office/drawing/2014/chart" uri="{C3380CC4-5D6E-409C-BE32-E72D297353CC}">
              <c16:uniqueId val="{00000000-7C16-442F-9408-539F0A992EC5}"/>
            </c:ext>
          </c:extLst>
        </c:ser>
        <c:dLbls>
          <c:showLegendKey val="0"/>
          <c:showVal val="0"/>
          <c:showCatName val="0"/>
          <c:showSerName val="0"/>
          <c:showPercent val="0"/>
          <c:showBubbleSize val="0"/>
        </c:dLbls>
        <c:marker val="1"/>
        <c:smooth val="0"/>
        <c:axId val="1871839279"/>
        <c:axId val="1871842159"/>
      </c:lineChart>
      <c:catAx>
        <c:axId val="1871839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id-ID"/>
          </a:p>
        </c:txPr>
        <c:crossAx val="1871842159"/>
        <c:crosses val="autoZero"/>
        <c:auto val="1"/>
        <c:lblAlgn val="ctr"/>
        <c:lblOffset val="100"/>
        <c:noMultiLvlLbl val="0"/>
      </c:catAx>
      <c:valAx>
        <c:axId val="1871842159"/>
        <c:scaling>
          <c:orientation val="minMax"/>
        </c:scaling>
        <c:delete val="0"/>
        <c:axPos val="l"/>
        <c:majorGridlines>
          <c:spPr>
            <a:ln w="9525" cap="flat" cmpd="sng" algn="ctr">
              <a:solidFill>
                <a:schemeClr val="accent1">
                  <a:shade val="15000"/>
                  <a:alpha val="28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endParaRPr lang="id-ID"/>
          </a:p>
        </c:txPr>
        <c:crossAx val="187183927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2"/>
          </a:solidFill>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Petty  Cash.xlsx]Pivot Table!PivotTable1</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EXPENSE BY DEPARTEMENT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Table'!$H$9</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Table'!$G$10:$G$17</c:f>
              <c:strCache>
                <c:ptCount val="7"/>
                <c:pt idx="0">
                  <c:v>Operations</c:v>
                </c:pt>
                <c:pt idx="1">
                  <c:v>Sales</c:v>
                </c:pt>
                <c:pt idx="2">
                  <c:v>Finance</c:v>
                </c:pt>
                <c:pt idx="3">
                  <c:v>Procurement</c:v>
                </c:pt>
                <c:pt idx="4">
                  <c:v>HR</c:v>
                </c:pt>
                <c:pt idx="5">
                  <c:v>Marketing</c:v>
                </c:pt>
                <c:pt idx="6">
                  <c:v>IT</c:v>
                </c:pt>
              </c:strCache>
            </c:strRef>
          </c:cat>
          <c:val>
            <c:numRef>
              <c:f>'Pivot Table'!$H$10:$H$17</c:f>
              <c:numCache>
                <c:formatCode>_-"Rp"* #,##0_-;\-"Rp"* #,##0_-;_-"Rp"* "-"??_-;_-@_-</c:formatCode>
                <c:ptCount val="7"/>
                <c:pt idx="0">
                  <c:v>82800000</c:v>
                </c:pt>
                <c:pt idx="1">
                  <c:v>67150000</c:v>
                </c:pt>
                <c:pt idx="2">
                  <c:v>61600000</c:v>
                </c:pt>
                <c:pt idx="3">
                  <c:v>61050000</c:v>
                </c:pt>
                <c:pt idx="4">
                  <c:v>59575000</c:v>
                </c:pt>
                <c:pt idx="5">
                  <c:v>49275000</c:v>
                </c:pt>
                <c:pt idx="6">
                  <c:v>40025000</c:v>
                </c:pt>
              </c:numCache>
            </c:numRef>
          </c:val>
          <c:extLst>
            <c:ext xmlns:c16="http://schemas.microsoft.com/office/drawing/2014/chart" uri="{C3380CC4-5D6E-409C-BE32-E72D297353CC}">
              <c16:uniqueId val="{00000000-2F70-4ABF-8729-A3858D2C65EA}"/>
            </c:ext>
          </c:extLst>
        </c:ser>
        <c:dLbls>
          <c:showLegendKey val="0"/>
          <c:showVal val="0"/>
          <c:showCatName val="0"/>
          <c:showSerName val="0"/>
          <c:showPercent val="0"/>
          <c:showBubbleSize val="0"/>
        </c:dLbls>
        <c:gapWidth val="115"/>
        <c:overlap val="-20"/>
        <c:axId val="1871858959"/>
        <c:axId val="1871861839"/>
      </c:barChart>
      <c:catAx>
        <c:axId val="1871858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871861839"/>
        <c:crosses val="autoZero"/>
        <c:auto val="1"/>
        <c:lblAlgn val="ctr"/>
        <c:lblOffset val="100"/>
        <c:noMultiLvlLbl val="0"/>
      </c:catAx>
      <c:valAx>
        <c:axId val="1871861839"/>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87185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Petty  Cash.xlsx]Pivot Table!PivotTable7</c:name>
    <c:fmtId val="1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id-ID">
                <a:solidFill>
                  <a:schemeClr val="bg1"/>
                </a:solidFill>
              </a:rPr>
              <a:t>EXPENSE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Table'!$E$9</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Table'!$D$10:$D$18</c:f>
              <c:strCache>
                <c:ptCount val="8"/>
                <c:pt idx="0">
                  <c:v>Perjalanan Dinas</c:v>
                </c:pt>
                <c:pt idx="1">
                  <c:v>Operasional</c:v>
                </c:pt>
                <c:pt idx="2">
                  <c:v>Meeting</c:v>
                </c:pt>
                <c:pt idx="3">
                  <c:v>Transportasi</c:v>
                </c:pt>
                <c:pt idx="4">
                  <c:v>Internet &amp; Komunikasi</c:v>
                </c:pt>
                <c:pt idx="5">
                  <c:v>Konsumsi</c:v>
                </c:pt>
                <c:pt idx="6">
                  <c:v>ATK</c:v>
                </c:pt>
                <c:pt idx="7">
                  <c:v>Kurir &amp; Pengiriman</c:v>
                </c:pt>
              </c:strCache>
            </c:strRef>
          </c:cat>
          <c:val>
            <c:numRef>
              <c:f>'Pivot Table'!$E$10:$E$18</c:f>
              <c:numCache>
                <c:formatCode>_-"Rp"* #,##0_-;\-"Rp"* #,##0_-;_-"Rp"* "-"??_-;_-@_-</c:formatCode>
                <c:ptCount val="8"/>
                <c:pt idx="0">
                  <c:v>171900000</c:v>
                </c:pt>
                <c:pt idx="1">
                  <c:v>63875000</c:v>
                </c:pt>
                <c:pt idx="2">
                  <c:v>48550000</c:v>
                </c:pt>
                <c:pt idx="3">
                  <c:v>47750000</c:v>
                </c:pt>
                <c:pt idx="4">
                  <c:v>30450000</c:v>
                </c:pt>
                <c:pt idx="5">
                  <c:v>22425000</c:v>
                </c:pt>
                <c:pt idx="6">
                  <c:v>19250000</c:v>
                </c:pt>
                <c:pt idx="7">
                  <c:v>17275000</c:v>
                </c:pt>
              </c:numCache>
            </c:numRef>
          </c:val>
          <c:extLst>
            <c:ext xmlns:c16="http://schemas.microsoft.com/office/drawing/2014/chart" uri="{C3380CC4-5D6E-409C-BE32-E72D297353CC}">
              <c16:uniqueId val="{00000000-7EA5-4A0A-93C9-845460962EF7}"/>
            </c:ext>
          </c:extLst>
        </c:ser>
        <c:dLbls>
          <c:showLegendKey val="0"/>
          <c:showVal val="0"/>
          <c:showCatName val="0"/>
          <c:showSerName val="0"/>
          <c:showPercent val="0"/>
          <c:showBubbleSize val="0"/>
        </c:dLbls>
        <c:gapWidth val="100"/>
        <c:overlap val="-24"/>
        <c:axId val="1871880079"/>
        <c:axId val="1871862799"/>
      </c:barChart>
      <c:catAx>
        <c:axId val="187188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871862799"/>
        <c:crosses val="autoZero"/>
        <c:auto val="1"/>
        <c:lblAlgn val="ctr"/>
        <c:lblOffset val="100"/>
        <c:noMultiLvlLbl val="0"/>
      </c:catAx>
      <c:valAx>
        <c:axId val="1871862799"/>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87188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Petty  Cash.xlsx]Pivot Table!PivotTable6</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id-ID">
                <a:solidFill>
                  <a:schemeClr val="bg1"/>
                </a:solidFill>
              </a:rPr>
              <a:t>OUTSTANDING BY EMPLOYEE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stacked"/>
        <c:varyColors val="0"/>
        <c:ser>
          <c:idx val="0"/>
          <c:order val="0"/>
          <c:tx>
            <c:strRef>
              <c:f>'Pivot Table'!$B$11</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Table'!$A$12:$A$32</c:f>
              <c:strCache>
                <c:ptCount val="20"/>
                <c:pt idx="0">
                  <c:v>Gita Maharani</c:v>
                </c:pt>
                <c:pt idx="1">
                  <c:v>Nanda Putri</c:v>
                </c:pt>
                <c:pt idx="2">
                  <c:v>Sinta Dewi</c:v>
                </c:pt>
                <c:pt idx="3">
                  <c:v>Lukman Hakim</c:v>
                </c:pt>
                <c:pt idx="4">
                  <c:v>Hendra Wijaya</c:v>
                </c:pt>
                <c:pt idx="5">
                  <c:v>Intan Permata</c:v>
                </c:pt>
                <c:pt idx="6">
                  <c:v>Joko Susilo</c:v>
                </c:pt>
                <c:pt idx="7">
                  <c:v>Citra Lestari</c:v>
                </c:pt>
                <c:pt idx="8">
                  <c:v>Vina Anggraini</c:v>
                </c:pt>
                <c:pt idx="9">
                  <c:v>Karin Amelia</c:v>
                </c:pt>
                <c:pt idx="10">
                  <c:v>Taufik Hidayat</c:v>
                </c:pt>
                <c:pt idx="11">
                  <c:v>Maya Sari</c:v>
                </c:pt>
                <c:pt idx="12">
                  <c:v>Fajar Nugroho</c:v>
                </c:pt>
                <c:pt idx="13">
                  <c:v>Andi Pratama</c:v>
                </c:pt>
                <c:pt idx="14">
                  <c:v>Putri Ayu</c:v>
                </c:pt>
                <c:pt idx="15">
                  <c:v>Dimas Saputra</c:v>
                </c:pt>
                <c:pt idx="16">
                  <c:v>Rizky Maulana</c:v>
                </c:pt>
                <c:pt idx="17">
                  <c:v>Budi Santoso</c:v>
                </c:pt>
                <c:pt idx="18">
                  <c:v>Oscar Ramadhan</c:v>
                </c:pt>
                <c:pt idx="19">
                  <c:v>Eka Wulandari</c:v>
                </c:pt>
              </c:strCache>
            </c:strRef>
          </c:cat>
          <c:val>
            <c:numRef>
              <c:f>'Pivot Table'!$B$12:$B$32</c:f>
              <c:numCache>
                <c:formatCode>_-"Rp"* #,##0_-;\-"Rp"* #,##0_-;_-"Rp"* "-"??_-;_-@_-</c:formatCode>
                <c:ptCount val="20"/>
                <c:pt idx="0">
                  <c:v>18635000</c:v>
                </c:pt>
                <c:pt idx="1">
                  <c:v>16020000</c:v>
                </c:pt>
                <c:pt idx="2">
                  <c:v>13630000</c:v>
                </c:pt>
                <c:pt idx="3">
                  <c:v>13415000</c:v>
                </c:pt>
                <c:pt idx="4">
                  <c:v>9740000</c:v>
                </c:pt>
                <c:pt idx="5">
                  <c:v>9420000</c:v>
                </c:pt>
                <c:pt idx="6">
                  <c:v>9395000</c:v>
                </c:pt>
                <c:pt idx="7">
                  <c:v>9085000</c:v>
                </c:pt>
                <c:pt idx="8">
                  <c:v>8545000</c:v>
                </c:pt>
                <c:pt idx="9">
                  <c:v>8430000</c:v>
                </c:pt>
                <c:pt idx="10">
                  <c:v>8030000</c:v>
                </c:pt>
                <c:pt idx="11">
                  <c:v>7880000</c:v>
                </c:pt>
                <c:pt idx="12">
                  <c:v>7330000</c:v>
                </c:pt>
                <c:pt idx="13">
                  <c:v>6475000</c:v>
                </c:pt>
                <c:pt idx="14">
                  <c:v>6250000</c:v>
                </c:pt>
                <c:pt idx="15">
                  <c:v>5855000</c:v>
                </c:pt>
                <c:pt idx="16">
                  <c:v>5605000</c:v>
                </c:pt>
                <c:pt idx="17">
                  <c:v>4525000</c:v>
                </c:pt>
                <c:pt idx="18">
                  <c:v>4325000</c:v>
                </c:pt>
                <c:pt idx="19">
                  <c:v>3070000</c:v>
                </c:pt>
              </c:numCache>
            </c:numRef>
          </c:val>
          <c:extLst>
            <c:ext xmlns:c16="http://schemas.microsoft.com/office/drawing/2014/chart" uri="{C3380CC4-5D6E-409C-BE32-E72D297353CC}">
              <c16:uniqueId val="{00000000-848C-43CE-82B5-A62D775B6F6B}"/>
            </c:ext>
          </c:extLst>
        </c:ser>
        <c:dLbls>
          <c:showLegendKey val="0"/>
          <c:showVal val="0"/>
          <c:showCatName val="0"/>
          <c:showSerName val="0"/>
          <c:showPercent val="0"/>
          <c:showBubbleSize val="0"/>
        </c:dLbls>
        <c:gapWidth val="150"/>
        <c:overlap val="100"/>
        <c:axId val="1871865679"/>
        <c:axId val="1871867599"/>
      </c:barChart>
      <c:catAx>
        <c:axId val="18718656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871867599"/>
        <c:crosses val="autoZero"/>
        <c:auto val="1"/>
        <c:lblAlgn val="ctr"/>
        <c:lblOffset val="100"/>
        <c:noMultiLvlLbl val="0"/>
      </c:catAx>
      <c:valAx>
        <c:axId val="1871867599"/>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87186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Petty  Cash.xlsx]Pivot Table!PivotTable4</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id-ID">
                <a:solidFill>
                  <a:schemeClr val="bg1"/>
                </a:solidFill>
              </a:rPr>
              <a:t>OUTSTANDING AGING</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Table'!$H$22</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Table'!$G$23:$G$27</c:f>
              <c:strCache>
                <c:ptCount val="4"/>
                <c:pt idx="0">
                  <c:v>Overdue</c:v>
                </c:pt>
                <c:pt idx="1">
                  <c:v>Perlu Ditindaklanjuti</c:v>
                </c:pt>
                <c:pt idx="2">
                  <c:v>Normal</c:v>
                </c:pt>
                <c:pt idx="3">
                  <c:v>Perlu Dipantau</c:v>
                </c:pt>
              </c:strCache>
            </c:strRef>
          </c:cat>
          <c:val>
            <c:numRef>
              <c:f>'Pivot Table'!$H$23:$H$27</c:f>
              <c:numCache>
                <c:formatCode>_-"Rp"* #,##0_-;\-"Rp"* #,##0_-;_-"Rp"* "-"??_-;_-@_-</c:formatCode>
                <c:ptCount val="4"/>
                <c:pt idx="0">
                  <c:v>142690000</c:v>
                </c:pt>
                <c:pt idx="1">
                  <c:v>15325000</c:v>
                </c:pt>
                <c:pt idx="2">
                  <c:v>10355000</c:v>
                </c:pt>
                <c:pt idx="3">
                  <c:v>7290000</c:v>
                </c:pt>
              </c:numCache>
            </c:numRef>
          </c:val>
          <c:extLst>
            <c:ext xmlns:c16="http://schemas.microsoft.com/office/drawing/2014/chart" uri="{C3380CC4-5D6E-409C-BE32-E72D297353CC}">
              <c16:uniqueId val="{00000000-8865-45B0-B8CE-75F167922B85}"/>
            </c:ext>
          </c:extLst>
        </c:ser>
        <c:dLbls>
          <c:showLegendKey val="0"/>
          <c:showVal val="0"/>
          <c:showCatName val="0"/>
          <c:showSerName val="0"/>
          <c:showPercent val="0"/>
          <c:showBubbleSize val="0"/>
        </c:dLbls>
        <c:gapWidth val="100"/>
        <c:overlap val="-24"/>
        <c:axId val="1519344687"/>
        <c:axId val="1519345167"/>
      </c:barChart>
      <c:catAx>
        <c:axId val="15193446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519345167"/>
        <c:crosses val="autoZero"/>
        <c:auto val="1"/>
        <c:lblAlgn val="ctr"/>
        <c:lblOffset val="100"/>
        <c:noMultiLvlLbl val="0"/>
      </c:catAx>
      <c:valAx>
        <c:axId val="1519345167"/>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crossAx val="15193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Petty  Cash.xlsx]Pivot Table!PivotTable8</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SETTLEMENT</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771954220931142E-2"/>
          <c:y val="0.27584769954814126"/>
          <c:w val="0.64102842980619912"/>
          <c:h val="0.63413738187833257"/>
        </c:manualLayout>
      </c:layout>
      <c:pie3DChart>
        <c:varyColors val="1"/>
        <c:ser>
          <c:idx val="0"/>
          <c:order val="0"/>
          <c:tx>
            <c:strRef>
              <c:f>'Pivot Table'!$H$30</c:f>
              <c:strCache>
                <c:ptCount val="1"/>
                <c:pt idx="0">
                  <c:v>Total</c:v>
                </c:pt>
              </c:strCache>
            </c:strRef>
          </c:tx>
          <c:spPr>
            <a:solidFill>
              <a:schemeClr val="accent6">
                <a:lumMod val="75000"/>
              </a:schemeClr>
            </a:solidFill>
          </c:spPr>
          <c:dPt>
            <c:idx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792-4072-ACD0-CAAD556A9A0E}"/>
              </c:ext>
            </c:extLst>
          </c:dPt>
          <c:dPt>
            <c:idx val="1"/>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792-4072-ACD0-CAAD556A9A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id-ID"/>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Table'!$G$31:$G$33</c:f>
              <c:strCache>
                <c:ptCount val="2"/>
                <c:pt idx="0">
                  <c:v>Outstanding</c:v>
                </c:pt>
                <c:pt idx="1">
                  <c:v>Settled</c:v>
                </c:pt>
              </c:strCache>
            </c:strRef>
          </c:cat>
          <c:val>
            <c:numRef>
              <c:f>'Pivot Table'!$H$31:$H$33</c:f>
              <c:numCache>
                <c:formatCode>_-"Rp"* #,##0_-;\-"Rp"* #,##0_-;_-"Rp"* "-"??_-;_-@_-</c:formatCode>
                <c:ptCount val="2"/>
                <c:pt idx="0">
                  <c:v>175660000</c:v>
                </c:pt>
                <c:pt idx="1">
                  <c:v>0</c:v>
                </c:pt>
              </c:numCache>
            </c:numRef>
          </c:val>
          <c:extLst>
            <c:ext xmlns:c16="http://schemas.microsoft.com/office/drawing/2014/chart" uri="{C3380CC4-5D6E-409C-BE32-E72D297353CC}">
              <c16:uniqueId val="{00000004-8792-4072-ACD0-CAAD556A9A0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522612</xdr:colOff>
      <xdr:row>20</xdr:row>
      <xdr:rowOff>104602</xdr:rowOff>
    </xdr:from>
    <xdr:to>
      <xdr:col>23</xdr:col>
      <xdr:colOff>401781</xdr:colOff>
      <xdr:row>44</xdr:row>
      <xdr:rowOff>41564</xdr:rowOff>
    </xdr:to>
    <xdr:sp macro="" textlink="">
      <xdr:nvSpPr>
        <xdr:cNvPr id="13" name="Rectangle: Rounded Corners 12">
          <a:extLst>
            <a:ext uri="{FF2B5EF4-FFF2-40B4-BE49-F238E27FC236}">
              <a16:creationId xmlns:a16="http://schemas.microsoft.com/office/drawing/2014/main" id="{076D8EB5-E8E2-4AE5-8CE7-B96906D40029}"/>
            </a:ext>
          </a:extLst>
        </xdr:cNvPr>
        <xdr:cNvSpPr/>
      </xdr:nvSpPr>
      <xdr:spPr>
        <a:xfrm>
          <a:off x="8447412" y="3789911"/>
          <a:ext cx="5975169" cy="4259580"/>
        </a:xfrm>
        <a:prstGeom prst="roundRect">
          <a:avLst>
            <a:gd name="adj" fmla="val 4005"/>
          </a:avLst>
        </a:prstGeom>
        <a:ln>
          <a:round/>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id-ID" sz="1400"/>
        </a:p>
      </xdr:txBody>
    </xdr:sp>
    <xdr:clientData/>
  </xdr:twoCellAnchor>
  <xdr:twoCellAnchor>
    <xdr:from>
      <xdr:col>0</xdr:col>
      <xdr:colOff>415636</xdr:colOff>
      <xdr:row>26</xdr:row>
      <xdr:rowOff>59073</xdr:rowOff>
    </xdr:from>
    <xdr:to>
      <xdr:col>13</xdr:col>
      <xdr:colOff>415637</xdr:colOff>
      <xdr:row>44</xdr:row>
      <xdr:rowOff>10885</xdr:rowOff>
    </xdr:to>
    <xdr:sp macro="" textlink="">
      <xdr:nvSpPr>
        <xdr:cNvPr id="14" name="Rectangle: Rounded Corners 13">
          <a:extLst>
            <a:ext uri="{FF2B5EF4-FFF2-40B4-BE49-F238E27FC236}">
              <a16:creationId xmlns:a16="http://schemas.microsoft.com/office/drawing/2014/main" id="{B4AB9207-65F7-4745-8B4C-4C13CFE845A7}"/>
            </a:ext>
          </a:extLst>
        </xdr:cNvPr>
        <xdr:cNvSpPr/>
      </xdr:nvSpPr>
      <xdr:spPr>
        <a:xfrm>
          <a:off x="415636" y="4935873"/>
          <a:ext cx="7924801" cy="3282841"/>
        </a:xfrm>
        <a:prstGeom prst="roundRect">
          <a:avLst>
            <a:gd name="adj" fmla="val 4005"/>
          </a:avLst>
        </a:prstGeom>
        <a:ln>
          <a:round/>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id-ID" sz="1400"/>
        </a:p>
      </xdr:txBody>
    </xdr:sp>
    <xdr:clientData/>
  </xdr:twoCellAnchor>
  <xdr:twoCellAnchor>
    <xdr:from>
      <xdr:col>23</xdr:col>
      <xdr:colOff>484016</xdr:colOff>
      <xdr:row>1</xdr:row>
      <xdr:rowOff>35329</xdr:rowOff>
    </xdr:from>
    <xdr:to>
      <xdr:col>33</xdr:col>
      <xdr:colOff>363185</xdr:colOff>
      <xdr:row>20</xdr:row>
      <xdr:rowOff>1</xdr:rowOff>
    </xdr:to>
    <xdr:sp macro="" textlink="">
      <xdr:nvSpPr>
        <xdr:cNvPr id="15" name="Rectangle: Rounded Corners 14">
          <a:extLst>
            <a:ext uri="{FF2B5EF4-FFF2-40B4-BE49-F238E27FC236}">
              <a16:creationId xmlns:a16="http://schemas.microsoft.com/office/drawing/2014/main" id="{E10AABC0-08A5-41B3-872B-0A0FA087C42D}"/>
            </a:ext>
          </a:extLst>
        </xdr:cNvPr>
        <xdr:cNvSpPr/>
      </xdr:nvSpPr>
      <xdr:spPr>
        <a:xfrm>
          <a:off x="14504816" y="215438"/>
          <a:ext cx="5975169" cy="3469872"/>
        </a:xfrm>
        <a:prstGeom prst="roundRect">
          <a:avLst>
            <a:gd name="adj" fmla="val 4005"/>
          </a:avLst>
        </a:prstGeom>
        <a:ln>
          <a:round/>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id-ID" sz="1400"/>
        </a:p>
      </xdr:txBody>
    </xdr:sp>
    <xdr:clientData/>
  </xdr:twoCellAnchor>
  <xdr:twoCellAnchor>
    <xdr:from>
      <xdr:col>13</xdr:col>
      <xdr:colOff>526567</xdr:colOff>
      <xdr:row>1</xdr:row>
      <xdr:rowOff>28400</xdr:rowOff>
    </xdr:from>
    <xdr:to>
      <xdr:col>23</xdr:col>
      <xdr:colOff>405736</xdr:colOff>
      <xdr:row>20</xdr:row>
      <xdr:rowOff>20780</xdr:rowOff>
    </xdr:to>
    <xdr:sp macro="" textlink="">
      <xdr:nvSpPr>
        <xdr:cNvPr id="12" name="Rectangle: Rounded Corners 11">
          <a:extLst>
            <a:ext uri="{FF2B5EF4-FFF2-40B4-BE49-F238E27FC236}">
              <a16:creationId xmlns:a16="http://schemas.microsoft.com/office/drawing/2014/main" id="{F5A8B1C0-8718-4D77-8E33-BEF3429CA0DA}"/>
            </a:ext>
          </a:extLst>
        </xdr:cNvPr>
        <xdr:cNvSpPr/>
      </xdr:nvSpPr>
      <xdr:spPr>
        <a:xfrm>
          <a:off x="8451367" y="208509"/>
          <a:ext cx="5975169" cy="3497580"/>
        </a:xfrm>
        <a:prstGeom prst="roundRect">
          <a:avLst>
            <a:gd name="adj" fmla="val 4005"/>
          </a:avLst>
        </a:prstGeom>
        <a:ln>
          <a:round/>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id-ID" sz="1400"/>
        </a:p>
      </xdr:txBody>
    </xdr:sp>
    <xdr:clientData/>
  </xdr:twoCellAnchor>
  <xdr:twoCellAnchor>
    <xdr:from>
      <xdr:col>0</xdr:col>
      <xdr:colOff>407821</xdr:colOff>
      <xdr:row>11</xdr:row>
      <xdr:rowOff>99653</xdr:rowOff>
    </xdr:from>
    <xdr:to>
      <xdr:col>13</xdr:col>
      <xdr:colOff>423061</xdr:colOff>
      <xdr:row>25</xdr:row>
      <xdr:rowOff>124691</xdr:rowOff>
    </xdr:to>
    <xdr:sp macro="" textlink="">
      <xdr:nvSpPr>
        <xdr:cNvPr id="4" name="Rectangle: Rounded Corners 3">
          <a:extLst>
            <a:ext uri="{FF2B5EF4-FFF2-40B4-BE49-F238E27FC236}">
              <a16:creationId xmlns:a16="http://schemas.microsoft.com/office/drawing/2014/main" id="{9E038ED0-9A1E-464B-ADA4-96497C18576E}"/>
            </a:ext>
          </a:extLst>
        </xdr:cNvPr>
        <xdr:cNvSpPr/>
      </xdr:nvSpPr>
      <xdr:spPr>
        <a:xfrm>
          <a:off x="407821" y="2150126"/>
          <a:ext cx="7940040" cy="2560420"/>
        </a:xfrm>
        <a:prstGeom prst="roundRect">
          <a:avLst>
            <a:gd name="adj" fmla="val 583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id-ID" sz="1400"/>
        </a:p>
      </xdr:txBody>
    </xdr:sp>
    <xdr:clientData/>
  </xdr:twoCellAnchor>
  <xdr:twoCellAnchor>
    <xdr:from>
      <xdr:col>0</xdr:col>
      <xdr:colOff>381000</xdr:colOff>
      <xdr:row>1</xdr:row>
      <xdr:rowOff>30480</xdr:rowOff>
    </xdr:from>
    <xdr:to>
      <xdr:col>13</xdr:col>
      <xdr:colOff>426720</xdr:colOff>
      <xdr:row>6</xdr:row>
      <xdr:rowOff>110836</xdr:rowOff>
    </xdr:to>
    <xdr:sp macro="" textlink="">
      <xdr:nvSpPr>
        <xdr:cNvPr id="3" name="Rectangle: Rounded Corners 2">
          <a:extLst>
            <a:ext uri="{FF2B5EF4-FFF2-40B4-BE49-F238E27FC236}">
              <a16:creationId xmlns:a16="http://schemas.microsoft.com/office/drawing/2014/main" id="{018C1DDA-8AAE-7DC1-D375-FA1EBD1B17FD}"/>
            </a:ext>
          </a:extLst>
        </xdr:cNvPr>
        <xdr:cNvSpPr/>
      </xdr:nvSpPr>
      <xdr:spPr>
        <a:xfrm>
          <a:off x="381000" y="210589"/>
          <a:ext cx="7970520" cy="9809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600" b="1"/>
            <a:t>PETTY CASH &amp; CASH ADVANCE MANAGEMENT</a:t>
          </a:r>
          <a:br>
            <a:rPr lang="en-US" sz="1600" b="1"/>
          </a:br>
          <a:r>
            <a:rPr lang="id-ID" sz="1600" b="1"/>
            <a:t>Finance Administration Dashboard</a:t>
          </a:r>
          <a:br>
            <a:rPr lang="en-US" sz="1600" b="1"/>
          </a:br>
          <a:r>
            <a:rPr lang="id-ID" sz="1600" b="1"/>
            <a:t>January – August 2026</a:t>
          </a:r>
        </a:p>
      </xdr:txBody>
    </xdr:sp>
    <xdr:clientData/>
  </xdr:twoCellAnchor>
  <xdr:twoCellAnchor>
    <xdr:from>
      <xdr:col>1</xdr:col>
      <xdr:colOff>20842</xdr:colOff>
      <xdr:row>12</xdr:row>
      <xdr:rowOff>53407</xdr:rowOff>
    </xdr:from>
    <xdr:to>
      <xdr:col>13</xdr:col>
      <xdr:colOff>151470</xdr:colOff>
      <xdr:row>24</xdr:row>
      <xdr:rowOff>152401</xdr:rowOff>
    </xdr:to>
    <xdr:graphicFrame macro="">
      <xdr:nvGraphicFramePr>
        <xdr:cNvPr id="6" name="Chart 5">
          <a:extLst>
            <a:ext uri="{FF2B5EF4-FFF2-40B4-BE49-F238E27FC236}">
              <a16:creationId xmlns:a16="http://schemas.microsoft.com/office/drawing/2014/main" id="{0133E9D2-C2E2-4031-960E-FA49AB9F5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517962</xdr:colOff>
      <xdr:row>26</xdr:row>
      <xdr:rowOff>129836</xdr:rowOff>
    </xdr:from>
    <xdr:to>
      <xdr:col>13</xdr:col>
      <xdr:colOff>290945</xdr:colOff>
      <xdr:row>43</xdr:row>
      <xdr:rowOff>108858</xdr:rowOff>
    </xdr:to>
    <xdr:graphicFrame macro="">
      <xdr:nvGraphicFramePr>
        <xdr:cNvPr id="7" name="Chart 6">
          <a:extLst>
            <a:ext uri="{FF2B5EF4-FFF2-40B4-BE49-F238E27FC236}">
              <a16:creationId xmlns:a16="http://schemas.microsoft.com/office/drawing/2014/main" id="{FC38918B-D5DB-49B8-BD38-9CFEDF51B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603761</xdr:colOff>
      <xdr:row>1</xdr:row>
      <xdr:rowOff>97770</xdr:rowOff>
    </xdr:from>
    <xdr:to>
      <xdr:col>23</xdr:col>
      <xdr:colOff>225631</xdr:colOff>
      <xdr:row>19</xdr:row>
      <xdr:rowOff>53436</xdr:rowOff>
    </xdr:to>
    <xdr:graphicFrame macro="">
      <xdr:nvGraphicFramePr>
        <xdr:cNvPr id="8" name="Chart 7">
          <a:extLst>
            <a:ext uri="{FF2B5EF4-FFF2-40B4-BE49-F238E27FC236}">
              <a16:creationId xmlns:a16="http://schemas.microsoft.com/office/drawing/2014/main" id="{2A38205E-5BC8-4A26-8084-660782C02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11378</xdr:colOff>
      <xdr:row>1</xdr:row>
      <xdr:rowOff>122713</xdr:rowOff>
    </xdr:from>
    <xdr:to>
      <xdr:col>33</xdr:col>
      <xdr:colOff>263235</xdr:colOff>
      <xdr:row>19</xdr:row>
      <xdr:rowOff>96982</xdr:rowOff>
    </xdr:to>
    <xdr:graphicFrame macro="">
      <xdr:nvGraphicFramePr>
        <xdr:cNvPr id="9" name="Chart 8">
          <a:extLst>
            <a:ext uri="{FF2B5EF4-FFF2-40B4-BE49-F238E27FC236}">
              <a16:creationId xmlns:a16="http://schemas.microsoft.com/office/drawing/2014/main" id="{1A64A0F0-905D-417A-8F1A-E65837CA1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55418</xdr:colOff>
      <xdr:row>21</xdr:row>
      <xdr:rowOff>37605</xdr:rowOff>
    </xdr:from>
    <xdr:to>
      <xdr:col>23</xdr:col>
      <xdr:colOff>235527</xdr:colOff>
      <xdr:row>43</xdr:row>
      <xdr:rowOff>124691</xdr:rowOff>
    </xdr:to>
    <xdr:graphicFrame macro="">
      <xdr:nvGraphicFramePr>
        <xdr:cNvPr id="10" name="Chart 9">
          <a:extLst>
            <a:ext uri="{FF2B5EF4-FFF2-40B4-BE49-F238E27FC236}">
              <a16:creationId xmlns:a16="http://schemas.microsoft.com/office/drawing/2014/main" id="{92F673EA-2EAF-4D66-B3F2-C94A2983E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523603</xdr:colOff>
      <xdr:row>20</xdr:row>
      <xdr:rowOff>135279</xdr:rowOff>
    </xdr:from>
    <xdr:to>
      <xdr:col>33</xdr:col>
      <xdr:colOff>402772</xdr:colOff>
      <xdr:row>44</xdr:row>
      <xdr:rowOff>55418</xdr:rowOff>
    </xdr:to>
    <xdr:sp macro="" textlink="">
      <xdr:nvSpPr>
        <xdr:cNvPr id="16" name="Rectangle: Rounded Corners 15">
          <a:extLst>
            <a:ext uri="{FF2B5EF4-FFF2-40B4-BE49-F238E27FC236}">
              <a16:creationId xmlns:a16="http://schemas.microsoft.com/office/drawing/2014/main" id="{4139D26E-4BFA-411B-BC53-74CAE8C6009F}"/>
            </a:ext>
          </a:extLst>
        </xdr:cNvPr>
        <xdr:cNvSpPr/>
      </xdr:nvSpPr>
      <xdr:spPr>
        <a:xfrm>
          <a:off x="14544403" y="3820588"/>
          <a:ext cx="5975169" cy="4242757"/>
        </a:xfrm>
        <a:prstGeom prst="roundRect">
          <a:avLst>
            <a:gd name="adj" fmla="val 4005"/>
          </a:avLst>
        </a:prstGeom>
        <a:ln>
          <a:round/>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id-ID" sz="1400"/>
        </a:p>
      </xdr:txBody>
    </xdr:sp>
    <xdr:clientData/>
  </xdr:twoCellAnchor>
  <xdr:twoCellAnchor>
    <xdr:from>
      <xdr:col>24</xdr:col>
      <xdr:colOff>44730</xdr:colOff>
      <xdr:row>21</xdr:row>
      <xdr:rowOff>23256</xdr:rowOff>
    </xdr:from>
    <xdr:to>
      <xdr:col>33</xdr:col>
      <xdr:colOff>304799</xdr:colOff>
      <xdr:row>43</xdr:row>
      <xdr:rowOff>152400</xdr:rowOff>
    </xdr:to>
    <xdr:graphicFrame macro="">
      <xdr:nvGraphicFramePr>
        <xdr:cNvPr id="11" name="Chart 10">
          <a:extLst>
            <a:ext uri="{FF2B5EF4-FFF2-40B4-BE49-F238E27FC236}">
              <a16:creationId xmlns:a16="http://schemas.microsoft.com/office/drawing/2014/main" id="{1FAE37C4-1A79-4FDC-ACBA-AE411ACA8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34</xdr:col>
      <xdr:colOff>22859</xdr:colOff>
      <xdr:row>1</xdr:row>
      <xdr:rowOff>10391</xdr:rowOff>
    </xdr:from>
    <xdr:to>
      <xdr:col>40</xdr:col>
      <xdr:colOff>138544</xdr:colOff>
      <xdr:row>8</xdr:row>
      <xdr:rowOff>93518</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51264FFF-4E63-7222-42F8-440B0A0C807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0749259" y="190500"/>
              <a:ext cx="3773285" cy="1371600"/>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34</xdr:col>
      <xdr:colOff>62345</xdr:colOff>
      <xdr:row>9</xdr:row>
      <xdr:rowOff>103910</xdr:rowOff>
    </xdr:from>
    <xdr:to>
      <xdr:col>37</xdr:col>
      <xdr:colOff>62345</xdr:colOff>
      <xdr:row>23</xdr:row>
      <xdr:rowOff>7794</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659A1C3F-1270-9DAA-F7C1-432B2D9CBF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788745" y="1766455"/>
              <a:ext cx="1828800" cy="246697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145473</xdr:colOff>
      <xdr:row>9</xdr:row>
      <xdr:rowOff>90055</xdr:rowOff>
    </xdr:from>
    <xdr:to>
      <xdr:col>40</xdr:col>
      <xdr:colOff>145473</xdr:colOff>
      <xdr:row>22</xdr:row>
      <xdr:rowOff>174048</xdr:rowOff>
    </xdr:to>
    <mc:AlternateContent xmlns:mc="http://schemas.openxmlformats.org/markup-compatibility/2006">
      <mc:Choice xmlns:a14="http://schemas.microsoft.com/office/drawing/2010/main" Requires="a14">
        <xdr:graphicFrame macro="">
          <xdr:nvGraphicFramePr>
            <xdr:cNvPr id="19" name="Employee">
              <a:extLst>
                <a:ext uri="{FF2B5EF4-FFF2-40B4-BE49-F238E27FC236}">
                  <a16:creationId xmlns:a16="http://schemas.microsoft.com/office/drawing/2014/main" id="{9AF58497-3EF1-D032-EF8F-5456C4037777}"/>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22700673" y="1752600"/>
              <a:ext cx="1828800" cy="246697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76200</xdr:colOff>
      <xdr:row>23</xdr:row>
      <xdr:rowOff>173182</xdr:rowOff>
    </xdr:from>
    <xdr:to>
      <xdr:col>37</xdr:col>
      <xdr:colOff>76200</xdr:colOff>
      <xdr:row>37</xdr:row>
      <xdr:rowOff>118629</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720C184E-9C4A-4579-64CA-6056230F7E6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802600" y="4398818"/>
              <a:ext cx="1828800" cy="246697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168333</xdr:colOff>
      <xdr:row>23</xdr:row>
      <xdr:rowOff>168334</xdr:rowOff>
    </xdr:from>
    <xdr:to>
      <xdr:col>40</xdr:col>
      <xdr:colOff>168333</xdr:colOff>
      <xdr:row>37</xdr:row>
      <xdr:rowOff>113781</xdr:rowOff>
    </xdr:to>
    <mc:AlternateContent xmlns:mc="http://schemas.openxmlformats.org/markup-compatibility/2006">
      <mc:Choice xmlns:a14="http://schemas.microsoft.com/office/drawing/2010/main" Requires="a14">
        <xdr:graphicFrame macro="">
          <xdr:nvGraphicFramePr>
            <xdr:cNvPr id="25" name="Aging Bucket">
              <a:extLst>
                <a:ext uri="{FF2B5EF4-FFF2-40B4-BE49-F238E27FC236}">
                  <a16:creationId xmlns:a16="http://schemas.microsoft.com/office/drawing/2014/main" id="{75757F6C-E925-F6CE-93A2-35A008E9B8AB}"/>
                </a:ext>
              </a:extLst>
            </xdr:cNvPr>
            <xdr:cNvGraphicFramePr/>
          </xdr:nvGraphicFramePr>
          <xdr:xfrm>
            <a:off x="0" y="0"/>
            <a:ext cx="0" cy="0"/>
          </xdr:xfrm>
          <a:graphic>
            <a:graphicData uri="http://schemas.microsoft.com/office/drawing/2010/slicer">
              <sle:slicer xmlns:sle="http://schemas.microsoft.com/office/drawing/2010/slicer" name="Aging Bucket"/>
            </a:graphicData>
          </a:graphic>
        </xdr:graphicFrame>
      </mc:Choice>
      <mc:Fallback>
        <xdr:sp macro="" textlink="">
          <xdr:nvSpPr>
            <xdr:cNvPr id="0" name=""/>
            <xdr:cNvSpPr>
              <a:spLocks noTextEdit="1"/>
            </xdr:cNvSpPr>
          </xdr:nvSpPr>
          <xdr:spPr>
            <a:xfrm>
              <a:off x="22723533" y="4393970"/>
              <a:ext cx="1828800" cy="246697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gas Triambodo" refreshedDate="46272.628834953706" createdVersion="8" refreshedVersion="8" minRefreshableVersion="3" recordCount="1000" xr:uid="{335F574B-1B79-4FAE-85BA-44617B7F5A1E}">
  <cacheSource type="worksheet">
    <worksheetSource name="Table2"/>
  </cacheSource>
  <cacheFields count="17">
    <cacheField name="Transaction ID" numFmtId="0">
      <sharedItems/>
    </cacheField>
    <cacheField name="Date" numFmtId="14">
      <sharedItems containsSemiMixedTypes="0" containsNonDate="0" containsDate="1" containsString="0" minDate="2026-01-02T00:00:00" maxDate="2026-09-01T00:00:00" count="24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sharedItems>
      <fieldGroup par="16"/>
    </cacheField>
    <cacheField name="Employee ID" numFmtId="0">
      <sharedItems/>
    </cacheField>
    <cacheField name="Employee" numFmtId="0">
      <sharedItems count="20">
        <s v="Hendra Wijaya"/>
        <s v="Maya Sari"/>
        <s v="Sinta Dewi"/>
        <s v="Vina Anggraini"/>
        <s v="Budi Santoso"/>
        <s v="Citra Lestari"/>
        <s v="Intan Permata"/>
        <s v="Joko Susilo"/>
        <s v="Gita Maharani"/>
        <s v="Lukman Hakim"/>
        <s v="Andi Pratama"/>
        <s v="Eka Wulandari"/>
        <s v="Nanda Putri"/>
        <s v="Rizky Maulana"/>
        <s v="Dimas Saputra"/>
        <s v="Taufik Hidayat"/>
        <s v="Fajar Nugroho"/>
        <s v="Oscar Ramadhan"/>
        <s v="Putri Ayu"/>
        <s v="Karin Amelia"/>
      </sharedItems>
    </cacheField>
    <cacheField name="Department" numFmtId="0">
      <sharedItems count="7">
        <s v="Finance"/>
        <s v="Procurement"/>
        <s v="Operations"/>
        <s v="HR"/>
        <s v="Marketing"/>
        <s v="Sales"/>
        <s v="IT"/>
      </sharedItems>
    </cacheField>
    <cacheField name="Request Type" numFmtId="0">
      <sharedItems/>
    </cacheField>
    <cacheField name="Category" numFmtId="0">
      <sharedItems count="8">
        <s v="Perjalanan Dinas"/>
        <s v="ATK"/>
        <s v="Operasional"/>
        <s v="Konsumsi"/>
        <s v="Transportasi"/>
        <s v="Kurir &amp; Pengiriman"/>
        <s v="Meeting"/>
        <s v="Internet &amp; Komunikasi"/>
      </sharedItems>
    </cacheField>
    <cacheField name="Advance Amount" numFmtId="164">
      <sharedItems containsSemiMixedTypes="0" containsString="0" containsNumber="1" containsInteger="1" minValue="30000" maxValue="4000000"/>
    </cacheField>
    <cacheField name="Expense Amount" numFmtId="164">
      <sharedItems containsSemiMixedTypes="0" containsString="0" containsNumber="1" containsInteger="1" minValue="0" maxValue="3900000" count="97">
        <n v="3475000"/>
        <n v="0"/>
        <n v="3300000"/>
        <n v="1000000"/>
        <n v="50000"/>
        <n v="400000"/>
        <n v="1025000"/>
        <n v="375000"/>
        <n v="675000"/>
        <n v="225000"/>
        <n v="75000"/>
        <n v="2000000"/>
        <n v="450000"/>
        <n v="475000"/>
        <n v="2700000"/>
        <n v="175000"/>
        <n v="3900000"/>
        <n v="275000"/>
        <n v="800000"/>
        <n v="350000"/>
        <n v="150000"/>
        <n v="125000"/>
        <n v="200000"/>
        <n v="625000"/>
        <n v="2525000"/>
        <n v="1200000"/>
        <n v="300000"/>
        <n v="250000"/>
        <n v="775000"/>
        <n v="1525000"/>
        <n v="100000"/>
        <n v="1375000"/>
        <n v="550000"/>
        <n v="650000"/>
        <n v="850000"/>
        <n v="1600000"/>
        <n v="1700000"/>
        <n v="1900000"/>
        <n v="600000"/>
        <n v="2275000"/>
        <n v="325000"/>
        <n v="700000"/>
        <n v="425000"/>
        <n v="1150000"/>
        <n v="825000"/>
        <n v="1650000"/>
        <n v="525000"/>
        <n v="1050000"/>
        <n v="750000"/>
        <n v="2775000"/>
        <n v="1125000"/>
        <n v="2550000"/>
        <n v="975000"/>
        <n v="500000"/>
        <n v="1175000"/>
        <n v="575000"/>
        <n v="1850000"/>
        <n v="2175000"/>
        <n v="725000"/>
        <n v="1275000"/>
        <n v="25000"/>
        <n v="2975000"/>
        <n v="875000"/>
        <n v="2900000"/>
        <n v="2450000"/>
        <n v="1750000"/>
        <n v="1575000"/>
        <n v="925000"/>
        <n v="950000"/>
        <n v="2600000"/>
        <n v="1625000"/>
        <n v="900000"/>
        <n v="2825000"/>
        <n v="1250000"/>
        <n v="2300000"/>
        <n v="1100000"/>
        <n v="2225000"/>
        <n v="2125000"/>
        <n v="1300000"/>
        <n v="2200000"/>
        <n v="3500000"/>
        <n v="2950000"/>
        <n v="3000000"/>
        <n v="1225000"/>
        <n v="2500000"/>
        <n v="3275000"/>
        <n v="3400000"/>
        <n v="2250000"/>
        <n v="2075000"/>
        <n v="1425000"/>
        <n v="2425000"/>
        <n v="1675000"/>
        <n v="2325000"/>
        <n v="3125000"/>
        <n v="3325000"/>
        <n v="2100000"/>
        <n v="2400000"/>
      </sharedItems>
    </cacheField>
    <cacheField name="Return Amount" numFmtId="164">
      <sharedItems containsSemiMixedTypes="0" containsString="0" containsNumber="1" containsInteger="1" minValue="0" maxValue="1000000"/>
    </cacheField>
    <cacheField name="Outstanding" numFmtId="164">
      <sharedItems containsSemiMixedTypes="0" containsString="0" containsNumber="1" containsInteger="1" minValue="0" maxValue="3775000" count="90">
        <n v="0"/>
        <n v="600000"/>
        <n v="130000"/>
        <n v="400000"/>
        <n v="1525000"/>
        <n v="80000"/>
        <n v="305000"/>
        <n v="150000"/>
        <n v="30000"/>
        <n v="975000"/>
        <n v="550000"/>
        <n v="225000"/>
        <n v="175000"/>
        <n v="325000"/>
        <n v="105000"/>
        <n v="100000"/>
        <n v="275000"/>
        <n v="525000"/>
        <n v="480000"/>
        <n v="650000"/>
        <n v="575000"/>
        <n v="775000"/>
        <n v="1375000"/>
        <n v="1425000"/>
        <n v="1075000"/>
        <n v="380000"/>
        <n v="200000"/>
        <n v="280000"/>
        <n v="50000"/>
        <n v="1150000"/>
        <n v="800000"/>
        <n v="1350000"/>
        <n v="500000"/>
        <n v="1625000"/>
        <n v="450000"/>
        <n v="230000"/>
        <n v="2400000"/>
        <n v="455000"/>
        <n v="425000"/>
        <n v="625000"/>
        <n v="55000"/>
        <n v="205000"/>
        <n v="1450000"/>
        <n v="875000"/>
        <n v="1025000"/>
        <n v="3250000"/>
        <n v="405000"/>
        <n v="3425000"/>
        <n v="825000"/>
        <n v="2150000"/>
        <n v="255000"/>
        <n v="430000"/>
        <n v="2250000"/>
        <n v="250000"/>
        <n v="1175000"/>
        <n v="3550000"/>
        <n v="1925000"/>
        <n v="750000"/>
        <n v="180000"/>
        <n v="350000"/>
        <n v="355000"/>
        <n v="475000"/>
        <n v="1225000"/>
        <n v="1100000"/>
        <n v="2500000"/>
        <n v="675000"/>
        <n v="1250000"/>
        <n v="1000000"/>
        <n v="2425000"/>
        <n v="3525000"/>
        <n v="925000"/>
        <n v="850000"/>
        <n v="1550000"/>
        <n v="1775000"/>
        <n v="3275000"/>
        <n v="300000"/>
        <n v="125000"/>
        <n v="3325000"/>
        <n v="2625000"/>
        <n v="1650000"/>
        <n v="725000"/>
        <n v="3725000"/>
        <n v="155000"/>
        <n v="375000"/>
        <n v="1400000"/>
        <n v="1300000"/>
        <n v="2550000"/>
        <n v="3775000"/>
        <n v="700000"/>
        <n v="1275000"/>
      </sharedItems>
    </cacheField>
    <cacheField name="Status" numFmtId="164">
      <sharedItems count="2">
        <s v="Settled"/>
        <s v="Outstanding"/>
      </sharedItems>
    </cacheField>
    <cacheField name="Reconsiliation" numFmtId="164">
      <sharedItems/>
    </cacheField>
    <cacheField name="Age Days" numFmtId="1">
      <sharedItems containsSemiMixedTypes="0" containsString="0" containsNumber="1" containsInteger="1" minValue="0" maxValue="241" count="161">
        <n v="0"/>
        <n v="241"/>
        <n v="240"/>
        <n v="238"/>
        <n v="237"/>
        <n v="235"/>
        <n v="234"/>
        <n v="233"/>
        <n v="232"/>
        <n v="230"/>
        <n v="228"/>
        <n v="226"/>
        <n v="225"/>
        <n v="223"/>
        <n v="222"/>
        <n v="221"/>
        <n v="220"/>
        <n v="219"/>
        <n v="218"/>
        <n v="216"/>
        <n v="215"/>
        <n v="213"/>
        <n v="211"/>
        <n v="208"/>
        <n v="204"/>
        <n v="203"/>
        <n v="200"/>
        <n v="198"/>
        <n v="197"/>
        <n v="196"/>
        <n v="193"/>
        <n v="192"/>
        <n v="191"/>
        <n v="190"/>
        <n v="189"/>
        <n v="188"/>
        <n v="187"/>
        <n v="186"/>
        <n v="185"/>
        <n v="181"/>
        <n v="180"/>
        <n v="178"/>
        <n v="177"/>
        <n v="176"/>
        <n v="174"/>
        <n v="172"/>
        <n v="171"/>
        <n v="170"/>
        <n v="169"/>
        <n v="168"/>
        <n v="167"/>
        <n v="166"/>
        <n v="165"/>
        <n v="163"/>
        <n v="162"/>
        <n v="159"/>
        <n v="158"/>
        <n v="157"/>
        <n v="156"/>
        <n v="155"/>
        <n v="154"/>
        <n v="153"/>
        <n v="151"/>
        <n v="148"/>
        <n v="147"/>
        <n v="146"/>
        <n v="144"/>
        <n v="143"/>
        <n v="142"/>
        <n v="141"/>
        <n v="138"/>
        <n v="137"/>
        <n v="135"/>
        <n v="133"/>
        <n v="132"/>
        <n v="129"/>
        <n v="128"/>
        <n v="127"/>
        <n v="126"/>
        <n v="125"/>
        <n v="123"/>
        <n v="122"/>
        <n v="120"/>
        <n v="119"/>
        <n v="117"/>
        <n v="115"/>
        <n v="114"/>
        <n v="113"/>
        <n v="112"/>
        <n v="111"/>
        <n v="110"/>
        <n v="109"/>
        <n v="108"/>
        <n v="106"/>
        <n v="105"/>
        <n v="104"/>
        <n v="103"/>
        <n v="100"/>
        <n v="98"/>
        <n v="97"/>
        <n v="96"/>
        <n v="95"/>
        <n v="94"/>
        <n v="91"/>
        <n v="90"/>
        <n v="89"/>
        <n v="88"/>
        <n v="87"/>
        <n v="85"/>
        <n v="84"/>
        <n v="83"/>
        <n v="82"/>
        <n v="81"/>
        <n v="79"/>
        <n v="78"/>
        <n v="77"/>
        <n v="75"/>
        <n v="74"/>
        <n v="73"/>
        <n v="72"/>
        <n v="71"/>
        <n v="65"/>
        <n v="63"/>
        <n v="62"/>
        <n v="60"/>
        <n v="58"/>
        <n v="57"/>
        <n v="53"/>
        <n v="48"/>
        <n v="46"/>
        <n v="45"/>
        <n v="44"/>
        <n v="42"/>
        <n v="41"/>
        <n v="38"/>
        <n v="36"/>
        <n v="33"/>
        <n v="29"/>
        <n v="27"/>
        <n v="26"/>
        <n v="24"/>
        <n v="22"/>
        <n v="21"/>
        <n v="20"/>
        <n v="19"/>
        <n v="18"/>
        <n v="16"/>
        <n v="15"/>
        <n v="13"/>
        <n v="12"/>
        <n v="11"/>
        <n v="10"/>
        <n v="9"/>
        <n v="8"/>
        <n v="7"/>
        <n v="6"/>
        <n v="5"/>
        <n v="4"/>
        <n v="3"/>
        <n v="2"/>
        <n v="1"/>
      </sharedItems>
    </cacheField>
    <cacheField name="Aging Bucket" numFmtId="164">
      <sharedItems count="4">
        <s v="Normal"/>
        <s v="Overdue"/>
        <s v="Perlu Ditindaklanjuti"/>
        <s v="Perlu Dipantau"/>
      </sharedItems>
    </cacheField>
    <cacheField name="Days (Date)" numFmtId="0" databaseField="0">
      <fieldGroup base="1">
        <rangePr groupBy="days" startDate="2026-01-02T00:00:00" endDate="2026-09-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ei"/>
          <s v="02-Mei"/>
          <s v="03-Mei"/>
          <s v="04-Mei"/>
          <s v="05-Mei"/>
          <s v="06-Mei"/>
          <s v="07-Mei"/>
          <s v="08-Mei"/>
          <s v="09-Mei"/>
          <s v="10-Mei"/>
          <s v="11-Mei"/>
          <s v="12-Mei"/>
          <s v="13-Mei"/>
          <s v="14-Mei"/>
          <s v="15-Mei"/>
          <s v="16-Mei"/>
          <s v="17-Mei"/>
          <s v="18-Mei"/>
          <s v="19-Mei"/>
          <s v="20-Mei"/>
          <s v="21-Mei"/>
          <s v="22-Mei"/>
          <s v="23-Mei"/>
          <s v="24-Mei"/>
          <s v="25-Mei"/>
          <s v="26-Mei"/>
          <s v="27-Mei"/>
          <s v="28-Mei"/>
          <s v="29-Mei"/>
          <s v="30-Mei"/>
          <s v="31-Me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u"/>
          <s v="02-Agu"/>
          <s v="03-Agu"/>
          <s v="04-Agu"/>
          <s v="05-Agu"/>
          <s v="06-Agu"/>
          <s v="07-Agu"/>
          <s v="08-Agu"/>
          <s v="09-Agu"/>
          <s v="10-Agu"/>
          <s v="11-Agu"/>
          <s v="12-Agu"/>
          <s v="13-Agu"/>
          <s v="14-Agu"/>
          <s v="15-Agu"/>
          <s v="16-Agu"/>
          <s v="17-Agu"/>
          <s v="18-Agu"/>
          <s v="19-Agu"/>
          <s v="20-Agu"/>
          <s v="21-Agu"/>
          <s v="22-Agu"/>
          <s v="23-Agu"/>
          <s v="24-Agu"/>
          <s v="25-Agu"/>
          <s v="26-Agu"/>
          <s v="27-Agu"/>
          <s v="28-Agu"/>
          <s v="29-Agu"/>
          <s v="30-Agu"/>
          <s v="31-Agu"/>
          <s v="01-Sep"/>
          <s v="02-Sep"/>
          <s v="03-Sep"/>
          <s v="04-Sep"/>
          <s v="05-Sep"/>
          <s v="06-Sep"/>
          <s v="07-Sep"/>
          <s v="08-Sep"/>
          <s v="09-Sep"/>
          <s v="10-Sep"/>
          <s v="11-Sep"/>
          <s v="12-Sep"/>
          <s v="13-Sep"/>
          <s v="14-Sep"/>
          <s v="15-Sep"/>
          <s v="16-Sep"/>
          <s v="17-Sep"/>
          <s v="18-Sep"/>
          <s v="19-Sep"/>
          <s v="20-Sep"/>
          <s v="21-Sep"/>
          <s v="22-Sep"/>
          <s v="23-Sep"/>
          <s v="24-Sep"/>
          <s v="25-Sep"/>
          <s v="26-Sep"/>
          <s v="27-Sep"/>
          <s v="28-Sep"/>
          <s v="29-Sep"/>
          <s v="30-Sep"/>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s"/>
          <s v="02-Des"/>
          <s v="03-Des"/>
          <s v="04-Des"/>
          <s v="05-Des"/>
          <s v="06-Des"/>
          <s v="07-Des"/>
          <s v="08-Des"/>
          <s v="09-Des"/>
          <s v="10-Des"/>
          <s v="11-Des"/>
          <s v="12-Des"/>
          <s v="13-Des"/>
          <s v="14-Des"/>
          <s v="15-Des"/>
          <s v="16-Des"/>
          <s v="17-Des"/>
          <s v="18-Des"/>
          <s v="19-Des"/>
          <s v="20-Des"/>
          <s v="21-Des"/>
          <s v="22-Des"/>
          <s v="23-Des"/>
          <s v="24-Des"/>
          <s v="25-Des"/>
          <s v="26-Des"/>
          <s v="27-Des"/>
          <s v="28-Des"/>
          <s v="29-Des"/>
          <s v="30-Des"/>
          <s v="31-Des"/>
          <s v="&gt;01/09/2026"/>
        </groupItems>
      </fieldGroup>
    </cacheField>
    <cacheField name="Months (Date)" numFmtId="0" databaseField="0">
      <fieldGroup base="1">
        <rangePr groupBy="months" startDate="2026-01-02T00:00:00" endDate="2026-09-01T00:00:00"/>
        <groupItems count="14">
          <s v="&lt;02/01/2026"/>
          <s v="Jan"/>
          <s v="Feb"/>
          <s v="Mar"/>
          <s v="Apr"/>
          <s v="Mei"/>
          <s v="Jun"/>
          <s v="Jul"/>
          <s v="Agu"/>
          <s v="Sep"/>
          <s v="Okt"/>
          <s v="Nov"/>
          <s v="Des"/>
          <s v="&gt;01/09/2026"/>
        </groupItems>
      </fieldGroup>
    </cacheField>
  </cacheFields>
  <extLst>
    <ext xmlns:x14="http://schemas.microsoft.com/office/spreadsheetml/2009/9/main" uri="{725AE2AE-9491-48be-B2B4-4EB974FC3084}">
      <x14:pivotCacheDefinition pivotCacheId="858578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C-2026-0001"/>
    <x v="0"/>
    <s v="EMP008"/>
    <x v="0"/>
    <x v="0"/>
    <s v="Cash Advance"/>
    <x v="0"/>
    <n v="4000000"/>
    <x v="0"/>
    <n v="525000"/>
    <x v="0"/>
    <x v="0"/>
    <s v="Ok"/>
    <x v="0"/>
    <x v="0"/>
  </r>
  <r>
    <s v="PC-2026-0002"/>
    <x v="0"/>
    <s v="EMP013"/>
    <x v="1"/>
    <x v="1"/>
    <s v="Petty Cash"/>
    <x v="0"/>
    <n v="600000"/>
    <x v="1"/>
    <n v="0"/>
    <x v="1"/>
    <x v="1"/>
    <s v="Ok"/>
    <x v="1"/>
    <x v="1"/>
  </r>
  <r>
    <s v="PC-2026-0003"/>
    <x v="0"/>
    <s v="EMP018"/>
    <x v="2"/>
    <x v="2"/>
    <s v="Petty Cash"/>
    <x v="0"/>
    <n v="3750000"/>
    <x v="2"/>
    <n v="450000"/>
    <x v="0"/>
    <x v="0"/>
    <s v="Ok"/>
    <x v="0"/>
    <x v="0"/>
  </r>
  <r>
    <s v="PC-2026-0004"/>
    <x v="0"/>
    <s v="EMP020"/>
    <x v="3"/>
    <x v="3"/>
    <s v="Cash Advance"/>
    <x v="1"/>
    <n v="130000"/>
    <x v="1"/>
    <n v="0"/>
    <x v="2"/>
    <x v="1"/>
    <s v="Ok"/>
    <x v="1"/>
    <x v="1"/>
  </r>
  <r>
    <s v="PC-2026-0005"/>
    <x v="1"/>
    <s v="EMP002"/>
    <x v="4"/>
    <x v="0"/>
    <s v="Cash Advance"/>
    <x v="2"/>
    <n v="1325000"/>
    <x v="3"/>
    <n v="325000"/>
    <x v="0"/>
    <x v="0"/>
    <s v="Ok"/>
    <x v="0"/>
    <x v="0"/>
  </r>
  <r>
    <s v="PC-2026-0006"/>
    <x v="1"/>
    <s v="EMP003"/>
    <x v="5"/>
    <x v="3"/>
    <s v="Cash Advance"/>
    <x v="3"/>
    <n v="600000"/>
    <x v="1"/>
    <n v="0"/>
    <x v="1"/>
    <x v="1"/>
    <s v="Ok"/>
    <x v="2"/>
    <x v="1"/>
  </r>
  <r>
    <s v="PC-2026-0007"/>
    <x v="1"/>
    <s v="EMP009"/>
    <x v="6"/>
    <x v="4"/>
    <s v="Cash Advance"/>
    <x v="1"/>
    <n v="55000"/>
    <x v="4"/>
    <n v="5000"/>
    <x v="0"/>
    <x v="0"/>
    <s v="Ok"/>
    <x v="0"/>
    <x v="0"/>
  </r>
  <r>
    <s v="PC-2026-0008"/>
    <x v="1"/>
    <s v="EMP010"/>
    <x v="7"/>
    <x v="2"/>
    <s v="Cash Advance"/>
    <x v="2"/>
    <n v="425000"/>
    <x v="5"/>
    <n v="25000"/>
    <x v="0"/>
    <x v="0"/>
    <s v="Ok"/>
    <x v="0"/>
    <x v="0"/>
  </r>
  <r>
    <s v="PC-2026-0009"/>
    <x v="1"/>
    <s v="EMP018"/>
    <x v="2"/>
    <x v="2"/>
    <s v="Petty Cash"/>
    <x v="2"/>
    <n v="1150000"/>
    <x v="6"/>
    <n v="125000"/>
    <x v="0"/>
    <x v="0"/>
    <s v="Ok"/>
    <x v="0"/>
    <x v="0"/>
  </r>
  <r>
    <s v="PC-2026-0010"/>
    <x v="1"/>
    <s v="EMP020"/>
    <x v="3"/>
    <x v="3"/>
    <s v="Petty Cash"/>
    <x v="4"/>
    <n v="475000"/>
    <x v="7"/>
    <n v="100000"/>
    <x v="0"/>
    <x v="0"/>
    <s v="Ok"/>
    <x v="0"/>
    <x v="0"/>
  </r>
  <r>
    <s v="PC-2026-0011"/>
    <x v="1"/>
    <s v="EMP020"/>
    <x v="3"/>
    <x v="3"/>
    <s v="Petty Cash"/>
    <x v="4"/>
    <n v="825000"/>
    <x v="8"/>
    <n v="150000"/>
    <x v="0"/>
    <x v="0"/>
    <s v="Ok"/>
    <x v="0"/>
    <x v="0"/>
  </r>
  <r>
    <s v="PC-2026-0012"/>
    <x v="2"/>
    <s v="EMP002"/>
    <x v="4"/>
    <x v="0"/>
    <s v="Petty Cash"/>
    <x v="1"/>
    <n v="280000"/>
    <x v="9"/>
    <n v="55000"/>
    <x v="0"/>
    <x v="0"/>
    <s v="Ok"/>
    <x v="0"/>
    <x v="0"/>
  </r>
  <r>
    <s v="PC-2026-0013"/>
    <x v="2"/>
    <s v="EMP003"/>
    <x v="5"/>
    <x v="3"/>
    <s v="Petty Cash"/>
    <x v="3"/>
    <n v="100000"/>
    <x v="10"/>
    <n v="25000"/>
    <x v="0"/>
    <x v="0"/>
    <s v="Ok"/>
    <x v="0"/>
    <x v="0"/>
  </r>
  <r>
    <s v="PC-2026-0014"/>
    <x v="2"/>
    <s v="EMP007"/>
    <x v="8"/>
    <x v="5"/>
    <s v="Petty Cash"/>
    <x v="0"/>
    <n v="2125000"/>
    <x v="11"/>
    <n v="125000"/>
    <x v="0"/>
    <x v="0"/>
    <s v="Ok"/>
    <x v="0"/>
    <x v="0"/>
  </r>
  <r>
    <s v="PC-2026-0015"/>
    <x v="2"/>
    <s v="EMP012"/>
    <x v="9"/>
    <x v="5"/>
    <s v="Petty Cash"/>
    <x v="1"/>
    <n v="105000"/>
    <x v="10"/>
    <n v="30000"/>
    <x v="0"/>
    <x v="0"/>
    <s v="Ok"/>
    <x v="0"/>
    <x v="0"/>
  </r>
  <r>
    <s v="PC-2026-0016"/>
    <x v="3"/>
    <s v="EMP001"/>
    <x v="10"/>
    <x v="4"/>
    <s v="Petty Cash"/>
    <x v="3"/>
    <n v="500000"/>
    <x v="12"/>
    <n v="50000"/>
    <x v="0"/>
    <x v="0"/>
    <s v="Ok"/>
    <x v="0"/>
    <x v="0"/>
  </r>
  <r>
    <s v="PC-2026-0017"/>
    <x v="3"/>
    <s v="EMP003"/>
    <x v="5"/>
    <x v="3"/>
    <s v="Cash Advance"/>
    <x v="3"/>
    <n v="575000"/>
    <x v="13"/>
    <n v="100000"/>
    <x v="0"/>
    <x v="0"/>
    <s v="Ok"/>
    <x v="0"/>
    <x v="0"/>
  </r>
  <r>
    <s v="PC-2026-0018"/>
    <x v="3"/>
    <s v="EMP005"/>
    <x v="11"/>
    <x v="1"/>
    <s v="Cash Advance"/>
    <x v="0"/>
    <n v="2875000"/>
    <x v="14"/>
    <n v="175000"/>
    <x v="0"/>
    <x v="0"/>
    <s v="Ok"/>
    <x v="0"/>
    <x v="0"/>
  </r>
  <r>
    <s v="PC-2026-0019"/>
    <x v="3"/>
    <s v="EMP009"/>
    <x v="6"/>
    <x v="4"/>
    <s v="Petty Cash"/>
    <x v="1"/>
    <n v="480000"/>
    <x v="12"/>
    <n v="30000"/>
    <x v="0"/>
    <x v="0"/>
    <s v="Ok"/>
    <x v="0"/>
    <x v="0"/>
  </r>
  <r>
    <s v="PC-2026-0020"/>
    <x v="3"/>
    <s v="EMP010"/>
    <x v="7"/>
    <x v="2"/>
    <s v="Petty Cash"/>
    <x v="1"/>
    <n v="230000"/>
    <x v="15"/>
    <n v="55000"/>
    <x v="0"/>
    <x v="0"/>
    <s v="Ok"/>
    <x v="0"/>
    <x v="0"/>
  </r>
  <r>
    <s v="PC-2026-0021"/>
    <x v="3"/>
    <s v="EMP010"/>
    <x v="7"/>
    <x v="2"/>
    <s v="Cash Advance"/>
    <x v="3"/>
    <n v="275000"/>
    <x v="9"/>
    <n v="50000"/>
    <x v="0"/>
    <x v="0"/>
    <s v="Ok"/>
    <x v="0"/>
    <x v="0"/>
  </r>
  <r>
    <s v="PC-2026-0022"/>
    <x v="3"/>
    <s v="EMP013"/>
    <x v="1"/>
    <x v="1"/>
    <s v="Cash Advance"/>
    <x v="3"/>
    <n v="400000"/>
    <x v="1"/>
    <n v="0"/>
    <x v="3"/>
    <x v="1"/>
    <s v="Ok"/>
    <x v="3"/>
    <x v="1"/>
  </r>
  <r>
    <s v="PC-2026-0023"/>
    <x v="3"/>
    <s v="EMP014"/>
    <x v="12"/>
    <x v="6"/>
    <s v="Cash Advance"/>
    <x v="0"/>
    <n v="3925000"/>
    <x v="16"/>
    <n v="25000"/>
    <x v="0"/>
    <x v="0"/>
    <s v="Ok"/>
    <x v="0"/>
    <x v="0"/>
  </r>
  <r>
    <s v="PC-2026-0024"/>
    <x v="4"/>
    <s v="EMP003"/>
    <x v="5"/>
    <x v="3"/>
    <s v="Petty Cash"/>
    <x v="0"/>
    <n v="1525000"/>
    <x v="1"/>
    <n v="0"/>
    <x v="4"/>
    <x v="1"/>
    <s v="Ok"/>
    <x v="4"/>
    <x v="1"/>
  </r>
  <r>
    <s v="PC-2026-0025"/>
    <x v="4"/>
    <s v="EMP013"/>
    <x v="1"/>
    <x v="1"/>
    <s v="Cash Advance"/>
    <x v="1"/>
    <n v="180000"/>
    <x v="15"/>
    <n v="5000"/>
    <x v="0"/>
    <x v="0"/>
    <s v="Ok"/>
    <x v="0"/>
    <x v="0"/>
  </r>
  <r>
    <s v="PC-2026-0026"/>
    <x v="4"/>
    <s v="EMP014"/>
    <x v="12"/>
    <x v="6"/>
    <s v="Petty Cash"/>
    <x v="3"/>
    <n v="300000"/>
    <x v="17"/>
    <n v="25000"/>
    <x v="0"/>
    <x v="0"/>
    <s v="Ok"/>
    <x v="0"/>
    <x v="0"/>
  </r>
  <r>
    <s v="PC-2026-0027"/>
    <x v="5"/>
    <s v="EMP017"/>
    <x v="13"/>
    <x v="5"/>
    <s v="Petty Cash"/>
    <x v="4"/>
    <n v="825000"/>
    <x v="18"/>
    <n v="25000"/>
    <x v="0"/>
    <x v="0"/>
    <s v="Ok"/>
    <x v="0"/>
    <x v="0"/>
  </r>
  <r>
    <s v="PC-2026-0028"/>
    <x v="5"/>
    <s v="EMP018"/>
    <x v="2"/>
    <x v="2"/>
    <s v="Cash Advance"/>
    <x v="3"/>
    <n v="275000"/>
    <x v="9"/>
    <n v="50000"/>
    <x v="0"/>
    <x v="0"/>
    <s v="Ok"/>
    <x v="0"/>
    <x v="0"/>
  </r>
  <r>
    <s v="PC-2026-0029"/>
    <x v="6"/>
    <s v="EMP004"/>
    <x v="14"/>
    <x v="2"/>
    <s v="Petty Cash"/>
    <x v="2"/>
    <n v="450000"/>
    <x v="19"/>
    <n v="100000"/>
    <x v="0"/>
    <x v="0"/>
    <s v="Ok"/>
    <x v="0"/>
    <x v="0"/>
  </r>
  <r>
    <s v="PC-2026-0030"/>
    <x v="6"/>
    <s v="EMP004"/>
    <x v="14"/>
    <x v="2"/>
    <s v="Petty Cash"/>
    <x v="5"/>
    <n v="430000"/>
    <x v="19"/>
    <n v="80000"/>
    <x v="0"/>
    <x v="0"/>
    <s v="Ok"/>
    <x v="0"/>
    <x v="0"/>
  </r>
  <r>
    <s v="PC-2026-0031"/>
    <x v="6"/>
    <s v="EMP005"/>
    <x v="11"/>
    <x v="1"/>
    <s v="Cash Advance"/>
    <x v="5"/>
    <n v="80000"/>
    <x v="1"/>
    <n v="0"/>
    <x v="5"/>
    <x v="1"/>
    <s v="Ok"/>
    <x v="5"/>
    <x v="1"/>
  </r>
  <r>
    <s v="PC-2026-0032"/>
    <x v="6"/>
    <s v="EMP005"/>
    <x v="11"/>
    <x v="1"/>
    <s v="Petty Cash"/>
    <x v="6"/>
    <n v="200000"/>
    <x v="20"/>
    <n v="50000"/>
    <x v="0"/>
    <x v="0"/>
    <s v="Ok"/>
    <x v="0"/>
    <x v="0"/>
  </r>
  <r>
    <s v="PC-2026-0033"/>
    <x v="6"/>
    <s v="EMP018"/>
    <x v="2"/>
    <x v="2"/>
    <s v="Petty Cash"/>
    <x v="5"/>
    <n v="180000"/>
    <x v="20"/>
    <n v="30000"/>
    <x v="0"/>
    <x v="0"/>
    <s v="Ok"/>
    <x v="0"/>
    <x v="0"/>
  </r>
  <r>
    <s v="PC-2026-0034"/>
    <x v="6"/>
    <s v="EMP019"/>
    <x v="15"/>
    <x v="1"/>
    <s v="Petty Cash"/>
    <x v="5"/>
    <n v="130000"/>
    <x v="21"/>
    <n v="5000"/>
    <x v="0"/>
    <x v="0"/>
    <s v="Ok"/>
    <x v="0"/>
    <x v="0"/>
  </r>
  <r>
    <s v="PC-2026-0035"/>
    <x v="6"/>
    <s v="EMP020"/>
    <x v="3"/>
    <x v="3"/>
    <s v="Petty Cash"/>
    <x v="7"/>
    <n v="225000"/>
    <x v="22"/>
    <n v="25000"/>
    <x v="0"/>
    <x v="0"/>
    <s v="Ok"/>
    <x v="0"/>
    <x v="0"/>
  </r>
  <r>
    <s v="PC-2026-0036"/>
    <x v="7"/>
    <s v="EMP006"/>
    <x v="16"/>
    <x v="6"/>
    <s v="Cash Advance"/>
    <x v="6"/>
    <n v="650000"/>
    <x v="23"/>
    <n v="25000"/>
    <x v="0"/>
    <x v="0"/>
    <s v="Ok"/>
    <x v="0"/>
    <x v="0"/>
  </r>
  <r>
    <s v="PC-2026-0037"/>
    <x v="7"/>
    <s v="EMP008"/>
    <x v="0"/>
    <x v="0"/>
    <s v="Cash Advance"/>
    <x v="3"/>
    <n v="600000"/>
    <x v="1"/>
    <n v="0"/>
    <x v="1"/>
    <x v="1"/>
    <s v="Ok"/>
    <x v="6"/>
    <x v="1"/>
  </r>
  <r>
    <s v="PC-2026-0038"/>
    <x v="8"/>
    <s v="EMP010"/>
    <x v="7"/>
    <x v="2"/>
    <s v="Cash Advance"/>
    <x v="0"/>
    <n v="3400000"/>
    <x v="24"/>
    <n v="875000"/>
    <x v="0"/>
    <x v="0"/>
    <s v="Ok"/>
    <x v="0"/>
    <x v="0"/>
  </r>
  <r>
    <s v="PC-2026-0039"/>
    <x v="8"/>
    <s v="EMP015"/>
    <x v="17"/>
    <x v="4"/>
    <s v="Cash Advance"/>
    <x v="2"/>
    <n v="1325000"/>
    <x v="25"/>
    <n v="125000"/>
    <x v="0"/>
    <x v="0"/>
    <s v="Ok"/>
    <x v="0"/>
    <x v="0"/>
  </r>
  <r>
    <s v="PC-2026-0040"/>
    <x v="8"/>
    <s v="EMP017"/>
    <x v="13"/>
    <x v="5"/>
    <s v="Cash Advance"/>
    <x v="0"/>
    <n v="3950000"/>
    <x v="0"/>
    <n v="475000"/>
    <x v="0"/>
    <x v="0"/>
    <s v="Ok"/>
    <x v="0"/>
    <x v="0"/>
  </r>
  <r>
    <s v="PC-2026-0041"/>
    <x v="8"/>
    <s v="EMP019"/>
    <x v="15"/>
    <x v="1"/>
    <s v="Petty Cash"/>
    <x v="5"/>
    <n v="305000"/>
    <x v="1"/>
    <n v="0"/>
    <x v="6"/>
    <x v="1"/>
    <s v="Ok"/>
    <x v="7"/>
    <x v="1"/>
  </r>
  <r>
    <s v="PC-2026-0042"/>
    <x v="9"/>
    <s v="EMP001"/>
    <x v="10"/>
    <x v="4"/>
    <s v="Petty Cash"/>
    <x v="6"/>
    <n v="150000"/>
    <x v="1"/>
    <n v="0"/>
    <x v="7"/>
    <x v="1"/>
    <s v="Ok"/>
    <x v="8"/>
    <x v="1"/>
  </r>
  <r>
    <s v="PC-2026-0043"/>
    <x v="9"/>
    <s v="EMP003"/>
    <x v="5"/>
    <x v="3"/>
    <s v="Petty Cash"/>
    <x v="5"/>
    <n v="30000"/>
    <x v="1"/>
    <n v="0"/>
    <x v="8"/>
    <x v="1"/>
    <s v="Ok"/>
    <x v="8"/>
    <x v="1"/>
  </r>
  <r>
    <s v="PC-2026-0044"/>
    <x v="9"/>
    <s v="EMP005"/>
    <x v="11"/>
    <x v="1"/>
    <s v="Cash Advance"/>
    <x v="5"/>
    <n v="130000"/>
    <x v="21"/>
    <n v="5000"/>
    <x v="0"/>
    <x v="0"/>
    <s v="Ok"/>
    <x v="0"/>
    <x v="0"/>
  </r>
  <r>
    <s v="PC-2026-0045"/>
    <x v="9"/>
    <s v="EMP009"/>
    <x v="6"/>
    <x v="4"/>
    <s v="Cash Advance"/>
    <x v="7"/>
    <n v="325000"/>
    <x v="26"/>
    <n v="25000"/>
    <x v="0"/>
    <x v="0"/>
    <s v="Ok"/>
    <x v="0"/>
    <x v="0"/>
  </r>
  <r>
    <s v="PC-2026-0046"/>
    <x v="9"/>
    <s v="EMP013"/>
    <x v="1"/>
    <x v="1"/>
    <s v="Cash Advance"/>
    <x v="6"/>
    <n v="525000"/>
    <x v="7"/>
    <n v="150000"/>
    <x v="0"/>
    <x v="0"/>
    <s v="Ok"/>
    <x v="0"/>
    <x v="0"/>
  </r>
  <r>
    <s v="PC-2026-0047"/>
    <x v="9"/>
    <s v="EMP015"/>
    <x v="17"/>
    <x v="4"/>
    <s v="Cash Advance"/>
    <x v="0"/>
    <n v="975000"/>
    <x v="1"/>
    <n v="0"/>
    <x v="9"/>
    <x v="1"/>
    <s v="Ok"/>
    <x v="8"/>
    <x v="1"/>
  </r>
  <r>
    <s v="PC-2026-0048"/>
    <x v="9"/>
    <s v="EMP017"/>
    <x v="13"/>
    <x v="5"/>
    <s v="Petty Cash"/>
    <x v="1"/>
    <n v="330000"/>
    <x v="27"/>
    <n v="80000"/>
    <x v="0"/>
    <x v="0"/>
    <s v="Ok"/>
    <x v="0"/>
    <x v="0"/>
  </r>
  <r>
    <s v="PC-2026-0049"/>
    <x v="9"/>
    <s v="EMP018"/>
    <x v="2"/>
    <x v="2"/>
    <s v="Petty Cash"/>
    <x v="6"/>
    <n v="550000"/>
    <x v="1"/>
    <n v="0"/>
    <x v="10"/>
    <x v="1"/>
    <s v="Ok"/>
    <x v="8"/>
    <x v="1"/>
  </r>
  <r>
    <s v="PC-2026-0050"/>
    <x v="10"/>
    <s v="EMP014"/>
    <x v="12"/>
    <x v="6"/>
    <s v="Cash Advance"/>
    <x v="4"/>
    <n v="875000"/>
    <x v="28"/>
    <n v="100000"/>
    <x v="0"/>
    <x v="0"/>
    <s v="Ok"/>
    <x v="0"/>
    <x v="0"/>
  </r>
  <r>
    <s v="PC-2026-0051"/>
    <x v="11"/>
    <s v="EMP002"/>
    <x v="4"/>
    <x v="0"/>
    <s v="Cash Advance"/>
    <x v="6"/>
    <n v="900000"/>
    <x v="28"/>
    <n v="125000"/>
    <x v="0"/>
    <x v="0"/>
    <s v="Ok"/>
    <x v="0"/>
    <x v="0"/>
  </r>
  <r>
    <s v="PC-2026-0052"/>
    <x v="11"/>
    <s v="EMP009"/>
    <x v="6"/>
    <x v="4"/>
    <s v="Cash Advance"/>
    <x v="4"/>
    <n v="225000"/>
    <x v="1"/>
    <n v="0"/>
    <x v="11"/>
    <x v="1"/>
    <s v="Ok"/>
    <x v="9"/>
    <x v="1"/>
  </r>
  <r>
    <s v="PC-2026-0053"/>
    <x v="11"/>
    <s v="EMP015"/>
    <x v="17"/>
    <x v="4"/>
    <s v="Cash Advance"/>
    <x v="4"/>
    <n v="350000"/>
    <x v="17"/>
    <n v="75000"/>
    <x v="0"/>
    <x v="0"/>
    <s v="Ok"/>
    <x v="0"/>
    <x v="0"/>
  </r>
  <r>
    <s v="PC-2026-0054"/>
    <x v="11"/>
    <s v="EMP017"/>
    <x v="13"/>
    <x v="5"/>
    <s v="Cash Advance"/>
    <x v="4"/>
    <n v="525000"/>
    <x v="5"/>
    <n v="125000"/>
    <x v="0"/>
    <x v="0"/>
    <s v="Ok"/>
    <x v="0"/>
    <x v="0"/>
  </r>
  <r>
    <s v="PC-2026-0055"/>
    <x v="12"/>
    <s v="EMP001"/>
    <x v="10"/>
    <x v="4"/>
    <s v="Petty Cash"/>
    <x v="2"/>
    <n v="300000"/>
    <x v="17"/>
    <n v="25000"/>
    <x v="0"/>
    <x v="0"/>
    <s v="Ok"/>
    <x v="0"/>
    <x v="0"/>
  </r>
  <r>
    <s v="PC-2026-0056"/>
    <x v="12"/>
    <s v="EMP015"/>
    <x v="17"/>
    <x v="4"/>
    <s v="Cash Advance"/>
    <x v="5"/>
    <n v="55000"/>
    <x v="4"/>
    <n v="5000"/>
    <x v="0"/>
    <x v="0"/>
    <s v="Ok"/>
    <x v="0"/>
    <x v="0"/>
  </r>
  <r>
    <s v="PC-2026-0057"/>
    <x v="12"/>
    <s v="EMP019"/>
    <x v="15"/>
    <x v="1"/>
    <s v="Cash Advance"/>
    <x v="1"/>
    <n v="55000"/>
    <x v="4"/>
    <n v="5000"/>
    <x v="0"/>
    <x v="0"/>
    <s v="Ok"/>
    <x v="0"/>
    <x v="0"/>
  </r>
  <r>
    <s v="PC-2026-0058"/>
    <x v="13"/>
    <s v="EMP002"/>
    <x v="4"/>
    <x v="0"/>
    <s v="Petty Cash"/>
    <x v="0"/>
    <n v="1825000"/>
    <x v="29"/>
    <n v="300000"/>
    <x v="0"/>
    <x v="0"/>
    <s v="Ok"/>
    <x v="0"/>
    <x v="0"/>
  </r>
  <r>
    <s v="PC-2026-0059"/>
    <x v="13"/>
    <s v="EMP007"/>
    <x v="8"/>
    <x v="5"/>
    <s v="Cash Advance"/>
    <x v="4"/>
    <n v="175000"/>
    <x v="1"/>
    <n v="0"/>
    <x v="12"/>
    <x v="1"/>
    <s v="Ok"/>
    <x v="10"/>
    <x v="1"/>
  </r>
  <r>
    <s v="PC-2026-0060"/>
    <x v="13"/>
    <s v="EMP009"/>
    <x v="6"/>
    <x v="4"/>
    <s v="Petty Cash"/>
    <x v="4"/>
    <n v="175000"/>
    <x v="20"/>
    <n v="25000"/>
    <x v="0"/>
    <x v="0"/>
    <s v="Ok"/>
    <x v="0"/>
    <x v="0"/>
  </r>
  <r>
    <s v="PC-2026-0061"/>
    <x v="13"/>
    <s v="EMP012"/>
    <x v="9"/>
    <x v="5"/>
    <s v="Petty Cash"/>
    <x v="3"/>
    <n v="75000"/>
    <x v="4"/>
    <n v="25000"/>
    <x v="0"/>
    <x v="0"/>
    <s v="Ok"/>
    <x v="0"/>
    <x v="0"/>
  </r>
  <r>
    <s v="PC-2026-0062"/>
    <x v="13"/>
    <s v="EMP018"/>
    <x v="2"/>
    <x v="2"/>
    <s v="Cash Advance"/>
    <x v="6"/>
    <n v="325000"/>
    <x v="1"/>
    <n v="0"/>
    <x v="13"/>
    <x v="1"/>
    <s v="Ok"/>
    <x v="10"/>
    <x v="1"/>
  </r>
  <r>
    <s v="PC-2026-0063"/>
    <x v="14"/>
    <s v="EMP003"/>
    <x v="5"/>
    <x v="3"/>
    <s v="Cash Advance"/>
    <x v="2"/>
    <n v="125000"/>
    <x v="30"/>
    <n v="25000"/>
    <x v="0"/>
    <x v="0"/>
    <s v="Ok"/>
    <x v="0"/>
    <x v="0"/>
  </r>
  <r>
    <s v="PC-2026-0064"/>
    <x v="14"/>
    <s v="EMP005"/>
    <x v="11"/>
    <x v="1"/>
    <s v="Cash Advance"/>
    <x v="7"/>
    <n v="100000"/>
    <x v="10"/>
    <n v="25000"/>
    <x v="0"/>
    <x v="0"/>
    <s v="Ok"/>
    <x v="0"/>
    <x v="0"/>
  </r>
  <r>
    <s v="PC-2026-0065"/>
    <x v="14"/>
    <s v="EMP008"/>
    <x v="0"/>
    <x v="0"/>
    <s v="Cash Advance"/>
    <x v="7"/>
    <n v="125000"/>
    <x v="30"/>
    <n v="25000"/>
    <x v="0"/>
    <x v="0"/>
    <s v="Ok"/>
    <x v="0"/>
    <x v="0"/>
  </r>
  <r>
    <s v="PC-2026-0066"/>
    <x v="14"/>
    <s v="EMP016"/>
    <x v="18"/>
    <x v="0"/>
    <s v="Petty Cash"/>
    <x v="1"/>
    <n v="80000"/>
    <x v="10"/>
    <n v="5000"/>
    <x v="0"/>
    <x v="0"/>
    <s v="Ok"/>
    <x v="0"/>
    <x v="0"/>
  </r>
  <r>
    <s v="PC-2026-0067"/>
    <x v="15"/>
    <s v="EMP001"/>
    <x v="10"/>
    <x v="4"/>
    <s v="Petty Cash"/>
    <x v="7"/>
    <n v="375000"/>
    <x v="19"/>
    <n v="25000"/>
    <x v="0"/>
    <x v="0"/>
    <s v="Ok"/>
    <x v="0"/>
    <x v="0"/>
  </r>
  <r>
    <s v="PC-2026-0068"/>
    <x v="15"/>
    <s v="EMP011"/>
    <x v="19"/>
    <x v="3"/>
    <s v="Cash Advance"/>
    <x v="1"/>
    <n v="105000"/>
    <x v="1"/>
    <n v="0"/>
    <x v="14"/>
    <x v="1"/>
    <s v="Ok"/>
    <x v="11"/>
    <x v="1"/>
  </r>
  <r>
    <s v="PC-2026-0069"/>
    <x v="15"/>
    <s v="EMP011"/>
    <x v="19"/>
    <x v="3"/>
    <s v="Cash Advance"/>
    <x v="0"/>
    <n v="1625000"/>
    <x v="31"/>
    <n v="250000"/>
    <x v="0"/>
    <x v="0"/>
    <s v="Ok"/>
    <x v="0"/>
    <x v="0"/>
  </r>
  <r>
    <s v="PC-2026-0070"/>
    <x v="15"/>
    <s v="EMP019"/>
    <x v="15"/>
    <x v="1"/>
    <s v="Cash Advance"/>
    <x v="3"/>
    <n v="100000"/>
    <x v="1"/>
    <n v="0"/>
    <x v="15"/>
    <x v="1"/>
    <s v="Ok"/>
    <x v="11"/>
    <x v="1"/>
  </r>
  <r>
    <s v="PC-2026-0071"/>
    <x v="16"/>
    <s v="EMP011"/>
    <x v="19"/>
    <x v="3"/>
    <s v="Cash Advance"/>
    <x v="7"/>
    <n v="275000"/>
    <x v="1"/>
    <n v="0"/>
    <x v="16"/>
    <x v="1"/>
    <s v="Ok"/>
    <x v="12"/>
    <x v="1"/>
  </r>
  <r>
    <s v="PC-2026-0072"/>
    <x v="16"/>
    <s v="EMP011"/>
    <x v="19"/>
    <x v="3"/>
    <s v="Petty Cash"/>
    <x v="7"/>
    <n v="100000"/>
    <x v="10"/>
    <n v="25000"/>
    <x v="0"/>
    <x v="0"/>
    <s v="Ok"/>
    <x v="0"/>
    <x v="0"/>
  </r>
  <r>
    <s v="PC-2026-0073"/>
    <x v="16"/>
    <s v="EMP012"/>
    <x v="9"/>
    <x v="5"/>
    <s v="Petty Cash"/>
    <x v="0"/>
    <n v="675000"/>
    <x v="32"/>
    <n v="125000"/>
    <x v="0"/>
    <x v="0"/>
    <s v="Ok"/>
    <x v="0"/>
    <x v="0"/>
  </r>
  <r>
    <s v="PC-2026-0074"/>
    <x v="16"/>
    <s v="EMP020"/>
    <x v="3"/>
    <x v="3"/>
    <s v="Petty Cash"/>
    <x v="4"/>
    <n v="175000"/>
    <x v="20"/>
    <n v="25000"/>
    <x v="0"/>
    <x v="0"/>
    <s v="Ok"/>
    <x v="0"/>
    <x v="0"/>
  </r>
  <r>
    <s v="PC-2026-0075"/>
    <x v="17"/>
    <s v="EMP008"/>
    <x v="0"/>
    <x v="0"/>
    <s v="Petty Cash"/>
    <x v="6"/>
    <n v="250000"/>
    <x v="9"/>
    <n v="25000"/>
    <x v="0"/>
    <x v="0"/>
    <s v="Ok"/>
    <x v="0"/>
    <x v="0"/>
  </r>
  <r>
    <s v="PC-2026-0076"/>
    <x v="17"/>
    <s v="EMP011"/>
    <x v="19"/>
    <x v="3"/>
    <s v="Cash Advance"/>
    <x v="3"/>
    <n v="50000"/>
    <x v="4"/>
    <n v="0"/>
    <x v="0"/>
    <x v="0"/>
    <s v="Ok"/>
    <x v="0"/>
    <x v="0"/>
  </r>
  <r>
    <s v="PC-2026-0077"/>
    <x v="17"/>
    <s v="EMP012"/>
    <x v="9"/>
    <x v="5"/>
    <s v="Petty Cash"/>
    <x v="4"/>
    <n v="675000"/>
    <x v="33"/>
    <n v="25000"/>
    <x v="0"/>
    <x v="0"/>
    <s v="Ok"/>
    <x v="0"/>
    <x v="0"/>
  </r>
  <r>
    <s v="PC-2026-0078"/>
    <x v="17"/>
    <s v="EMP013"/>
    <x v="1"/>
    <x v="1"/>
    <s v="Cash Advance"/>
    <x v="4"/>
    <n v="200000"/>
    <x v="15"/>
    <n v="25000"/>
    <x v="0"/>
    <x v="0"/>
    <s v="Ok"/>
    <x v="0"/>
    <x v="0"/>
  </r>
  <r>
    <s v="PC-2026-0079"/>
    <x v="18"/>
    <s v="EMP015"/>
    <x v="17"/>
    <x v="4"/>
    <s v="Petty Cash"/>
    <x v="6"/>
    <n v="1100000"/>
    <x v="34"/>
    <n v="250000"/>
    <x v="0"/>
    <x v="0"/>
    <s v="Ok"/>
    <x v="0"/>
    <x v="0"/>
  </r>
  <r>
    <s v="PC-2026-0080"/>
    <x v="18"/>
    <s v="EMP018"/>
    <x v="2"/>
    <x v="2"/>
    <s v="Petty Cash"/>
    <x v="6"/>
    <n v="325000"/>
    <x v="1"/>
    <n v="0"/>
    <x v="13"/>
    <x v="1"/>
    <s v="Ok"/>
    <x v="13"/>
    <x v="1"/>
  </r>
  <r>
    <s v="PC-2026-0081"/>
    <x v="19"/>
    <s v="EMP013"/>
    <x v="1"/>
    <x v="1"/>
    <s v="Petty Cash"/>
    <x v="4"/>
    <n v="750000"/>
    <x v="8"/>
    <n v="75000"/>
    <x v="0"/>
    <x v="0"/>
    <s v="Ok"/>
    <x v="0"/>
    <x v="0"/>
  </r>
  <r>
    <s v="PC-2026-0082"/>
    <x v="19"/>
    <s v="EMP015"/>
    <x v="17"/>
    <x v="4"/>
    <s v="Petty Cash"/>
    <x v="2"/>
    <n v="525000"/>
    <x v="1"/>
    <n v="0"/>
    <x v="17"/>
    <x v="1"/>
    <s v="Ok"/>
    <x v="14"/>
    <x v="1"/>
  </r>
  <r>
    <s v="PC-2026-0083"/>
    <x v="19"/>
    <s v="EMP017"/>
    <x v="13"/>
    <x v="5"/>
    <s v="Petty Cash"/>
    <x v="0"/>
    <n v="2100000"/>
    <x v="35"/>
    <n v="500000"/>
    <x v="0"/>
    <x v="0"/>
    <s v="Ok"/>
    <x v="0"/>
    <x v="0"/>
  </r>
  <r>
    <s v="PC-2026-0084"/>
    <x v="20"/>
    <s v="EMP001"/>
    <x v="10"/>
    <x v="4"/>
    <s v="Cash Advance"/>
    <x v="0"/>
    <n v="1825000"/>
    <x v="36"/>
    <n v="125000"/>
    <x v="0"/>
    <x v="0"/>
    <s v="Ok"/>
    <x v="0"/>
    <x v="0"/>
  </r>
  <r>
    <s v="PC-2026-0085"/>
    <x v="20"/>
    <s v="EMP003"/>
    <x v="5"/>
    <x v="3"/>
    <s v="Cash Advance"/>
    <x v="2"/>
    <n v="600000"/>
    <x v="13"/>
    <n v="125000"/>
    <x v="0"/>
    <x v="0"/>
    <s v="Ok"/>
    <x v="0"/>
    <x v="0"/>
  </r>
  <r>
    <s v="PC-2026-0086"/>
    <x v="20"/>
    <s v="EMP003"/>
    <x v="5"/>
    <x v="3"/>
    <s v="Cash Advance"/>
    <x v="1"/>
    <n v="255000"/>
    <x v="27"/>
    <n v="5000"/>
    <x v="0"/>
    <x v="0"/>
    <s v="Ok"/>
    <x v="0"/>
    <x v="0"/>
  </r>
  <r>
    <s v="PC-2026-0087"/>
    <x v="20"/>
    <s v="EMP008"/>
    <x v="0"/>
    <x v="0"/>
    <s v="Petty Cash"/>
    <x v="5"/>
    <n v="80000"/>
    <x v="10"/>
    <n v="5000"/>
    <x v="0"/>
    <x v="0"/>
    <s v="Ok"/>
    <x v="0"/>
    <x v="0"/>
  </r>
  <r>
    <s v="PC-2026-0088"/>
    <x v="20"/>
    <s v="EMP010"/>
    <x v="7"/>
    <x v="2"/>
    <s v="Petty Cash"/>
    <x v="3"/>
    <n v="350000"/>
    <x v="17"/>
    <n v="75000"/>
    <x v="0"/>
    <x v="0"/>
    <s v="Ok"/>
    <x v="0"/>
    <x v="0"/>
  </r>
  <r>
    <s v="PC-2026-0089"/>
    <x v="20"/>
    <s v="EMP010"/>
    <x v="7"/>
    <x v="2"/>
    <s v="Petty Cash"/>
    <x v="3"/>
    <n v="275000"/>
    <x v="27"/>
    <n v="25000"/>
    <x v="0"/>
    <x v="0"/>
    <s v="Ok"/>
    <x v="0"/>
    <x v="0"/>
  </r>
  <r>
    <s v="PC-2026-0090"/>
    <x v="20"/>
    <s v="EMP012"/>
    <x v="9"/>
    <x v="5"/>
    <s v="Petty Cash"/>
    <x v="5"/>
    <n v="130000"/>
    <x v="30"/>
    <n v="30000"/>
    <x v="0"/>
    <x v="0"/>
    <s v="Ok"/>
    <x v="0"/>
    <x v="0"/>
  </r>
  <r>
    <s v="PC-2026-0091"/>
    <x v="20"/>
    <s v="EMP013"/>
    <x v="1"/>
    <x v="1"/>
    <s v="Petty Cash"/>
    <x v="1"/>
    <n v="305000"/>
    <x v="1"/>
    <n v="0"/>
    <x v="6"/>
    <x v="1"/>
    <s v="Ok"/>
    <x v="15"/>
    <x v="1"/>
  </r>
  <r>
    <s v="PC-2026-0092"/>
    <x v="20"/>
    <s v="EMP018"/>
    <x v="2"/>
    <x v="2"/>
    <s v="Petty Cash"/>
    <x v="5"/>
    <n v="480000"/>
    <x v="1"/>
    <n v="0"/>
    <x v="18"/>
    <x v="1"/>
    <s v="Ok"/>
    <x v="15"/>
    <x v="1"/>
  </r>
  <r>
    <s v="PC-2026-0093"/>
    <x v="21"/>
    <s v="EMP009"/>
    <x v="6"/>
    <x v="4"/>
    <s v="Cash Advance"/>
    <x v="7"/>
    <n v="650000"/>
    <x v="1"/>
    <n v="0"/>
    <x v="19"/>
    <x v="1"/>
    <s v="Ok"/>
    <x v="16"/>
    <x v="1"/>
  </r>
  <r>
    <s v="PC-2026-0094"/>
    <x v="21"/>
    <s v="EMP013"/>
    <x v="1"/>
    <x v="1"/>
    <s v="Petty Cash"/>
    <x v="0"/>
    <n v="2075000"/>
    <x v="37"/>
    <n v="175000"/>
    <x v="0"/>
    <x v="0"/>
    <s v="Ok"/>
    <x v="0"/>
    <x v="0"/>
  </r>
  <r>
    <s v="PC-2026-0095"/>
    <x v="22"/>
    <s v="EMP003"/>
    <x v="5"/>
    <x v="3"/>
    <s v="Cash Advance"/>
    <x v="7"/>
    <n v="475000"/>
    <x v="7"/>
    <n v="100000"/>
    <x v="0"/>
    <x v="0"/>
    <s v="Ok"/>
    <x v="0"/>
    <x v="0"/>
  </r>
  <r>
    <s v="PC-2026-0096"/>
    <x v="22"/>
    <s v="EMP005"/>
    <x v="11"/>
    <x v="1"/>
    <s v="Petty Cash"/>
    <x v="2"/>
    <n v="750000"/>
    <x v="38"/>
    <n v="150000"/>
    <x v="0"/>
    <x v="0"/>
    <s v="Ok"/>
    <x v="0"/>
    <x v="0"/>
  </r>
  <r>
    <s v="PC-2026-0097"/>
    <x v="22"/>
    <s v="EMP006"/>
    <x v="16"/>
    <x v="6"/>
    <s v="Petty Cash"/>
    <x v="7"/>
    <n v="325000"/>
    <x v="26"/>
    <n v="25000"/>
    <x v="0"/>
    <x v="0"/>
    <s v="Ok"/>
    <x v="0"/>
    <x v="0"/>
  </r>
  <r>
    <s v="PC-2026-0098"/>
    <x v="22"/>
    <s v="EMP018"/>
    <x v="2"/>
    <x v="2"/>
    <s v="Petty Cash"/>
    <x v="4"/>
    <n v="100000"/>
    <x v="10"/>
    <n v="25000"/>
    <x v="0"/>
    <x v="0"/>
    <s v="Ok"/>
    <x v="0"/>
    <x v="0"/>
  </r>
  <r>
    <s v="PC-2026-0099"/>
    <x v="22"/>
    <s v="EMP020"/>
    <x v="3"/>
    <x v="3"/>
    <s v="Cash Advance"/>
    <x v="3"/>
    <n v="575000"/>
    <x v="1"/>
    <n v="0"/>
    <x v="20"/>
    <x v="1"/>
    <s v="Ok"/>
    <x v="17"/>
    <x v="1"/>
  </r>
  <r>
    <s v="PC-2026-0100"/>
    <x v="22"/>
    <s v="EMP020"/>
    <x v="3"/>
    <x v="3"/>
    <s v="Petty Cash"/>
    <x v="0"/>
    <n v="2725000"/>
    <x v="39"/>
    <n v="450000"/>
    <x v="0"/>
    <x v="0"/>
    <s v="Ok"/>
    <x v="0"/>
    <x v="0"/>
  </r>
  <r>
    <s v="PC-2026-0101"/>
    <x v="23"/>
    <s v="EMP002"/>
    <x v="4"/>
    <x v="0"/>
    <s v="Petty Cash"/>
    <x v="0"/>
    <n v="775000"/>
    <x v="1"/>
    <n v="0"/>
    <x v="21"/>
    <x v="1"/>
    <s v="Ok"/>
    <x v="18"/>
    <x v="1"/>
  </r>
  <r>
    <s v="PC-2026-0102"/>
    <x v="23"/>
    <s v="EMP009"/>
    <x v="6"/>
    <x v="4"/>
    <s v="Petty Cash"/>
    <x v="7"/>
    <n v="175000"/>
    <x v="20"/>
    <n v="25000"/>
    <x v="0"/>
    <x v="0"/>
    <s v="Ok"/>
    <x v="0"/>
    <x v="0"/>
  </r>
  <r>
    <s v="PC-2026-0103"/>
    <x v="23"/>
    <s v="EMP015"/>
    <x v="17"/>
    <x v="4"/>
    <s v="Petty Cash"/>
    <x v="3"/>
    <n v="175000"/>
    <x v="1"/>
    <n v="0"/>
    <x v="12"/>
    <x v="1"/>
    <s v="Ok"/>
    <x v="18"/>
    <x v="1"/>
  </r>
  <r>
    <s v="PC-2026-0104"/>
    <x v="23"/>
    <s v="EMP016"/>
    <x v="18"/>
    <x v="0"/>
    <s v="Petty Cash"/>
    <x v="7"/>
    <n v="300000"/>
    <x v="27"/>
    <n v="50000"/>
    <x v="0"/>
    <x v="0"/>
    <s v="Ok"/>
    <x v="0"/>
    <x v="0"/>
  </r>
  <r>
    <s v="PC-2026-0105"/>
    <x v="23"/>
    <s v="EMP017"/>
    <x v="13"/>
    <x v="5"/>
    <s v="Petty Cash"/>
    <x v="7"/>
    <n v="450000"/>
    <x v="7"/>
    <n v="75000"/>
    <x v="0"/>
    <x v="0"/>
    <s v="Ok"/>
    <x v="0"/>
    <x v="0"/>
  </r>
  <r>
    <s v="PC-2026-0106"/>
    <x v="24"/>
    <s v="EMP007"/>
    <x v="8"/>
    <x v="5"/>
    <s v="Cash Advance"/>
    <x v="7"/>
    <n v="325000"/>
    <x v="17"/>
    <n v="50000"/>
    <x v="0"/>
    <x v="0"/>
    <s v="Ok"/>
    <x v="0"/>
    <x v="0"/>
  </r>
  <r>
    <s v="PC-2026-0107"/>
    <x v="24"/>
    <s v="EMP014"/>
    <x v="12"/>
    <x v="6"/>
    <s v="Petty Cash"/>
    <x v="6"/>
    <n v="350000"/>
    <x v="26"/>
    <n v="50000"/>
    <x v="0"/>
    <x v="0"/>
    <s v="Ok"/>
    <x v="0"/>
    <x v="0"/>
  </r>
  <r>
    <s v="PC-2026-0108"/>
    <x v="24"/>
    <s v="EMP015"/>
    <x v="17"/>
    <x v="4"/>
    <s v="Petty Cash"/>
    <x v="5"/>
    <n v="405000"/>
    <x v="40"/>
    <n v="80000"/>
    <x v="0"/>
    <x v="0"/>
    <s v="Ok"/>
    <x v="0"/>
    <x v="0"/>
  </r>
  <r>
    <s v="PC-2026-0109"/>
    <x v="24"/>
    <s v="EMP017"/>
    <x v="13"/>
    <x v="5"/>
    <s v="Cash Advance"/>
    <x v="2"/>
    <n v="950000"/>
    <x v="28"/>
    <n v="175000"/>
    <x v="0"/>
    <x v="0"/>
    <s v="Ok"/>
    <x v="0"/>
    <x v="0"/>
  </r>
  <r>
    <s v="PC-2026-0110"/>
    <x v="24"/>
    <s v="EMP020"/>
    <x v="3"/>
    <x v="3"/>
    <s v="Cash Advance"/>
    <x v="2"/>
    <n v="850000"/>
    <x v="41"/>
    <n v="150000"/>
    <x v="0"/>
    <x v="0"/>
    <s v="Ok"/>
    <x v="0"/>
    <x v="0"/>
  </r>
  <r>
    <s v="PC-2026-0111"/>
    <x v="25"/>
    <s v="EMP002"/>
    <x v="4"/>
    <x v="0"/>
    <s v="Petty Cash"/>
    <x v="5"/>
    <n v="30000"/>
    <x v="1"/>
    <n v="0"/>
    <x v="8"/>
    <x v="1"/>
    <s v="Ok"/>
    <x v="19"/>
    <x v="1"/>
  </r>
  <r>
    <s v="PC-2026-0112"/>
    <x v="25"/>
    <s v="EMP005"/>
    <x v="11"/>
    <x v="1"/>
    <s v="Petty Cash"/>
    <x v="7"/>
    <n v="650000"/>
    <x v="1"/>
    <n v="0"/>
    <x v="19"/>
    <x v="1"/>
    <s v="Ok"/>
    <x v="19"/>
    <x v="1"/>
  </r>
  <r>
    <s v="PC-2026-0113"/>
    <x v="25"/>
    <s v="EMP006"/>
    <x v="16"/>
    <x v="6"/>
    <s v="Cash Advance"/>
    <x v="7"/>
    <n v="675000"/>
    <x v="32"/>
    <n v="125000"/>
    <x v="0"/>
    <x v="0"/>
    <s v="Ok"/>
    <x v="0"/>
    <x v="0"/>
  </r>
  <r>
    <s v="PC-2026-0114"/>
    <x v="25"/>
    <s v="EMP008"/>
    <x v="0"/>
    <x v="0"/>
    <s v="Cash Advance"/>
    <x v="3"/>
    <n v="200000"/>
    <x v="20"/>
    <n v="50000"/>
    <x v="0"/>
    <x v="0"/>
    <s v="Ok"/>
    <x v="0"/>
    <x v="0"/>
  </r>
  <r>
    <s v="PC-2026-0115"/>
    <x v="26"/>
    <s v="EMP003"/>
    <x v="5"/>
    <x v="3"/>
    <s v="Cash Advance"/>
    <x v="1"/>
    <n v="80000"/>
    <x v="1"/>
    <n v="0"/>
    <x v="5"/>
    <x v="1"/>
    <s v="Ok"/>
    <x v="20"/>
    <x v="1"/>
  </r>
  <r>
    <s v="PC-2026-0116"/>
    <x v="26"/>
    <s v="EMP004"/>
    <x v="14"/>
    <x v="2"/>
    <s v="Cash Advance"/>
    <x v="0"/>
    <n v="1375000"/>
    <x v="1"/>
    <n v="0"/>
    <x v="22"/>
    <x v="1"/>
    <s v="Ok"/>
    <x v="20"/>
    <x v="1"/>
  </r>
  <r>
    <s v="PC-2026-0117"/>
    <x v="26"/>
    <s v="EMP006"/>
    <x v="16"/>
    <x v="6"/>
    <s v="Cash Advance"/>
    <x v="5"/>
    <n v="480000"/>
    <x v="42"/>
    <n v="55000"/>
    <x v="0"/>
    <x v="0"/>
    <s v="Ok"/>
    <x v="0"/>
    <x v="0"/>
  </r>
  <r>
    <s v="PC-2026-0118"/>
    <x v="26"/>
    <s v="EMP006"/>
    <x v="16"/>
    <x v="6"/>
    <s v="Cash Advance"/>
    <x v="2"/>
    <n v="1425000"/>
    <x v="1"/>
    <n v="0"/>
    <x v="23"/>
    <x v="1"/>
    <s v="Ok"/>
    <x v="20"/>
    <x v="1"/>
  </r>
  <r>
    <s v="PC-2026-0119"/>
    <x v="26"/>
    <s v="EMP010"/>
    <x v="7"/>
    <x v="2"/>
    <s v="Cash Advance"/>
    <x v="2"/>
    <n v="750000"/>
    <x v="33"/>
    <n v="100000"/>
    <x v="0"/>
    <x v="0"/>
    <s v="Ok"/>
    <x v="0"/>
    <x v="0"/>
  </r>
  <r>
    <s v="PC-2026-0120"/>
    <x v="26"/>
    <s v="EMP011"/>
    <x v="19"/>
    <x v="3"/>
    <s v="Cash Advance"/>
    <x v="3"/>
    <n v="325000"/>
    <x v="26"/>
    <n v="25000"/>
    <x v="0"/>
    <x v="0"/>
    <s v="Ok"/>
    <x v="0"/>
    <x v="0"/>
  </r>
  <r>
    <s v="PC-2026-0121"/>
    <x v="26"/>
    <s v="EMP015"/>
    <x v="17"/>
    <x v="4"/>
    <s v="Petty Cash"/>
    <x v="2"/>
    <n v="1275000"/>
    <x v="43"/>
    <n v="125000"/>
    <x v="0"/>
    <x v="0"/>
    <s v="Ok"/>
    <x v="0"/>
    <x v="0"/>
  </r>
  <r>
    <s v="PC-2026-0122"/>
    <x v="26"/>
    <s v="EMP017"/>
    <x v="13"/>
    <x v="5"/>
    <s v="Cash Advance"/>
    <x v="6"/>
    <n v="1025000"/>
    <x v="44"/>
    <n v="200000"/>
    <x v="0"/>
    <x v="0"/>
    <s v="Ok"/>
    <x v="0"/>
    <x v="0"/>
  </r>
  <r>
    <s v="PC-2026-0123"/>
    <x v="27"/>
    <s v="EMP005"/>
    <x v="11"/>
    <x v="1"/>
    <s v="Cash Advance"/>
    <x v="5"/>
    <n v="280000"/>
    <x v="9"/>
    <n v="55000"/>
    <x v="0"/>
    <x v="0"/>
    <s v="Ok"/>
    <x v="0"/>
    <x v="0"/>
  </r>
  <r>
    <s v="PC-2026-0124"/>
    <x v="27"/>
    <s v="EMP011"/>
    <x v="19"/>
    <x v="3"/>
    <s v="Petty Cash"/>
    <x v="4"/>
    <n v="250000"/>
    <x v="9"/>
    <n v="25000"/>
    <x v="0"/>
    <x v="0"/>
    <s v="Ok"/>
    <x v="0"/>
    <x v="0"/>
  </r>
  <r>
    <s v="PC-2026-0125"/>
    <x v="27"/>
    <s v="EMP014"/>
    <x v="12"/>
    <x v="6"/>
    <s v="Cash Advance"/>
    <x v="0"/>
    <n v="1900000"/>
    <x v="45"/>
    <n v="250000"/>
    <x v="0"/>
    <x v="0"/>
    <s v="Ok"/>
    <x v="0"/>
    <x v="0"/>
  </r>
  <r>
    <s v="PC-2026-0126"/>
    <x v="28"/>
    <s v="EMP002"/>
    <x v="4"/>
    <x v="0"/>
    <s v="Cash Advance"/>
    <x v="5"/>
    <n v="55000"/>
    <x v="4"/>
    <n v="5000"/>
    <x v="0"/>
    <x v="0"/>
    <s v="Ok"/>
    <x v="0"/>
    <x v="0"/>
  </r>
  <r>
    <s v="PC-2026-0127"/>
    <x v="28"/>
    <s v="EMP003"/>
    <x v="5"/>
    <x v="3"/>
    <s v="Petty Cash"/>
    <x v="7"/>
    <n v="325000"/>
    <x v="17"/>
    <n v="50000"/>
    <x v="0"/>
    <x v="0"/>
    <s v="Ok"/>
    <x v="0"/>
    <x v="0"/>
  </r>
  <r>
    <s v="PC-2026-0128"/>
    <x v="28"/>
    <s v="EMP003"/>
    <x v="5"/>
    <x v="3"/>
    <s v="Petty Cash"/>
    <x v="2"/>
    <n v="1075000"/>
    <x v="1"/>
    <n v="0"/>
    <x v="24"/>
    <x v="1"/>
    <s v="Ok"/>
    <x v="21"/>
    <x v="1"/>
  </r>
  <r>
    <s v="PC-2026-0129"/>
    <x v="28"/>
    <s v="EMP011"/>
    <x v="19"/>
    <x v="3"/>
    <s v="Cash Advance"/>
    <x v="1"/>
    <n v="380000"/>
    <x v="1"/>
    <n v="0"/>
    <x v="25"/>
    <x v="1"/>
    <s v="Ok"/>
    <x v="21"/>
    <x v="1"/>
  </r>
  <r>
    <s v="PC-2026-0130"/>
    <x v="29"/>
    <s v="EMP003"/>
    <x v="5"/>
    <x v="3"/>
    <s v="Petty Cash"/>
    <x v="1"/>
    <n v="305000"/>
    <x v="27"/>
    <n v="55000"/>
    <x v="0"/>
    <x v="0"/>
    <s v="Ok"/>
    <x v="0"/>
    <x v="0"/>
  </r>
  <r>
    <s v="PC-2026-0131"/>
    <x v="29"/>
    <s v="EMP004"/>
    <x v="14"/>
    <x v="2"/>
    <s v="Petty Cash"/>
    <x v="2"/>
    <n v="200000"/>
    <x v="22"/>
    <n v="0"/>
    <x v="0"/>
    <x v="0"/>
    <s v="Ok"/>
    <x v="0"/>
    <x v="0"/>
  </r>
  <r>
    <s v="PC-2026-0132"/>
    <x v="29"/>
    <s v="EMP012"/>
    <x v="9"/>
    <x v="5"/>
    <s v="Petty Cash"/>
    <x v="2"/>
    <n v="1025000"/>
    <x v="6"/>
    <n v="0"/>
    <x v="0"/>
    <x v="0"/>
    <s v="Ok"/>
    <x v="0"/>
    <x v="0"/>
  </r>
  <r>
    <s v="PC-2026-0133"/>
    <x v="29"/>
    <s v="EMP016"/>
    <x v="18"/>
    <x v="0"/>
    <s v="Cash Advance"/>
    <x v="7"/>
    <n v="550000"/>
    <x v="46"/>
    <n v="25000"/>
    <x v="0"/>
    <x v="0"/>
    <s v="Ok"/>
    <x v="0"/>
    <x v="0"/>
  </r>
  <r>
    <s v="PC-2026-0134"/>
    <x v="29"/>
    <s v="EMP017"/>
    <x v="13"/>
    <x v="5"/>
    <s v="Cash Advance"/>
    <x v="2"/>
    <n v="1250000"/>
    <x v="47"/>
    <n v="200000"/>
    <x v="0"/>
    <x v="0"/>
    <s v="Ok"/>
    <x v="0"/>
    <x v="0"/>
  </r>
  <r>
    <s v="PC-2026-0135"/>
    <x v="30"/>
    <s v="EMP007"/>
    <x v="8"/>
    <x v="5"/>
    <s v="Petty Cash"/>
    <x v="7"/>
    <n v="200000"/>
    <x v="1"/>
    <n v="0"/>
    <x v="26"/>
    <x v="1"/>
    <s v="Ok"/>
    <x v="22"/>
    <x v="1"/>
  </r>
  <r>
    <s v="PC-2026-0136"/>
    <x v="30"/>
    <s v="EMP007"/>
    <x v="8"/>
    <x v="5"/>
    <s v="Petty Cash"/>
    <x v="3"/>
    <n v="525000"/>
    <x v="1"/>
    <n v="0"/>
    <x v="17"/>
    <x v="1"/>
    <s v="Ok"/>
    <x v="22"/>
    <x v="1"/>
  </r>
  <r>
    <s v="PC-2026-0137"/>
    <x v="30"/>
    <s v="EMP011"/>
    <x v="19"/>
    <x v="3"/>
    <s v="Cash Advance"/>
    <x v="7"/>
    <n v="175000"/>
    <x v="21"/>
    <n v="50000"/>
    <x v="0"/>
    <x v="0"/>
    <s v="Ok"/>
    <x v="0"/>
    <x v="0"/>
  </r>
  <r>
    <s v="PC-2026-0138"/>
    <x v="30"/>
    <s v="EMP020"/>
    <x v="3"/>
    <x v="3"/>
    <s v="Cash Advance"/>
    <x v="3"/>
    <n v="425000"/>
    <x v="40"/>
    <n v="100000"/>
    <x v="0"/>
    <x v="0"/>
    <s v="Ok"/>
    <x v="0"/>
    <x v="0"/>
  </r>
  <r>
    <s v="PC-2026-0139"/>
    <x v="31"/>
    <s v="EMP006"/>
    <x v="16"/>
    <x v="6"/>
    <s v="Cash Advance"/>
    <x v="4"/>
    <n v="675000"/>
    <x v="33"/>
    <n v="25000"/>
    <x v="0"/>
    <x v="0"/>
    <s v="Ok"/>
    <x v="0"/>
    <x v="0"/>
  </r>
  <r>
    <s v="PC-2026-0140"/>
    <x v="32"/>
    <s v="EMP019"/>
    <x v="15"/>
    <x v="1"/>
    <s v="Cash Advance"/>
    <x v="7"/>
    <n v="425000"/>
    <x v="42"/>
    <n v="0"/>
    <x v="0"/>
    <x v="0"/>
    <s v="Ok"/>
    <x v="0"/>
    <x v="0"/>
  </r>
  <r>
    <s v="PC-2026-0141"/>
    <x v="33"/>
    <s v="EMP003"/>
    <x v="5"/>
    <x v="3"/>
    <s v="Petty Cash"/>
    <x v="7"/>
    <n v="350000"/>
    <x v="26"/>
    <n v="50000"/>
    <x v="0"/>
    <x v="0"/>
    <s v="Ok"/>
    <x v="0"/>
    <x v="0"/>
  </r>
  <r>
    <s v="PC-2026-0142"/>
    <x v="33"/>
    <s v="EMP005"/>
    <x v="11"/>
    <x v="1"/>
    <s v="Cash Advance"/>
    <x v="5"/>
    <n v="480000"/>
    <x v="12"/>
    <n v="30000"/>
    <x v="0"/>
    <x v="0"/>
    <s v="Ok"/>
    <x v="0"/>
    <x v="0"/>
  </r>
  <r>
    <s v="PC-2026-0143"/>
    <x v="33"/>
    <s v="EMP008"/>
    <x v="0"/>
    <x v="0"/>
    <s v="Cash Advance"/>
    <x v="7"/>
    <n v="325000"/>
    <x v="1"/>
    <n v="0"/>
    <x v="13"/>
    <x v="1"/>
    <s v="Ok"/>
    <x v="23"/>
    <x v="1"/>
  </r>
  <r>
    <s v="PC-2026-0144"/>
    <x v="33"/>
    <s v="EMP010"/>
    <x v="7"/>
    <x v="2"/>
    <s v="Cash Advance"/>
    <x v="0"/>
    <n v="1550000"/>
    <x v="43"/>
    <n v="400000"/>
    <x v="0"/>
    <x v="0"/>
    <s v="Ok"/>
    <x v="0"/>
    <x v="0"/>
  </r>
  <r>
    <s v="PC-2026-0145"/>
    <x v="33"/>
    <s v="EMP013"/>
    <x v="1"/>
    <x v="1"/>
    <s v="Petty Cash"/>
    <x v="3"/>
    <n v="300000"/>
    <x v="9"/>
    <n v="75000"/>
    <x v="0"/>
    <x v="0"/>
    <s v="Ok"/>
    <x v="0"/>
    <x v="0"/>
  </r>
  <r>
    <s v="PC-2026-0146"/>
    <x v="33"/>
    <s v="EMP019"/>
    <x v="15"/>
    <x v="1"/>
    <s v="Petty Cash"/>
    <x v="5"/>
    <n v="280000"/>
    <x v="1"/>
    <n v="0"/>
    <x v="27"/>
    <x v="1"/>
    <s v="Ok"/>
    <x v="23"/>
    <x v="1"/>
  </r>
  <r>
    <s v="PC-2026-0147"/>
    <x v="34"/>
    <s v="EMP014"/>
    <x v="12"/>
    <x v="6"/>
    <s v="Petty Cash"/>
    <x v="1"/>
    <n v="55000"/>
    <x v="4"/>
    <n v="5000"/>
    <x v="0"/>
    <x v="0"/>
    <s v="Ok"/>
    <x v="0"/>
    <x v="0"/>
  </r>
  <r>
    <s v="PC-2026-0148"/>
    <x v="34"/>
    <s v="EMP014"/>
    <x v="12"/>
    <x v="6"/>
    <s v="Petty Cash"/>
    <x v="6"/>
    <n v="775000"/>
    <x v="23"/>
    <n v="150000"/>
    <x v="0"/>
    <x v="0"/>
    <s v="Ok"/>
    <x v="0"/>
    <x v="0"/>
  </r>
  <r>
    <s v="PC-2026-0149"/>
    <x v="34"/>
    <s v="EMP016"/>
    <x v="18"/>
    <x v="0"/>
    <s v="Petty Cash"/>
    <x v="6"/>
    <n v="925000"/>
    <x v="48"/>
    <n v="175000"/>
    <x v="0"/>
    <x v="0"/>
    <s v="Ok"/>
    <x v="0"/>
    <x v="0"/>
  </r>
  <r>
    <s v="PC-2026-0150"/>
    <x v="34"/>
    <s v="EMP018"/>
    <x v="2"/>
    <x v="2"/>
    <s v="Cash Advance"/>
    <x v="6"/>
    <n v="850000"/>
    <x v="23"/>
    <n v="225000"/>
    <x v="0"/>
    <x v="0"/>
    <s v="Ok"/>
    <x v="0"/>
    <x v="0"/>
  </r>
  <r>
    <s v="PC-2026-0151"/>
    <x v="35"/>
    <s v="EMP002"/>
    <x v="4"/>
    <x v="0"/>
    <s v="Petty Cash"/>
    <x v="3"/>
    <n v="275000"/>
    <x v="22"/>
    <n v="75000"/>
    <x v="0"/>
    <x v="0"/>
    <s v="Ok"/>
    <x v="0"/>
    <x v="0"/>
  </r>
  <r>
    <s v="PC-2026-0152"/>
    <x v="35"/>
    <s v="EMP003"/>
    <x v="5"/>
    <x v="3"/>
    <s v="Cash Advance"/>
    <x v="7"/>
    <n v="600000"/>
    <x v="12"/>
    <n v="150000"/>
    <x v="0"/>
    <x v="0"/>
    <s v="Ok"/>
    <x v="0"/>
    <x v="0"/>
  </r>
  <r>
    <s v="PC-2026-0153"/>
    <x v="35"/>
    <s v="EMP006"/>
    <x v="16"/>
    <x v="6"/>
    <s v="Cash Advance"/>
    <x v="0"/>
    <n v="3650000"/>
    <x v="49"/>
    <n v="875000"/>
    <x v="0"/>
    <x v="0"/>
    <s v="Ok"/>
    <x v="0"/>
    <x v="0"/>
  </r>
  <r>
    <s v="PC-2026-0154"/>
    <x v="35"/>
    <s v="EMP007"/>
    <x v="8"/>
    <x v="5"/>
    <s v="Cash Advance"/>
    <x v="4"/>
    <n v="450000"/>
    <x v="7"/>
    <n v="75000"/>
    <x v="0"/>
    <x v="0"/>
    <s v="Ok"/>
    <x v="0"/>
    <x v="0"/>
  </r>
  <r>
    <s v="PC-2026-0155"/>
    <x v="35"/>
    <s v="EMP017"/>
    <x v="13"/>
    <x v="5"/>
    <s v="Cash Advance"/>
    <x v="6"/>
    <n v="400000"/>
    <x v="40"/>
    <n v="75000"/>
    <x v="0"/>
    <x v="0"/>
    <s v="Ok"/>
    <x v="0"/>
    <x v="0"/>
  </r>
  <r>
    <s v="PC-2026-0156"/>
    <x v="35"/>
    <s v="EMP019"/>
    <x v="15"/>
    <x v="1"/>
    <s v="Petty Cash"/>
    <x v="7"/>
    <n v="300000"/>
    <x v="17"/>
    <n v="25000"/>
    <x v="0"/>
    <x v="0"/>
    <s v="Ok"/>
    <x v="0"/>
    <x v="0"/>
  </r>
  <r>
    <s v="PC-2026-0157"/>
    <x v="36"/>
    <s v="EMP001"/>
    <x v="10"/>
    <x v="4"/>
    <s v="Petty Cash"/>
    <x v="5"/>
    <n v="355000"/>
    <x v="19"/>
    <n v="5000"/>
    <x v="0"/>
    <x v="0"/>
    <s v="Ok"/>
    <x v="0"/>
    <x v="0"/>
  </r>
  <r>
    <s v="PC-2026-0158"/>
    <x v="36"/>
    <s v="EMP015"/>
    <x v="17"/>
    <x v="4"/>
    <s v="Cash Advance"/>
    <x v="2"/>
    <n v="1275000"/>
    <x v="50"/>
    <n v="150000"/>
    <x v="0"/>
    <x v="0"/>
    <s v="Ok"/>
    <x v="0"/>
    <x v="0"/>
  </r>
  <r>
    <s v="PC-2026-0159"/>
    <x v="36"/>
    <s v="EMP019"/>
    <x v="15"/>
    <x v="1"/>
    <s v="Cash Advance"/>
    <x v="0"/>
    <n v="3425000"/>
    <x v="14"/>
    <n v="725000"/>
    <x v="0"/>
    <x v="0"/>
    <s v="Ok"/>
    <x v="0"/>
    <x v="0"/>
  </r>
  <r>
    <s v="PC-2026-0160"/>
    <x v="37"/>
    <s v="EMP002"/>
    <x v="4"/>
    <x v="0"/>
    <s v="Petty Cash"/>
    <x v="0"/>
    <n v="2600000"/>
    <x v="51"/>
    <n v="50000"/>
    <x v="0"/>
    <x v="0"/>
    <s v="Ok"/>
    <x v="0"/>
    <x v="0"/>
  </r>
  <r>
    <s v="PC-2026-0161"/>
    <x v="37"/>
    <s v="EMP009"/>
    <x v="6"/>
    <x v="4"/>
    <s v="Petty Cash"/>
    <x v="7"/>
    <n v="50000"/>
    <x v="1"/>
    <n v="0"/>
    <x v="28"/>
    <x v="1"/>
    <s v="Ok"/>
    <x v="24"/>
    <x v="1"/>
  </r>
  <r>
    <s v="PC-2026-0162"/>
    <x v="38"/>
    <s v="EMP005"/>
    <x v="11"/>
    <x v="1"/>
    <s v="Petty Cash"/>
    <x v="0"/>
    <n v="1025000"/>
    <x v="6"/>
    <n v="0"/>
    <x v="0"/>
    <x v="0"/>
    <s v="Ok"/>
    <x v="0"/>
    <x v="0"/>
  </r>
  <r>
    <s v="PC-2026-0163"/>
    <x v="38"/>
    <s v="EMP009"/>
    <x v="6"/>
    <x v="4"/>
    <s v="Petty Cash"/>
    <x v="3"/>
    <n v="150000"/>
    <x v="1"/>
    <n v="0"/>
    <x v="7"/>
    <x v="1"/>
    <s v="Ok"/>
    <x v="25"/>
    <x v="1"/>
  </r>
  <r>
    <s v="PC-2026-0164"/>
    <x v="38"/>
    <s v="EMP013"/>
    <x v="1"/>
    <x v="1"/>
    <s v="Petty Cash"/>
    <x v="4"/>
    <n v="75000"/>
    <x v="10"/>
    <n v="0"/>
    <x v="0"/>
    <x v="0"/>
    <s v="Ok"/>
    <x v="0"/>
    <x v="0"/>
  </r>
  <r>
    <s v="PC-2026-0165"/>
    <x v="39"/>
    <s v="EMP012"/>
    <x v="9"/>
    <x v="5"/>
    <s v="Petty Cash"/>
    <x v="5"/>
    <n v="80000"/>
    <x v="4"/>
    <n v="30000"/>
    <x v="0"/>
    <x v="0"/>
    <s v="Ok"/>
    <x v="0"/>
    <x v="0"/>
  </r>
  <r>
    <s v="PC-2026-0166"/>
    <x v="39"/>
    <s v="EMP012"/>
    <x v="9"/>
    <x v="5"/>
    <s v="Petty Cash"/>
    <x v="3"/>
    <n v="100000"/>
    <x v="30"/>
    <n v="0"/>
    <x v="0"/>
    <x v="0"/>
    <s v="Ok"/>
    <x v="0"/>
    <x v="0"/>
  </r>
  <r>
    <s v="PC-2026-0167"/>
    <x v="40"/>
    <s v="EMP005"/>
    <x v="11"/>
    <x v="1"/>
    <s v="Petty Cash"/>
    <x v="7"/>
    <n v="675000"/>
    <x v="38"/>
    <n v="75000"/>
    <x v="0"/>
    <x v="0"/>
    <s v="Ok"/>
    <x v="0"/>
    <x v="0"/>
  </r>
  <r>
    <s v="PC-2026-0168"/>
    <x v="40"/>
    <s v="EMP010"/>
    <x v="7"/>
    <x v="2"/>
    <s v="Petty Cash"/>
    <x v="0"/>
    <n v="1075000"/>
    <x v="52"/>
    <n v="100000"/>
    <x v="0"/>
    <x v="0"/>
    <s v="Ok"/>
    <x v="0"/>
    <x v="0"/>
  </r>
  <r>
    <s v="PC-2026-0169"/>
    <x v="40"/>
    <s v="EMP011"/>
    <x v="19"/>
    <x v="3"/>
    <s v="Petty Cash"/>
    <x v="4"/>
    <n v="900000"/>
    <x v="8"/>
    <n v="225000"/>
    <x v="0"/>
    <x v="0"/>
    <s v="Ok"/>
    <x v="0"/>
    <x v="0"/>
  </r>
  <r>
    <s v="PC-2026-0170"/>
    <x v="40"/>
    <s v="EMP017"/>
    <x v="13"/>
    <x v="5"/>
    <s v="Cash Advance"/>
    <x v="3"/>
    <n v="175000"/>
    <x v="21"/>
    <n v="50000"/>
    <x v="0"/>
    <x v="0"/>
    <s v="Ok"/>
    <x v="0"/>
    <x v="0"/>
  </r>
  <r>
    <s v="PC-2026-0171"/>
    <x v="41"/>
    <s v="EMP001"/>
    <x v="10"/>
    <x v="4"/>
    <s v="Petty Cash"/>
    <x v="6"/>
    <n v="975000"/>
    <x v="1"/>
    <n v="0"/>
    <x v="9"/>
    <x v="1"/>
    <s v="Ok"/>
    <x v="26"/>
    <x v="1"/>
  </r>
  <r>
    <s v="PC-2026-0172"/>
    <x v="41"/>
    <s v="EMP002"/>
    <x v="4"/>
    <x v="0"/>
    <s v="Cash Advance"/>
    <x v="4"/>
    <n v="200000"/>
    <x v="22"/>
    <n v="0"/>
    <x v="0"/>
    <x v="0"/>
    <s v="Ok"/>
    <x v="0"/>
    <x v="0"/>
  </r>
  <r>
    <s v="PC-2026-0173"/>
    <x v="41"/>
    <s v="EMP005"/>
    <x v="11"/>
    <x v="1"/>
    <s v="Cash Advance"/>
    <x v="4"/>
    <n v="575000"/>
    <x v="53"/>
    <n v="75000"/>
    <x v="0"/>
    <x v="0"/>
    <s v="Ok"/>
    <x v="0"/>
    <x v="0"/>
  </r>
  <r>
    <s v="PC-2026-0174"/>
    <x v="41"/>
    <s v="EMP009"/>
    <x v="6"/>
    <x v="4"/>
    <s v="Petty Cash"/>
    <x v="7"/>
    <n v="475000"/>
    <x v="19"/>
    <n v="125000"/>
    <x v="0"/>
    <x v="0"/>
    <s v="Ok"/>
    <x v="0"/>
    <x v="0"/>
  </r>
  <r>
    <s v="PC-2026-0175"/>
    <x v="41"/>
    <s v="EMP009"/>
    <x v="6"/>
    <x v="4"/>
    <s v="Petty Cash"/>
    <x v="1"/>
    <n v="280000"/>
    <x v="27"/>
    <n v="30000"/>
    <x v="0"/>
    <x v="0"/>
    <s v="Ok"/>
    <x v="0"/>
    <x v="0"/>
  </r>
  <r>
    <s v="PC-2026-0176"/>
    <x v="41"/>
    <s v="EMP012"/>
    <x v="9"/>
    <x v="5"/>
    <s v="Cash Advance"/>
    <x v="2"/>
    <n v="1150000"/>
    <x v="1"/>
    <n v="0"/>
    <x v="29"/>
    <x v="1"/>
    <s v="Ok"/>
    <x v="26"/>
    <x v="1"/>
  </r>
  <r>
    <s v="PC-2026-0177"/>
    <x v="41"/>
    <s v="EMP012"/>
    <x v="9"/>
    <x v="5"/>
    <s v="Cash Advance"/>
    <x v="6"/>
    <n v="800000"/>
    <x v="1"/>
    <n v="0"/>
    <x v="30"/>
    <x v="1"/>
    <s v="Ok"/>
    <x v="26"/>
    <x v="1"/>
  </r>
  <r>
    <s v="PC-2026-0178"/>
    <x v="41"/>
    <s v="EMP013"/>
    <x v="1"/>
    <x v="1"/>
    <s v="Petty Cash"/>
    <x v="3"/>
    <n v="300000"/>
    <x v="17"/>
    <n v="25000"/>
    <x v="0"/>
    <x v="0"/>
    <s v="Ok"/>
    <x v="0"/>
    <x v="0"/>
  </r>
  <r>
    <s v="PC-2026-0179"/>
    <x v="41"/>
    <s v="EMP019"/>
    <x v="15"/>
    <x v="1"/>
    <s v="Petty Cash"/>
    <x v="7"/>
    <n v="50000"/>
    <x v="4"/>
    <n v="0"/>
    <x v="0"/>
    <x v="0"/>
    <s v="Ok"/>
    <x v="0"/>
    <x v="0"/>
  </r>
  <r>
    <s v="PC-2026-0180"/>
    <x v="41"/>
    <s v="EMP019"/>
    <x v="15"/>
    <x v="1"/>
    <s v="Cash Advance"/>
    <x v="4"/>
    <n v="300000"/>
    <x v="9"/>
    <n v="75000"/>
    <x v="0"/>
    <x v="0"/>
    <s v="Ok"/>
    <x v="0"/>
    <x v="0"/>
  </r>
  <r>
    <s v="PC-2026-0181"/>
    <x v="42"/>
    <s v="EMP004"/>
    <x v="14"/>
    <x v="2"/>
    <s v="Petty Cash"/>
    <x v="7"/>
    <n v="450000"/>
    <x v="7"/>
    <n v="75000"/>
    <x v="0"/>
    <x v="0"/>
    <s v="Ok"/>
    <x v="0"/>
    <x v="0"/>
  </r>
  <r>
    <s v="PC-2026-0182"/>
    <x v="42"/>
    <s v="EMP009"/>
    <x v="6"/>
    <x v="4"/>
    <s v="Cash Advance"/>
    <x v="0"/>
    <n v="1250000"/>
    <x v="54"/>
    <n v="75000"/>
    <x v="0"/>
    <x v="0"/>
    <s v="Ok"/>
    <x v="0"/>
    <x v="0"/>
  </r>
  <r>
    <s v="PC-2026-0183"/>
    <x v="42"/>
    <s v="EMP012"/>
    <x v="9"/>
    <x v="5"/>
    <s v="Petty Cash"/>
    <x v="4"/>
    <n v="700000"/>
    <x v="41"/>
    <n v="0"/>
    <x v="0"/>
    <x v="0"/>
    <s v="Ok"/>
    <x v="0"/>
    <x v="0"/>
  </r>
  <r>
    <s v="PC-2026-0184"/>
    <x v="43"/>
    <s v="EMP006"/>
    <x v="16"/>
    <x v="6"/>
    <s v="Cash Advance"/>
    <x v="7"/>
    <n v="525000"/>
    <x v="13"/>
    <n v="50000"/>
    <x v="0"/>
    <x v="0"/>
    <s v="Ok"/>
    <x v="0"/>
    <x v="0"/>
  </r>
  <r>
    <s v="PC-2026-0185"/>
    <x v="43"/>
    <s v="EMP010"/>
    <x v="7"/>
    <x v="2"/>
    <s v="Petty Cash"/>
    <x v="4"/>
    <n v="225000"/>
    <x v="1"/>
    <n v="0"/>
    <x v="11"/>
    <x v="1"/>
    <s v="Ok"/>
    <x v="27"/>
    <x v="1"/>
  </r>
  <r>
    <s v="PC-2026-0186"/>
    <x v="43"/>
    <s v="EMP012"/>
    <x v="9"/>
    <x v="5"/>
    <s v="Cash Advance"/>
    <x v="5"/>
    <n v="155000"/>
    <x v="20"/>
    <n v="5000"/>
    <x v="0"/>
    <x v="0"/>
    <s v="Ok"/>
    <x v="0"/>
    <x v="0"/>
  </r>
  <r>
    <s v="PC-2026-0187"/>
    <x v="43"/>
    <s v="EMP014"/>
    <x v="12"/>
    <x v="6"/>
    <s v="Cash Advance"/>
    <x v="2"/>
    <n v="1350000"/>
    <x v="1"/>
    <n v="0"/>
    <x v="31"/>
    <x v="1"/>
    <s v="Ok"/>
    <x v="27"/>
    <x v="1"/>
  </r>
  <r>
    <s v="PC-2026-0188"/>
    <x v="44"/>
    <s v="EMP008"/>
    <x v="0"/>
    <x v="0"/>
    <s v="Petty Cash"/>
    <x v="3"/>
    <n v="600000"/>
    <x v="46"/>
    <n v="75000"/>
    <x v="0"/>
    <x v="0"/>
    <s v="Ok"/>
    <x v="0"/>
    <x v="0"/>
  </r>
  <r>
    <s v="PC-2026-0189"/>
    <x v="44"/>
    <s v="EMP011"/>
    <x v="19"/>
    <x v="3"/>
    <s v="Petty Cash"/>
    <x v="6"/>
    <n v="500000"/>
    <x v="1"/>
    <n v="0"/>
    <x v="32"/>
    <x v="1"/>
    <s v="Ok"/>
    <x v="28"/>
    <x v="1"/>
  </r>
  <r>
    <s v="PC-2026-0190"/>
    <x v="44"/>
    <s v="EMP016"/>
    <x v="18"/>
    <x v="0"/>
    <s v="Petty Cash"/>
    <x v="3"/>
    <n v="525000"/>
    <x v="13"/>
    <n v="50000"/>
    <x v="0"/>
    <x v="0"/>
    <s v="Ok"/>
    <x v="0"/>
    <x v="0"/>
  </r>
  <r>
    <s v="PC-2026-0191"/>
    <x v="45"/>
    <s v="EMP005"/>
    <x v="11"/>
    <x v="1"/>
    <s v="Petty Cash"/>
    <x v="2"/>
    <n v="250000"/>
    <x v="9"/>
    <n v="25000"/>
    <x v="0"/>
    <x v="0"/>
    <s v="Ok"/>
    <x v="0"/>
    <x v="0"/>
  </r>
  <r>
    <s v="PC-2026-0192"/>
    <x v="45"/>
    <s v="EMP014"/>
    <x v="12"/>
    <x v="6"/>
    <s v="Cash Advance"/>
    <x v="0"/>
    <n v="1625000"/>
    <x v="1"/>
    <n v="0"/>
    <x v="33"/>
    <x v="1"/>
    <s v="Ok"/>
    <x v="29"/>
    <x v="1"/>
  </r>
  <r>
    <s v="PC-2026-0193"/>
    <x v="45"/>
    <s v="EMP014"/>
    <x v="12"/>
    <x v="6"/>
    <s v="Petty Cash"/>
    <x v="2"/>
    <n v="125000"/>
    <x v="30"/>
    <n v="25000"/>
    <x v="0"/>
    <x v="0"/>
    <s v="Ok"/>
    <x v="0"/>
    <x v="0"/>
  </r>
  <r>
    <s v="PC-2026-0194"/>
    <x v="46"/>
    <s v="EMP012"/>
    <x v="9"/>
    <x v="5"/>
    <s v="Petty Cash"/>
    <x v="5"/>
    <n v="405000"/>
    <x v="26"/>
    <n v="105000"/>
    <x v="0"/>
    <x v="0"/>
    <s v="Ok"/>
    <x v="0"/>
    <x v="0"/>
  </r>
  <r>
    <s v="PC-2026-0195"/>
    <x v="46"/>
    <s v="EMP012"/>
    <x v="9"/>
    <x v="5"/>
    <s v="Cash Advance"/>
    <x v="4"/>
    <n v="575000"/>
    <x v="55"/>
    <n v="0"/>
    <x v="0"/>
    <x v="0"/>
    <s v="Ok"/>
    <x v="0"/>
    <x v="0"/>
  </r>
  <r>
    <s v="PC-2026-0196"/>
    <x v="47"/>
    <s v="EMP002"/>
    <x v="4"/>
    <x v="0"/>
    <s v="Cash Advance"/>
    <x v="7"/>
    <n v="275000"/>
    <x v="27"/>
    <n v="25000"/>
    <x v="0"/>
    <x v="0"/>
    <s v="Ok"/>
    <x v="0"/>
    <x v="0"/>
  </r>
  <r>
    <s v="PC-2026-0197"/>
    <x v="47"/>
    <s v="EMP007"/>
    <x v="8"/>
    <x v="5"/>
    <s v="Cash Advance"/>
    <x v="0"/>
    <n v="2300000"/>
    <x v="56"/>
    <n v="450000"/>
    <x v="0"/>
    <x v="0"/>
    <s v="Ok"/>
    <x v="0"/>
    <x v="0"/>
  </r>
  <r>
    <s v="PC-2026-0198"/>
    <x v="47"/>
    <s v="EMP010"/>
    <x v="7"/>
    <x v="2"/>
    <s v="Cash Advance"/>
    <x v="2"/>
    <n v="175000"/>
    <x v="1"/>
    <n v="0"/>
    <x v="12"/>
    <x v="1"/>
    <s v="Ok"/>
    <x v="30"/>
    <x v="1"/>
  </r>
  <r>
    <s v="PC-2026-0199"/>
    <x v="47"/>
    <s v="EMP017"/>
    <x v="13"/>
    <x v="5"/>
    <s v="Cash Advance"/>
    <x v="4"/>
    <n v="450000"/>
    <x v="1"/>
    <n v="0"/>
    <x v="34"/>
    <x v="1"/>
    <s v="Ok"/>
    <x v="30"/>
    <x v="1"/>
  </r>
  <r>
    <s v="PC-2026-0200"/>
    <x v="48"/>
    <s v="EMP006"/>
    <x v="16"/>
    <x v="6"/>
    <s v="Cash Advance"/>
    <x v="5"/>
    <n v="230000"/>
    <x v="1"/>
    <n v="0"/>
    <x v="35"/>
    <x v="1"/>
    <s v="Ok"/>
    <x v="31"/>
    <x v="1"/>
  </r>
  <r>
    <s v="PC-2026-0201"/>
    <x v="48"/>
    <s v="EMP008"/>
    <x v="0"/>
    <x v="0"/>
    <s v="Petty Cash"/>
    <x v="0"/>
    <n v="2750000"/>
    <x v="57"/>
    <n v="575000"/>
    <x v="0"/>
    <x v="0"/>
    <s v="Ok"/>
    <x v="0"/>
    <x v="0"/>
  </r>
  <r>
    <s v="PC-2026-0202"/>
    <x v="48"/>
    <s v="EMP009"/>
    <x v="6"/>
    <x v="4"/>
    <s v="Cash Advance"/>
    <x v="4"/>
    <n v="800000"/>
    <x v="58"/>
    <n v="75000"/>
    <x v="0"/>
    <x v="0"/>
    <s v="Ok"/>
    <x v="0"/>
    <x v="0"/>
  </r>
  <r>
    <s v="PC-2026-0203"/>
    <x v="48"/>
    <s v="EMP016"/>
    <x v="18"/>
    <x v="0"/>
    <s v="Petty Cash"/>
    <x v="0"/>
    <n v="2400000"/>
    <x v="1"/>
    <n v="0"/>
    <x v="36"/>
    <x v="1"/>
    <s v="Ok"/>
    <x v="31"/>
    <x v="1"/>
  </r>
  <r>
    <s v="PC-2026-0204"/>
    <x v="48"/>
    <s v="EMP019"/>
    <x v="15"/>
    <x v="1"/>
    <s v="Petty Cash"/>
    <x v="7"/>
    <n v="425000"/>
    <x v="19"/>
    <n v="75000"/>
    <x v="0"/>
    <x v="0"/>
    <s v="Ok"/>
    <x v="0"/>
    <x v="0"/>
  </r>
  <r>
    <s v="PC-2026-0205"/>
    <x v="49"/>
    <s v="EMP010"/>
    <x v="7"/>
    <x v="2"/>
    <s v="Cash Advance"/>
    <x v="4"/>
    <n v="400000"/>
    <x v="5"/>
    <n v="0"/>
    <x v="0"/>
    <x v="0"/>
    <s v="Ok"/>
    <x v="0"/>
    <x v="0"/>
  </r>
  <r>
    <s v="PC-2026-0206"/>
    <x v="49"/>
    <s v="EMP013"/>
    <x v="1"/>
    <x v="1"/>
    <s v="Cash Advance"/>
    <x v="1"/>
    <n v="405000"/>
    <x v="7"/>
    <n v="30000"/>
    <x v="0"/>
    <x v="0"/>
    <s v="Ok"/>
    <x v="0"/>
    <x v="0"/>
  </r>
  <r>
    <s v="PC-2026-0207"/>
    <x v="49"/>
    <s v="EMP014"/>
    <x v="12"/>
    <x v="6"/>
    <s v="Petty Cash"/>
    <x v="6"/>
    <n v="500000"/>
    <x v="13"/>
    <n v="25000"/>
    <x v="0"/>
    <x v="0"/>
    <s v="Ok"/>
    <x v="0"/>
    <x v="0"/>
  </r>
  <r>
    <s v="PC-2026-0208"/>
    <x v="49"/>
    <s v="EMP020"/>
    <x v="3"/>
    <x v="3"/>
    <s v="Cash Advance"/>
    <x v="1"/>
    <n v="455000"/>
    <x v="1"/>
    <n v="0"/>
    <x v="37"/>
    <x v="1"/>
    <s v="Ok"/>
    <x v="32"/>
    <x v="1"/>
  </r>
  <r>
    <s v="PC-2026-0209"/>
    <x v="50"/>
    <s v="EMP004"/>
    <x v="14"/>
    <x v="2"/>
    <s v="Petty Cash"/>
    <x v="2"/>
    <n v="1350000"/>
    <x v="43"/>
    <n v="200000"/>
    <x v="0"/>
    <x v="0"/>
    <s v="Ok"/>
    <x v="0"/>
    <x v="0"/>
  </r>
  <r>
    <s v="PC-2026-0210"/>
    <x v="50"/>
    <s v="EMP005"/>
    <x v="11"/>
    <x v="1"/>
    <s v="Cash Advance"/>
    <x v="0"/>
    <n v="575000"/>
    <x v="1"/>
    <n v="0"/>
    <x v="20"/>
    <x v="1"/>
    <s v="Ok"/>
    <x v="33"/>
    <x v="1"/>
  </r>
  <r>
    <s v="PC-2026-0211"/>
    <x v="50"/>
    <s v="EMP014"/>
    <x v="12"/>
    <x v="6"/>
    <s v="Petty Cash"/>
    <x v="1"/>
    <n v="230000"/>
    <x v="1"/>
    <n v="0"/>
    <x v="35"/>
    <x v="1"/>
    <s v="Ok"/>
    <x v="33"/>
    <x v="1"/>
  </r>
  <r>
    <s v="PC-2026-0212"/>
    <x v="50"/>
    <s v="EMP016"/>
    <x v="18"/>
    <x v="0"/>
    <s v="Cash Advance"/>
    <x v="3"/>
    <n v="400000"/>
    <x v="26"/>
    <n v="100000"/>
    <x v="0"/>
    <x v="0"/>
    <s v="Ok"/>
    <x v="0"/>
    <x v="0"/>
  </r>
  <r>
    <s v="PC-2026-0213"/>
    <x v="50"/>
    <s v="EMP020"/>
    <x v="3"/>
    <x v="3"/>
    <s v="Petty Cash"/>
    <x v="6"/>
    <n v="425000"/>
    <x v="1"/>
    <n v="0"/>
    <x v="38"/>
    <x v="1"/>
    <s v="Ok"/>
    <x v="33"/>
    <x v="1"/>
  </r>
  <r>
    <s v="PC-2026-0214"/>
    <x v="51"/>
    <s v="EMP005"/>
    <x v="11"/>
    <x v="1"/>
    <s v="Petty Cash"/>
    <x v="5"/>
    <n v="330000"/>
    <x v="26"/>
    <n v="30000"/>
    <x v="0"/>
    <x v="0"/>
    <s v="Ok"/>
    <x v="0"/>
    <x v="0"/>
  </r>
  <r>
    <s v="PC-2026-0215"/>
    <x v="51"/>
    <s v="EMP007"/>
    <x v="8"/>
    <x v="5"/>
    <s v="Cash Advance"/>
    <x v="3"/>
    <n v="500000"/>
    <x v="1"/>
    <n v="0"/>
    <x v="32"/>
    <x v="1"/>
    <s v="Ok"/>
    <x v="34"/>
    <x v="1"/>
  </r>
  <r>
    <s v="PC-2026-0216"/>
    <x v="51"/>
    <s v="EMP010"/>
    <x v="7"/>
    <x v="2"/>
    <s v="Petty Cash"/>
    <x v="2"/>
    <n v="1275000"/>
    <x v="47"/>
    <n v="225000"/>
    <x v="0"/>
    <x v="0"/>
    <s v="Ok"/>
    <x v="0"/>
    <x v="0"/>
  </r>
  <r>
    <s v="PC-2026-0217"/>
    <x v="52"/>
    <s v="EMP008"/>
    <x v="0"/>
    <x v="0"/>
    <s v="Petty Cash"/>
    <x v="6"/>
    <n v="1125000"/>
    <x v="3"/>
    <n v="125000"/>
    <x v="0"/>
    <x v="0"/>
    <s v="Ok"/>
    <x v="0"/>
    <x v="0"/>
  </r>
  <r>
    <s v="PC-2026-0218"/>
    <x v="52"/>
    <s v="EMP009"/>
    <x v="6"/>
    <x v="4"/>
    <s v="Petty Cash"/>
    <x v="1"/>
    <n v="480000"/>
    <x v="12"/>
    <n v="30000"/>
    <x v="0"/>
    <x v="0"/>
    <s v="Ok"/>
    <x v="0"/>
    <x v="0"/>
  </r>
  <r>
    <s v="PC-2026-0219"/>
    <x v="52"/>
    <s v="EMP018"/>
    <x v="2"/>
    <x v="2"/>
    <s v="Petty Cash"/>
    <x v="2"/>
    <n v="625000"/>
    <x v="1"/>
    <n v="0"/>
    <x v="39"/>
    <x v="1"/>
    <s v="Ok"/>
    <x v="35"/>
    <x v="1"/>
  </r>
  <r>
    <s v="PC-2026-0220"/>
    <x v="53"/>
    <s v="EMP006"/>
    <x v="16"/>
    <x v="6"/>
    <s v="Cash Advance"/>
    <x v="5"/>
    <n v="180000"/>
    <x v="20"/>
    <n v="30000"/>
    <x v="0"/>
    <x v="0"/>
    <s v="Ok"/>
    <x v="0"/>
    <x v="0"/>
  </r>
  <r>
    <s v="PC-2026-0221"/>
    <x v="53"/>
    <s v="EMP006"/>
    <x v="16"/>
    <x v="6"/>
    <s v="Petty Cash"/>
    <x v="1"/>
    <n v="55000"/>
    <x v="1"/>
    <n v="0"/>
    <x v="40"/>
    <x v="1"/>
    <s v="Ok"/>
    <x v="36"/>
    <x v="1"/>
  </r>
  <r>
    <s v="PC-2026-0222"/>
    <x v="53"/>
    <s v="EMP009"/>
    <x v="6"/>
    <x v="4"/>
    <s v="Cash Advance"/>
    <x v="1"/>
    <n v="305000"/>
    <x v="1"/>
    <n v="0"/>
    <x v="6"/>
    <x v="1"/>
    <s v="Ok"/>
    <x v="36"/>
    <x v="1"/>
  </r>
  <r>
    <s v="PC-2026-0223"/>
    <x v="53"/>
    <s v="EMP012"/>
    <x v="9"/>
    <x v="5"/>
    <s v="Cash Advance"/>
    <x v="1"/>
    <n v="155000"/>
    <x v="21"/>
    <n v="30000"/>
    <x v="0"/>
    <x v="0"/>
    <s v="Ok"/>
    <x v="0"/>
    <x v="0"/>
  </r>
  <r>
    <s v="PC-2026-0224"/>
    <x v="53"/>
    <s v="EMP016"/>
    <x v="18"/>
    <x v="0"/>
    <s v="Petty Cash"/>
    <x v="5"/>
    <n v="205000"/>
    <x v="1"/>
    <n v="0"/>
    <x v="41"/>
    <x v="1"/>
    <s v="Ok"/>
    <x v="36"/>
    <x v="1"/>
  </r>
  <r>
    <s v="PC-2026-0225"/>
    <x v="54"/>
    <s v="EMP003"/>
    <x v="5"/>
    <x v="3"/>
    <s v="Petty Cash"/>
    <x v="4"/>
    <n v="300000"/>
    <x v="17"/>
    <n v="25000"/>
    <x v="0"/>
    <x v="0"/>
    <s v="Ok"/>
    <x v="0"/>
    <x v="0"/>
  </r>
  <r>
    <s v="PC-2026-0226"/>
    <x v="54"/>
    <s v="EMP009"/>
    <x v="6"/>
    <x v="4"/>
    <s v="Cash Advance"/>
    <x v="4"/>
    <n v="700000"/>
    <x v="38"/>
    <n v="100000"/>
    <x v="0"/>
    <x v="0"/>
    <s v="Ok"/>
    <x v="0"/>
    <x v="0"/>
  </r>
  <r>
    <s v="PC-2026-0227"/>
    <x v="54"/>
    <s v="EMP012"/>
    <x v="9"/>
    <x v="5"/>
    <s v="Cash Advance"/>
    <x v="2"/>
    <n v="1450000"/>
    <x v="1"/>
    <n v="0"/>
    <x v="42"/>
    <x v="1"/>
    <s v="Ok"/>
    <x v="37"/>
    <x v="1"/>
  </r>
  <r>
    <s v="PC-2026-0228"/>
    <x v="54"/>
    <s v="EMP018"/>
    <x v="2"/>
    <x v="2"/>
    <s v="Petty Cash"/>
    <x v="6"/>
    <n v="625000"/>
    <x v="23"/>
    <n v="0"/>
    <x v="0"/>
    <x v="0"/>
    <s v="Ok"/>
    <x v="0"/>
    <x v="0"/>
  </r>
  <r>
    <s v="PC-2026-0229"/>
    <x v="55"/>
    <s v="EMP004"/>
    <x v="14"/>
    <x v="2"/>
    <s v="Cash Advance"/>
    <x v="1"/>
    <n v="205000"/>
    <x v="15"/>
    <n v="30000"/>
    <x v="0"/>
    <x v="0"/>
    <s v="Ok"/>
    <x v="0"/>
    <x v="0"/>
  </r>
  <r>
    <s v="PC-2026-0230"/>
    <x v="55"/>
    <s v="EMP010"/>
    <x v="7"/>
    <x v="2"/>
    <s v="Cash Advance"/>
    <x v="2"/>
    <n v="575000"/>
    <x v="46"/>
    <n v="50000"/>
    <x v="0"/>
    <x v="0"/>
    <s v="Ok"/>
    <x v="0"/>
    <x v="0"/>
  </r>
  <r>
    <s v="PC-2026-0231"/>
    <x v="55"/>
    <s v="EMP012"/>
    <x v="9"/>
    <x v="5"/>
    <s v="Petty Cash"/>
    <x v="0"/>
    <n v="1375000"/>
    <x v="1"/>
    <n v="0"/>
    <x v="22"/>
    <x v="1"/>
    <s v="Ok"/>
    <x v="38"/>
    <x v="1"/>
  </r>
  <r>
    <s v="PC-2026-0232"/>
    <x v="55"/>
    <s v="EMP017"/>
    <x v="13"/>
    <x v="5"/>
    <s v="Petty Cash"/>
    <x v="4"/>
    <n v="900000"/>
    <x v="58"/>
    <n v="175000"/>
    <x v="0"/>
    <x v="0"/>
    <s v="Ok"/>
    <x v="0"/>
    <x v="0"/>
  </r>
  <r>
    <s v="PC-2026-0233"/>
    <x v="55"/>
    <s v="EMP017"/>
    <x v="13"/>
    <x v="5"/>
    <s v="Cash Advance"/>
    <x v="0"/>
    <n v="875000"/>
    <x v="28"/>
    <n v="100000"/>
    <x v="0"/>
    <x v="0"/>
    <s v="Ok"/>
    <x v="0"/>
    <x v="0"/>
  </r>
  <r>
    <s v="PC-2026-0234"/>
    <x v="55"/>
    <s v="EMP017"/>
    <x v="13"/>
    <x v="5"/>
    <s v="Petty Cash"/>
    <x v="0"/>
    <n v="1750000"/>
    <x v="59"/>
    <n v="475000"/>
    <x v="0"/>
    <x v="0"/>
    <s v="Ok"/>
    <x v="0"/>
    <x v="0"/>
  </r>
  <r>
    <s v="PC-2026-0235"/>
    <x v="55"/>
    <s v="EMP018"/>
    <x v="2"/>
    <x v="2"/>
    <s v="Petty Cash"/>
    <x v="4"/>
    <n v="425000"/>
    <x v="1"/>
    <n v="0"/>
    <x v="38"/>
    <x v="1"/>
    <s v="Ok"/>
    <x v="38"/>
    <x v="1"/>
  </r>
  <r>
    <s v="PC-2026-0236"/>
    <x v="55"/>
    <s v="EMP020"/>
    <x v="3"/>
    <x v="3"/>
    <s v="Cash Advance"/>
    <x v="0"/>
    <n v="850000"/>
    <x v="18"/>
    <n v="50000"/>
    <x v="0"/>
    <x v="0"/>
    <s v="Ok"/>
    <x v="0"/>
    <x v="0"/>
  </r>
  <r>
    <s v="PC-2026-0237"/>
    <x v="55"/>
    <s v="EMP020"/>
    <x v="3"/>
    <x v="3"/>
    <s v="Petty Cash"/>
    <x v="3"/>
    <n v="425000"/>
    <x v="1"/>
    <n v="0"/>
    <x v="38"/>
    <x v="1"/>
    <s v="Ok"/>
    <x v="38"/>
    <x v="1"/>
  </r>
  <r>
    <s v="PC-2026-0238"/>
    <x v="56"/>
    <s v="EMP006"/>
    <x v="16"/>
    <x v="6"/>
    <s v="Petty Cash"/>
    <x v="4"/>
    <n v="700000"/>
    <x v="46"/>
    <n v="175000"/>
    <x v="0"/>
    <x v="0"/>
    <s v="Ok"/>
    <x v="0"/>
    <x v="0"/>
  </r>
  <r>
    <s v="PC-2026-0239"/>
    <x v="56"/>
    <s v="EMP019"/>
    <x v="15"/>
    <x v="1"/>
    <s v="Petty Cash"/>
    <x v="5"/>
    <n v="30000"/>
    <x v="60"/>
    <n v="5000"/>
    <x v="0"/>
    <x v="0"/>
    <s v="Ok"/>
    <x v="0"/>
    <x v="0"/>
  </r>
  <r>
    <s v="PC-2026-0240"/>
    <x v="57"/>
    <s v="EMP010"/>
    <x v="7"/>
    <x v="2"/>
    <s v="Petty Cash"/>
    <x v="7"/>
    <n v="125000"/>
    <x v="21"/>
    <n v="0"/>
    <x v="0"/>
    <x v="0"/>
    <s v="Ok"/>
    <x v="0"/>
    <x v="0"/>
  </r>
  <r>
    <s v="PC-2026-0241"/>
    <x v="57"/>
    <s v="EMP010"/>
    <x v="7"/>
    <x v="2"/>
    <s v="Cash Advance"/>
    <x v="0"/>
    <n v="3325000"/>
    <x v="61"/>
    <n v="350000"/>
    <x v="0"/>
    <x v="0"/>
    <s v="Ok"/>
    <x v="0"/>
    <x v="0"/>
  </r>
  <r>
    <s v="PC-2026-0242"/>
    <x v="58"/>
    <s v="EMP001"/>
    <x v="10"/>
    <x v="4"/>
    <s v="Cash Advance"/>
    <x v="4"/>
    <n v="850000"/>
    <x v="8"/>
    <n v="175000"/>
    <x v="0"/>
    <x v="0"/>
    <s v="Ok"/>
    <x v="0"/>
    <x v="0"/>
  </r>
  <r>
    <s v="PC-2026-0243"/>
    <x v="58"/>
    <s v="EMP009"/>
    <x v="6"/>
    <x v="4"/>
    <s v="Cash Advance"/>
    <x v="2"/>
    <n v="600000"/>
    <x v="12"/>
    <n v="150000"/>
    <x v="0"/>
    <x v="0"/>
    <s v="Ok"/>
    <x v="0"/>
    <x v="0"/>
  </r>
  <r>
    <s v="PC-2026-0244"/>
    <x v="59"/>
    <s v="EMP004"/>
    <x v="14"/>
    <x v="2"/>
    <s v="Petty Cash"/>
    <x v="2"/>
    <n v="700000"/>
    <x v="8"/>
    <n v="25000"/>
    <x v="0"/>
    <x v="0"/>
    <s v="Ok"/>
    <x v="0"/>
    <x v="0"/>
  </r>
  <r>
    <s v="PC-2026-0245"/>
    <x v="59"/>
    <s v="EMP010"/>
    <x v="7"/>
    <x v="2"/>
    <s v="Petty Cash"/>
    <x v="0"/>
    <n v="875000"/>
    <x v="1"/>
    <n v="0"/>
    <x v="43"/>
    <x v="1"/>
    <s v="Ok"/>
    <x v="39"/>
    <x v="1"/>
  </r>
  <r>
    <s v="PC-2026-0246"/>
    <x v="60"/>
    <s v="EMP010"/>
    <x v="7"/>
    <x v="2"/>
    <s v="Cash Advance"/>
    <x v="3"/>
    <n v="100000"/>
    <x v="1"/>
    <n v="0"/>
    <x v="15"/>
    <x v="1"/>
    <s v="Ok"/>
    <x v="40"/>
    <x v="1"/>
  </r>
  <r>
    <s v="PC-2026-0247"/>
    <x v="60"/>
    <s v="EMP014"/>
    <x v="12"/>
    <x v="6"/>
    <s v="Petty Cash"/>
    <x v="1"/>
    <n v="405000"/>
    <x v="40"/>
    <n v="80000"/>
    <x v="0"/>
    <x v="0"/>
    <s v="Ok"/>
    <x v="0"/>
    <x v="0"/>
  </r>
  <r>
    <s v="PC-2026-0248"/>
    <x v="61"/>
    <s v="EMP001"/>
    <x v="10"/>
    <x v="4"/>
    <s v="Cash Advance"/>
    <x v="6"/>
    <n v="750000"/>
    <x v="58"/>
    <n v="25000"/>
    <x v="0"/>
    <x v="0"/>
    <s v="Ok"/>
    <x v="0"/>
    <x v="0"/>
  </r>
  <r>
    <s v="PC-2026-0249"/>
    <x v="61"/>
    <s v="EMP002"/>
    <x v="4"/>
    <x v="0"/>
    <s v="Petty Cash"/>
    <x v="1"/>
    <n v="30000"/>
    <x v="60"/>
    <n v="5000"/>
    <x v="0"/>
    <x v="0"/>
    <s v="Ok"/>
    <x v="0"/>
    <x v="0"/>
  </r>
  <r>
    <s v="PC-2026-0250"/>
    <x v="61"/>
    <s v="EMP008"/>
    <x v="0"/>
    <x v="0"/>
    <s v="Cash Advance"/>
    <x v="2"/>
    <n v="1100000"/>
    <x v="62"/>
    <n v="225000"/>
    <x v="0"/>
    <x v="0"/>
    <s v="Ok"/>
    <x v="0"/>
    <x v="0"/>
  </r>
  <r>
    <s v="PC-2026-0251"/>
    <x v="62"/>
    <s v="EMP004"/>
    <x v="14"/>
    <x v="2"/>
    <s v="Cash Advance"/>
    <x v="5"/>
    <n v="130000"/>
    <x v="30"/>
    <n v="30000"/>
    <x v="0"/>
    <x v="0"/>
    <s v="Ok"/>
    <x v="0"/>
    <x v="0"/>
  </r>
  <r>
    <s v="PC-2026-0252"/>
    <x v="62"/>
    <s v="EMP008"/>
    <x v="0"/>
    <x v="0"/>
    <s v="Cash Advance"/>
    <x v="2"/>
    <n v="1025000"/>
    <x v="1"/>
    <n v="0"/>
    <x v="44"/>
    <x v="1"/>
    <s v="Ok"/>
    <x v="41"/>
    <x v="1"/>
  </r>
  <r>
    <s v="PC-2026-0253"/>
    <x v="62"/>
    <s v="EMP009"/>
    <x v="6"/>
    <x v="4"/>
    <s v="Cash Advance"/>
    <x v="7"/>
    <n v="575000"/>
    <x v="46"/>
    <n v="50000"/>
    <x v="0"/>
    <x v="0"/>
    <s v="Ok"/>
    <x v="0"/>
    <x v="0"/>
  </r>
  <r>
    <s v="PC-2026-0254"/>
    <x v="62"/>
    <s v="EMP014"/>
    <x v="12"/>
    <x v="6"/>
    <s v="Petty Cash"/>
    <x v="1"/>
    <n v="280000"/>
    <x v="1"/>
    <n v="0"/>
    <x v="27"/>
    <x v="1"/>
    <s v="Ok"/>
    <x v="41"/>
    <x v="1"/>
  </r>
  <r>
    <s v="PC-2026-0255"/>
    <x v="62"/>
    <s v="EMP015"/>
    <x v="17"/>
    <x v="4"/>
    <s v="Cash Advance"/>
    <x v="4"/>
    <n v="525000"/>
    <x v="1"/>
    <n v="0"/>
    <x v="17"/>
    <x v="1"/>
    <s v="Ok"/>
    <x v="41"/>
    <x v="1"/>
  </r>
  <r>
    <s v="PC-2026-0256"/>
    <x v="62"/>
    <s v="EMP017"/>
    <x v="13"/>
    <x v="5"/>
    <s v="Petty Cash"/>
    <x v="4"/>
    <n v="675000"/>
    <x v="23"/>
    <n v="50000"/>
    <x v="0"/>
    <x v="0"/>
    <s v="Ok"/>
    <x v="0"/>
    <x v="0"/>
  </r>
  <r>
    <s v="PC-2026-0257"/>
    <x v="62"/>
    <s v="EMP017"/>
    <x v="13"/>
    <x v="5"/>
    <s v="Cash Advance"/>
    <x v="0"/>
    <n v="3250000"/>
    <x v="1"/>
    <n v="0"/>
    <x v="45"/>
    <x v="1"/>
    <s v="Ok"/>
    <x v="41"/>
    <x v="1"/>
  </r>
  <r>
    <s v="PC-2026-0258"/>
    <x v="62"/>
    <s v="EMP018"/>
    <x v="2"/>
    <x v="2"/>
    <s v="Cash Advance"/>
    <x v="3"/>
    <n v="150000"/>
    <x v="21"/>
    <n v="25000"/>
    <x v="0"/>
    <x v="0"/>
    <s v="Ok"/>
    <x v="0"/>
    <x v="0"/>
  </r>
  <r>
    <s v="PC-2026-0259"/>
    <x v="63"/>
    <s v="EMP003"/>
    <x v="5"/>
    <x v="3"/>
    <s v="Cash Advance"/>
    <x v="5"/>
    <n v="280000"/>
    <x v="9"/>
    <n v="55000"/>
    <x v="0"/>
    <x v="0"/>
    <s v="Ok"/>
    <x v="0"/>
    <x v="0"/>
  </r>
  <r>
    <s v="PC-2026-0260"/>
    <x v="63"/>
    <s v="EMP008"/>
    <x v="0"/>
    <x v="0"/>
    <s v="Petty Cash"/>
    <x v="7"/>
    <n v="675000"/>
    <x v="32"/>
    <n v="125000"/>
    <x v="0"/>
    <x v="0"/>
    <s v="Ok"/>
    <x v="0"/>
    <x v="0"/>
  </r>
  <r>
    <s v="PC-2026-0261"/>
    <x v="63"/>
    <s v="EMP010"/>
    <x v="7"/>
    <x v="2"/>
    <s v="Cash Advance"/>
    <x v="4"/>
    <n v="200000"/>
    <x v="20"/>
    <n v="50000"/>
    <x v="0"/>
    <x v="0"/>
    <s v="Ok"/>
    <x v="0"/>
    <x v="0"/>
  </r>
  <r>
    <s v="PC-2026-0262"/>
    <x v="63"/>
    <s v="EMP016"/>
    <x v="18"/>
    <x v="0"/>
    <s v="Cash Advance"/>
    <x v="2"/>
    <n v="550000"/>
    <x v="1"/>
    <n v="0"/>
    <x v="10"/>
    <x v="1"/>
    <s v="Ok"/>
    <x v="42"/>
    <x v="1"/>
  </r>
  <r>
    <s v="PC-2026-0263"/>
    <x v="64"/>
    <s v="EMP005"/>
    <x v="11"/>
    <x v="1"/>
    <s v="Cash Advance"/>
    <x v="1"/>
    <n v="80000"/>
    <x v="1"/>
    <n v="0"/>
    <x v="5"/>
    <x v="1"/>
    <s v="Ok"/>
    <x v="43"/>
    <x v="1"/>
  </r>
  <r>
    <s v="PC-2026-0264"/>
    <x v="64"/>
    <s v="EMP008"/>
    <x v="0"/>
    <x v="0"/>
    <s v="Cash Advance"/>
    <x v="3"/>
    <n v="400000"/>
    <x v="7"/>
    <n v="25000"/>
    <x v="0"/>
    <x v="0"/>
    <s v="Ok"/>
    <x v="0"/>
    <x v="0"/>
  </r>
  <r>
    <s v="PC-2026-0265"/>
    <x v="64"/>
    <s v="EMP011"/>
    <x v="19"/>
    <x v="3"/>
    <s v="Petty Cash"/>
    <x v="5"/>
    <n v="405000"/>
    <x v="1"/>
    <n v="0"/>
    <x v="46"/>
    <x v="1"/>
    <s v="Ok"/>
    <x v="43"/>
    <x v="1"/>
  </r>
  <r>
    <s v="PC-2026-0266"/>
    <x v="64"/>
    <s v="EMP011"/>
    <x v="19"/>
    <x v="3"/>
    <s v="Cash Advance"/>
    <x v="3"/>
    <n v="250000"/>
    <x v="9"/>
    <n v="25000"/>
    <x v="0"/>
    <x v="0"/>
    <s v="Ok"/>
    <x v="0"/>
    <x v="0"/>
  </r>
  <r>
    <s v="PC-2026-0267"/>
    <x v="65"/>
    <s v="EMP010"/>
    <x v="7"/>
    <x v="2"/>
    <s v="Petty Cash"/>
    <x v="7"/>
    <n v="600000"/>
    <x v="55"/>
    <n v="25000"/>
    <x v="0"/>
    <x v="0"/>
    <s v="Ok"/>
    <x v="0"/>
    <x v="0"/>
  </r>
  <r>
    <s v="PC-2026-0268"/>
    <x v="65"/>
    <s v="EMP020"/>
    <x v="3"/>
    <x v="3"/>
    <s v="Petty Cash"/>
    <x v="7"/>
    <n v="175000"/>
    <x v="20"/>
    <n v="25000"/>
    <x v="0"/>
    <x v="0"/>
    <s v="Ok"/>
    <x v="0"/>
    <x v="0"/>
  </r>
  <r>
    <s v="PC-2026-0269"/>
    <x v="66"/>
    <s v="EMP003"/>
    <x v="5"/>
    <x v="3"/>
    <s v="Cash Advance"/>
    <x v="4"/>
    <n v="400000"/>
    <x v="1"/>
    <n v="0"/>
    <x v="3"/>
    <x v="1"/>
    <s v="Ok"/>
    <x v="44"/>
    <x v="1"/>
  </r>
  <r>
    <s v="PC-2026-0270"/>
    <x v="66"/>
    <s v="EMP005"/>
    <x v="11"/>
    <x v="1"/>
    <s v="Cash Advance"/>
    <x v="3"/>
    <n v="475000"/>
    <x v="7"/>
    <n v="100000"/>
    <x v="0"/>
    <x v="0"/>
    <s v="Ok"/>
    <x v="0"/>
    <x v="0"/>
  </r>
  <r>
    <s v="PC-2026-0271"/>
    <x v="66"/>
    <s v="EMP005"/>
    <x v="11"/>
    <x v="1"/>
    <s v="Cash Advance"/>
    <x v="2"/>
    <n v="450000"/>
    <x v="19"/>
    <n v="100000"/>
    <x v="0"/>
    <x v="0"/>
    <s v="Ok"/>
    <x v="0"/>
    <x v="0"/>
  </r>
  <r>
    <s v="PC-2026-0272"/>
    <x v="66"/>
    <s v="EMP008"/>
    <x v="0"/>
    <x v="0"/>
    <s v="Cash Advance"/>
    <x v="0"/>
    <n v="3425000"/>
    <x v="1"/>
    <n v="0"/>
    <x v="47"/>
    <x v="1"/>
    <s v="Ok"/>
    <x v="44"/>
    <x v="1"/>
  </r>
  <r>
    <s v="PC-2026-0273"/>
    <x v="66"/>
    <s v="EMP010"/>
    <x v="7"/>
    <x v="2"/>
    <s v="Petty Cash"/>
    <x v="3"/>
    <n v="175000"/>
    <x v="1"/>
    <n v="0"/>
    <x v="12"/>
    <x v="1"/>
    <s v="Ok"/>
    <x v="44"/>
    <x v="1"/>
  </r>
  <r>
    <s v="PC-2026-0274"/>
    <x v="67"/>
    <s v="EMP013"/>
    <x v="1"/>
    <x v="1"/>
    <s v="Cash Advance"/>
    <x v="6"/>
    <n v="475000"/>
    <x v="42"/>
    <n v="50000"/>
    <x v="0"/>
    <x v="0"/>
    <s v="Ok"/>
    <x v="0"/>
    <x v="0"/>
  </r>
  <r>
    <s v="PC-2026-0275"/>
    <x v="67"/>
    <s v="EMP020"/>
    <x v="3"/>
    <x v="3"/>
    <s v="Petty Cash"/>
    <x v="3"/>
    <n v="325000"/>
    <x v="26"/>
    <n v="25000"/>
    <x v="0"/>
    <x v="0"/>
    <s v="Ok"/>
    <x v="0"/>
    <x v="0"/>
  </r>
  <r>
    <s v="PC-2026-0276"/>
    <x v="67"/>
    <s v="EMP020"/>
    <x v="3"/>
    <x v="3"/>
    <s v="Petty Cash"/>
    <x v="3"/>
    <n v="275000"/>
    <x v="22"/>
    <n v="75000"/>
    <x v="0"/>
    <x v="0"/>
    <s v="Ok"/>
    <x v="0"/>
    <x v="0"/>
  </r>
  <r>
    <s v="PC-2026-0277"/>
    <x v="68"/>
    <s v="EMP003"/>
    <x v="5"/>
    <x v="3"/>
    <s v="Cash Advance"/>
    <x v="7"/>
    <n v="425000"/>
    <x v="7"/>
    <n v="50000"/>
    <x v="0"/>
    <x v="0"/>
    <s v="Ok"/>
    <x v="0"/>
    <x v="0"/>
  </r>
  <r>
    <s v="PC-2026-0278"/>
    <x v="68"/>
    <s v="EMP004"/>
    <x v="14"/>
    <x v="2"/>
    <s v="Cash Advance"/>
    <x v="0"/>
    <n v="1225000"/>
    <x v="62"/>
    <n v="350000"/>
    <x v="0"/>
    <x v="0"/>
    <s v="Ok"/>
    <x v="0"/>
    <x v="0"/>
  </r>
  <r>
    <s v="PC-2026-0279"/>
    <x v="68"/>
    <s v="EMP010"/>
    <x v="7"/>
    <x v="2"/>
    <s v="Petty Cash"/>
    <x v="6"/>
    <n v="300000"/>
    <x v="27"/>
    <n v="50000"/>
    <x v="0"/>
    <x v="0"/>
    <s v="Ok"/>
    <x v="0"/>
    <x v="0"/>
  </r>
  <r>
    <s v="PC-2026-0280"/>
    <x v="68"/>
    <s v="EMP011"/>
    <x v="19"/>
    <x v="3"/>
    <s v="Cash Advance"/>
    <x v="6"/>
    <n v="825000"/>
    <x v="1"/>
    <n v="0"/>
    <x v="48"/>
    <x v="1"/>
    <s v="Ok"/>
    <x v="45"/>
    <x v="1"/>
  </r>
  <r>
    <s v="PC-2026-0281"/>
    <x v="68"/>
    <s v="EMP011"/>
    <x v="19"/>
    <x v="3"/>
    <s v="Petty Cash"/>
    <x v="6"/>
    <n v="325000"/>
    <x v="1"/>
    <n v="0"/>
    <x v="13"/>
    <x v="1"/>
    <s v="Ok"/>
    <x v="45"/>
    <x v="1"/>
  </r>
  <r>
    <s v="PC-2026-0282"/>
    <x v="68"/>
    <s v="EMP014"/>
    <x v="12"/>
    <x v="6"/>
    <s v="Petty Cash"/>
    <x v="0"/>
    <n v="975000"/>
    <x v="44"/>
    <n v="150000"/>
    <x v="0"/>
    <x v="0"/>
    <s v="Ok"/>
    <x v="0"/>
    <x v="0"/>
  </r>
  <r>
    <s v="PC-2026-0283"/>
    <x v="68"/>
    <s v="EMP015"/>
    <x v="17"/>
    <x v="4"/>
    <s v="Cash Advance"/>
    <x v="2"/>
    <n v="300000"/>
    <x v="17"/>
    <n v="25000"/>
    <x v="0"/>
    <x v="0"/>
    <s v="Ok"/>
    <x v="0"/>
    <x v="0"/>
  </r>
  <r>
    <s v="PC-2026-0284"/>
    <x v="68"/>
    <s v="EMP017"/>
    <x v="13"/>
    <x v="5"/>
    <s v="Petty Cash"/>
    <x v="1"/>
    <n v="355000"/>
    <x v="19"/>
    <n v="5000"/>
    <x v="0"/>
    <x v="0"/>
    <s v="Ok"/>
    <x v="0"/>
    <x v="0"/>
  </r>
  <r>
    <s v="PC-2026-0285"/>
    <x v="69"/>
    <s v="EMP002"/>
    <x v="4"/>
    <x v="0"/>
    <s v="Petty Cash"/>
    <x v="1"/>
    <n v="130000"/>
    <x v="30"/>
    <n v="30000"/>
    <x v="0"/>
    <x v="0"/>
    <s v="Ok"/>
    <x v="0"/>
    <x v="0"/>
  </r>
  <r>
    <s v="PC-2026-0286"/>
    <x v="69"/>
    <s v="EMP006"/>
    <x v="16"/>
    <x v="6"/>
    <s v="Cash Advance"/>
    <x v="1"/>
    <n v="405000"/>
    <x v="26"/>
    <n v="105000"/>
    <x v="0"/>
    <x v="0"/>
    <s v="Ok"/>
    <x v="0"/>
    <x v="0"/>
  </r>
  <r>
    <s v="PC-2026-0287"/>
    <x v="69"/>
    <s v="EMP011"/>
    <x v="19"/>
    <x v="3"/>
    <s v="Petty Cash"/>
    <x v="0"/>
    <n v="2150000"/>
    <x v="1"/>
    <n v="0"/>
    <x v="49"/>
    <x v="1"/>
    <s v="Ok"/>
    <x v="46"/>
    <x v="1"/>
  </r>
  <r>
    <s v="PC-2026-0288"/>
    <x v="69"/>
    <s v="EMP014"/>
    <x v="12"/>
    <x v="6"/>
    <s v="Petty Cash"/>
    <x v="1"/>
    <n v="280000"/>
    <x v="17"/>
    <n v="5000"/>
    <x v="0"/>
    <x v="0"/>
    <s v="Ok"/>
    <x v="0"/>
    <x v="0"/>
  </r>
  <r>
    <s v="PC-2026-0289"/>
    <x v="69"/>
    <s v="EMP015"/>
    <x v="17"/>
    <x v="4"/>
    <s v="Petty Cash"/>
    <x v="1"/>
    <n v="80000"/>
    <x v="10"/>
    <n v="5000"/>
    <x v="0"/>
    <x v="0"/>
    <s v="Ok"/>
    <x v="0"/>
    <x v="0"/>
  </r>
  <r>
    <s v="PC-2026-0290"/>
    <x v="69"/>
    <s v="EMP018"/>
    <x v="2"/>
    <x v="2"/>
    <s v="Cash Advance"/>
    <x v="0"/>
    <n v="3900000"/>
    <x v="63"/>
    <n v="1000000"/>
    <x v="0"/>
    <x v="0"/>
    <s v="Ok"/>
    <x v="0"/>
    <x v="0"/>
  </r>
  <r>
    <s v="PC-2026-0291"/>
    <x v="70"/>
    <s v="EMP005"/>
    <x v="11"/>
    <x v="1"/>
    <s v="Cash Advance"/>
    <x v="3"/>
    <n v="450000"/>
    <x v="1"/>
    <n v="0"/>
    <x v="34"/>
    <x v="1"/>
    <s v="Ok"/>
    <x v="47"/>
    <x v="1"/>
  </r>
  <r>
    <s v="PC-2026-0292"/>
    <x v="70"/>
    <s v="EMP011"/>
    <x v="19"/>
    <x v="3"/>
    <s v="Petty Cash"/>
    <x v="0"/>
    <n v="2725000"/>
    <x v="64"/>
    <n v="275000"/>
    <x v="0"/>
    <x v="0"/>
    <s v="Ok"/>
    <x v="0"/>
    <x v="0"/>
  </r>
  <r>
    <s v="PC-2026-0293"/>
    <x v="70"/>
    <s v="EMP011"/>
    <x v="19"/>
    <x v="3"/>
    <s v="Cash Advance"/>
    <x v="2"/>
    <n v="975000"/>
    <x v="62"/>
    <n v="100000"/>
    <x v="0"/>
    <x v="0"/>
    <s v="Ok"/>
    <x v="0"/>
    <x v="0"/>
  </r>
  <r>
    <s v="PC-2026-0294"/>
    <x v="70"/>
    <s v="EMP018"/>
    <x v="2"/>
    <x v="2"/>
    <s v="Petty Cash"/>
    <x v="3"/>
    <n v="150000"/>
    <x v="20"/>
    <n v="0"/>
    <x v="0"/>
    <x v="0"/>
    <s v="Ok"/>
    <x v="0"/>
    <x v="0"/>
  </r>
  <r>
    <s v="PC-2026-0295"/>
    <x v="71"/>
    <s v="EMP002"/>
    <x v="4"/>
    <x v="0"/>
    <s v="Petty Cash"/>
    <x v="5"/>
    <n v="255000"/>
    <x v="1"/>
    <n v="0"/>
    <x v="50"/>
    <x v="1"/>
    <s v="Ok"/>
    <x v="48"/>
    <x v="1"/>
  </r>
  <r>
    <s v="PC-2026-0296"/>
    <x v="71"/>
    <s v="EMP003"/>
    <x v="5"/>
    <x v="3"/>
    <s v="Cash Advance"/>
    <x v="4"/>
    <n v="325000"/>
    <x v="1"/>
    <n v="0"/>
    <x v="13"/>
    <x v="1"/>
    <s v="Ok"/>
    <x v="48"/>
    <x v="1"/>
  </r>
  <r>
    <s v="PC-2026-0297"/>
    <x v="71"/>
    <s v="EMP006"/>
    <x v="16"/>
    <x v="6"/>
    <s v="Petty Cash"/>
    <x v="1"/>
    <n v="430000"/>
    <x v="1"/>
    <n v="0"/>
    <x v="51"/>
    <x v="1"/>
    <s v="Ok"/>
    <x v="48"/>
    <x v="1"/>
  </r>
  <r>
    <s v="PC-2026-0298"/>
    <x v="72"/>
    <s v="EMP018"/>
    <x v="2"/>
    <x v="2"/>
    <s v="Cash Advance"/>
    <x v="5"/>
    <n v="480000"/>
    <x v="1"/>
    <n v="0"/>
    <x v="18"/>
    <x v="1"/>
    <s v="Ok"/>
    <x v="49"/>
    <x v="1"/>
  </r>
  <r>
    <s v="PC-2026-0299"/>
    <x v="73"/>
    <s v="EMP001"/>
    <x v="10"/>
    <x v="4"/>
    <s v="Cash Advance"/>
    <x v="4"/>
    <n v="425000"/>
    <x v="5"/>
    <n v="25000"/>
    <x v="0"/>
    <x v="0"/>
    <s v="Ok"/>
    <x v="0"/>
    <x v="0"/>
  </r>
  <r>
    <s v="PC-2026-0300"/>
    <x v="73"/>
    <s v="EMP002"/>
    <x v="4"/>
    <x v="0"/>
    <s v="Cash Advance"/>
    <x v="3"/>
    <n v="450000"/>
    <x v="19"/>
    <n v="100000"/>
    <x v="0"/>
    <x v="0"/>
    <s v="Ok"/>
    <x v="0"/>
    <x v="0"/>
  </r>
  <r>
    <s v="PC-2026-0301"/>
    <x v="73"/>
    <s v="EMP007"/>
    <x v="8"/>
    <x v="5"/>
    <s v="Petty Cash"/>
    <x v="0"/>
    <n v="2050000"/>
    <x v="65"/>
    <n v="300000"/>
    <x v="0"/>
    <x v="0"/>
    <s v="Ok"/>
    <x v="0"/>
    <x v="0"/>
  </r>
  <r>
    <s v="PC-2026-0302"/>
    <x v="73"/>
    <s v="EMP010"/>
    <x v="7"/>
    <x v="2"/>
    <s v="Cash Advance"/>
    <x v="0"/>
    <n v="2150000"/>
    <x v="66"/>
    <n v="575000"/>
    <x v="0"/>
    <x v="0"/>
    <s v="Ok"/>
    <x v="0"/>
    <x v="0"/>
  </r>
  <r>
    <s v="PC-2026-0303"/>
    <x v="73"/>
    <s v="EMP014"/>
    <x v="12"/>
    <x v="6"/>
    <s v="Cash Advance"/>
    <x v="4"/>
    <n v="575000"/>
    <x v="1"/>
    <n v="0"/>
    <x v="20"/>
    <x v="1"/>
    <s v="Ok"/>
    <x v="50"/>
    <x v="1"/>
  </r>
  <r>
    <s v="PC-2026-0304"/>
    <x v="73"/>
    <s v="EMP018"/>
    <x v="2"/>
    <x v="2"/>
    <s v="Petty Cash"/>
    <x v="1"/>
    <n v="155000"/>
    <x v="20"/>
    <n v="5000"/>
    <x v="0"/>
    <x v="0"/>
    <s v="Ok"/>
    <x v="0"/>
    <x v="0"/>
  </r>
  <r>
    <s v="PC-2026-0305"/>
    <x v="74"/>
    <s v="EMP001"/>
    <x v="10"/>
    <x v="4"/>
    <s v="Cash Advance"/>
    <x v="1"/>
    <n v="405000"/>
    <x v="40"/>
    <n v="80000"/>
    <x v="0"/>
    <x v="0"/>
    <s v="Ok"/>
    <x v="0"/>
    <x v="0"/>
  </r>
  <r>
    <s v="PC-2026-0306"/>
    <x v="74"/>
    <s v="EMP002"/>
    <x v="4"/>
    <x v="0"/>
    <s v="Cash Advance"/>
    <x v="0"/>
    <n v="1150000"/>
    <x v="34"/>
    <n v="300000"/>
    <x v="0"/>
    <x v="0"/>
    <s v="Ok"/>
    <x v="0"/>
    <x v="0"/>
  </r>
  <r>
    <s v="PC-2026-0307"/>
    <x v="74"/>
    <s v="EMP003"/>
    <x v="5"/>
    <x v="3"/>
    <s v="Petty Cash"/>
    <x v="3"/>
    <n v="450000"/>
    <x v="1"/>
    <n v="0"/>
    <x v="34"/>
    <x v="1"/>
    <s v="Ok"/>
    <x v="51"/>
    <x v="1"/>
  </r>
  <r>
    <s v="PC-2026-0308"/>
    <x v="74"/>
    <s v="EMP003"/>
    <x v="5"/>
    <x v="3"/>
    <s v="Petty Cash"/>
    <x v="5"/>
    <n v="180000"/>
    <x v="21"/>
    <n v="55000"/>
    <x v="0"/>
    <x v="0"/>
    <s v="Ok"/>
    <x v="0"/>
    <x v="0"/>
  </r>
  <r>
    <s v="PC-2026-0309"/>
    <x v="74"/>
    <s v="EMP007"/>
    <x v="8"/>
    <x v="5"/>
    <s v="Cash Advance"/>
    <x v="3"/>
    <n v="175000"/>
    <x v="1"/>
    <n v="0"/>
    <x v="12"/>
    <x v="1"/>
    <s v="Ok"/>
    <x v="51"/>
    <x v="1"/>
  </r>
  <r>
    <s v="PC-2026-0310"/>
    <x v="74"/>
    <s v="EMP019"/>
    <x v="15"/>
    <x v="1"/>
    <s v="Petty Cash"/>
    <x v="3"/>
    <n v="425000"/>
    <x v="26"/>
    <n v="125000"/>
    <x v="0"/>
    <x v="0"/>
    <s v="Ok"/>
    <x v="0"/>
    <x v="0"/>
  </r>
  <r>
    <s v="PC-2026-0311"/>
    <x v="75"/>
    <s v="EMP009"/>
    <x v="6"/>
    <x v="4"/>
    <s v="Petty Cash"/>
    <x v="5"/>
    <n v="105000"/>
    <x v="1"/>
    <n v="0"/>
    <x v="14"/>
    <x v="1"/>
    <s v="Ok"/>
    <x v="52"/>
    <x v="1"/>
  </r>
  <r>
    <s v="PC-2026-0312"/>
    <x v="75"/>
    <s v="EMP013"/>
    <x v="1"/>
    <x v="1"/>
    <s v="Petty Cash"/>
    <x v="4"/>
    <n v="325000"/>
    <x v="17"/>
    <n v="50000"/>
    <x v="0"/>
    <x v="0"/>
    <s v="Ok"/>
    <x v="0"/>
    <x v="0"/>
  </r>
  <r>
    <s v="PC-2026-0313"/>
    <x v="75"/>
    <s v="EMP015"/>
    <x v="17"/>
    <x v="4"/>
    <s v="Petty Cash"/>
    <x v="7"/>
    <n v="275000"/>
    <x v="27"/>
    <n v="25000"/>
    <x v="0"/>
    <x v="0"/>
    <s v="Ok"/>
    <x v="0"/>
    <x v="0"/>
  </r>
  <r>
    <s v="PC-2026-0314"/>
    <x v="75"/>
    <s v="EMP017"/>
    <x v="13"/>
    <x v="5"/>
    <s v="Petty Cash"/>
    <x v="6"/>
    <n v="1025000"/>
    <x v="67"/>
    <n v="100000"/>
    <x v="0"/>
    <x v="0"/>
    <s v="Ok"/>
    <x v="0"/>
    <x v="0"/>
  </r>
  <r>
    <s v="PC-2026-0315"/>
    <x v="75"/>
    <s v="EMP019"/>
    <x v="15"/>
    <x v="1"/>
    <s v="Petty Cash"/>
    <x v="7"/>
    <n v="600000"/>
    <x v="1"/>
    <n v="0"/>
    <x v="1"/>
    <x v="1"/>
    <s v="Ok"/>
    <x v="52"/>
    <x v="1"/>
  </r>
  <r>
    <s v="PC-2026-0316"/>
    <x v="76"/>
    <s v="EMP005"/>
    <x v="11"/>
    <x v="1"/>
    <s v="Cash Advance"/>
    <x v="1"/>
    <n v="305000"/>
    <x v="27"/>
    <n v="55000"/>
    <x v="0"/>
    <x v="0"/>
    <s v="Ok"/>
    <x v="0"/>
    <x v="0"/>
  </r>
  <r>
    <s v="PC-2026-0317"/>
    <x v="76"/>
    <s v="EMP019"/>
    <x v="15"/>
    <x v="1"/>
    <s v="Petty Cash"/>
    <x v="5"/>
    <n v="205000"/>
    <x v="20"/>
    <n v="55000"/>
    <x v="0"/>
    <x v="0"/>
    <s v="Ok"/>
    <x v="0"/>
    <x v="0"/>
  </r>
  <r>
    <s v="PC-2026-0318"/>
    <x v="77"/>
    <s v="EMP002"/>
    <x v="4"/>
    <x v="0"/>
    <s v="Cash Advance"/>
    <x v="4"/>
    <n v="625000"/>
    <x v="13"/>
    <n v="150000"/>
    <x v="0"/>
    <x v="0"/>
    <s v="Ok"/>
    <x v="0"/>
    <x v="0"/>
  </r>
  <r>
    <s v="PC-2026-0319"/>
    <x v="77"/>
    <s v="EMP012"/>
    <x v="9"/>
    <x v="5"/>
    <s v="Petty Cash"/>
    <x v="2"/>
    <n v="450000"/>
    <x v="40"/>
    <n v="125000"/>
    <x v="0"/>
    <x v="0"/>
    <s v="Ok"/>
    <x v="0"/>
    <x v="0"/>
  </r>
  <r>
    <s v="PC-2026-0320"/>
    <x v="77"/>
    <s v="EMP012"/>
    <x v="9"/>
    <x v="5"/>
    <s v="Cash Advance"/>
    <x v="5"/>
    <n v="380000"/>
    <x v="1"/>
    <n v="0"/>
    <x v="25"/>
    <x v="1"/>
    <s v="Ok"/>
    <x v="53"/>
    <x v="1"/>
  </r>
  <r>
    <s v="PC-2026-0321"/>
    <x v="77"/>
    <s v="EMP013"/>
    <x v="1"/>
    <x v="1"/>
    <s v="Petty Cash"/>
    <x v="0"/>
    <n v="1300000"/>
    <x v="3"/>
    <n v="300000"/>
    <x v="0"/>
    <x v="0"/>
    <s v="Ok"/>
    <x v="0"/>
    <x v="0"/>
  </r>
  <r>
    <s v="PC-2026-0322"/>
    <x v="78"/>
    <s v="EMP001"/>
    <x v="10"/>
    <x v="4"/>
    <s v="Petty Cash"/>
    <x v="3"/>
    <n v="300000"/>
    <x v="27"/>
    <n v="50000"/>
    <x v="0"/>
    <x v="0"/>
    <s v="Ok"/>
    <x v="0"/>
    <x v="0"/>
  </r>
  <r>
    <s v="PC-2026-0323"/>
    <x v="78"/>
    <s v="EMP002"/>
    <x v="4"/>
    <x v="0"/>
    <s v="Petty Cash"/>
    <x v="4"/>
    <n v="650000"/>
    <x v="38"/>
    <n v="50000"/>
    <x v="0"/>
    <x v="0"/>
    <s v="Ok"/>
    <x v="0"/>
    <x v="0"/>
  </r>
  <r>
    <s v="PC-2026-0324"/>
    <x v="78"/>
    <s v="EMP017"/>
    <x v="13"/>
    <x v="5"/>
    <s v="Petty Cash"/>
    <x v="1"/>
    <n v="105000"/>
    <x v="1"/>
    <n v="0"/>
    <x v="14"/>
    <x v="1"/>
    <s v="Ok"/>
    <x v="54"/>
    <x v="1"/>
  </r>
  <r>
    <s v="PC-2026-0325"/>
    <x v="79"/>
    <s v="EMP005"/>
    <x v="11"/>
    <x v="1"/>
    <s v="Cash Advance"/>
    <x v="0"/>
    <n v="1225000"/>
    <x v="68"/>
    <n v="275000"/>
    <x v="0"/>
    <x v="0"/>
    <s v="Ok"/>
    <x v="0"/>
    <x v="0"/>
  </r>
  <r>
    <s v="PC-2026-0326"/>
    <x v="79"/>
    <s v="EMP006"/>
    <x v="16"/>
    <x v="6"/>
    <s v="Petty Cash"/>
    <x v="4"/>
    <n v="625000"/>
    <x v="23"/>
    <n v="0"/>
    <x v="0"/>
    <x v="0"/>
    <s v="Ok"/>
    <x v="0"/>
    <x v="0"/>
  </r>
  <r>
    <s v="PC-2026-0327"/>
    <x v="79"/>
    <s v="EMP015"/>
    <x v="17"/>
    <x v="4"/>
    <s v="Petty Cash"/>
    <x v="4"/>
    <n v="400000"/>
    <x v="40"/>
    <n v="75000"/>
    <x v="0"/>
    <x v="0"/>
    <s v="Ok"/>
    <x v="0"/>
    <x v="0"/>
  </r>
  <r>
    <s v="PC-2026-0328"/>
    <x v="80"/>
    <s v="EMP013"/>
    <x v="1"/>
    <x v="1"/>
    <s v="Petty Cash"/>
    <x v="5"/>
    <n v="455000"/>
    <x v="40"/>
    <n v="130000"/>
    <x v="0"/>
    <x v="0"/>
    <s v="Ok"/>
    <x v="0"/>
    <x v="0"/>
  </r>
  <r>
    <s v="PC-2026-0329"/>
    <x v="80"/>
    <s v="EMP019"/>
    <x v="15"/>
    <x v="1"/>
    <s v="Petty Cash"/>
    <x v="6"/>
    <n v="525000"/>
    <x v="42"/>
    <n v="100000"/>
    <x v="0"/>
    <x v="0"/>
    <s v="Ok"/>
    <x v="0"/>
    <x v="0"/>
  </r>
  <r>
    <s v="PC-2026-0330"/>
    <x v="81"/>
    <s v="EMP007"/>
    <x v="8"/>
    <x v="5"/>
    <s v="Petty Cash"/>
    <x v="3"/>
    <n v="175000"/>
    <x v="1"/>
    <n v="0"/>
    <x v="12"/>
    <x v="1"/>
    <s v="Ok"/>
    <x v="55"/>
    <x v="1"/>
  </r>
  <r>
    <s v="PC-2026-0331"/>
    <x v="81"/>
    <s v="EMP007"/>
    <x v="8"/>
    <x v="5"/>
    <s v="Cash Advance"/>
    <x v="0"/>
    <n v="2250000"/>
    <x v="1"/>
    <n v="0"/>
    <x v="52"/>
    <x v="1"/>
    <s v="Ok"/>
    <x v="55"/>
    <x v="1"/>
  </r>
  <r>
    <s v="PC-2026-0332"/>
    <x v="81"/>
    <s v="EMP009"/>
    <x v="6"/>
    <x v="4"/>
    <s v="Petty Cash"/>
    <x v="3"/>
    <n v="250000"/>
    <x v="27"/>
    <n v="0"/>
    <x v="0"/>
    <x v="0"/>
    <s v="Ok"/>
    <x v="0"/>
    <x v="0"/>
  </r>
  <r>
    <s v="PC-2026-0333"/>
    <x v="81"/>
    <s v="EMP010"/>
    <x v="7"/>
    <x v="2"/>
    <s v="Cash Advance"/>
    <x v="4"/>
    <n v="200000"/>
    <x v="15"/>
    <n v="25000"/>
    <x v="0"/>
    <x v="0"/>
    <s v="Ok"/>
    <x v="0"/>
    <x v="0"/>
  </r>
  <r>
    <s v="PC-2026-0334"/>
    <x v="81"/>
    <s v="EMP019"/>
    <x v="15"/>
    <x v="1"/>
    <s v="Cash Advance"/>
    <x v="0"/>
    <n v="825000"/>
    <x v="23"/>
    <n v="200000"/>
    <x v="0"/>
    <x v="0"/>
    <s v="Ok"/>
    <x v="0"/>
    <x v="0"/>
  </r>
  <r>
    <s v="PC-2026-0335"/>
    <x v="82"/>
    <s v="EMP004"/>
    <x v="14"/>
    <x v="2"/>
    <s v="Petty Cash"/>
    <x v="3"/>
    <n v="275000"/>
    <x v="27"/>
    <n v="25000"/>
    <x v="0"/>
    <x v="0"/>
    <s v="Ok"/>
    <x v="0"/>
    <x v="0"/>
  </r>
  <r>
    <s v="PC-2026-0336"/>
    <x v="82"/>
    <s v="EMP010"/>
    <x v="7"/>
    <x v="2"/>
    <s v="Petty Cash"/>
    <x v="1"/>
    <n v="180000"/>
    <x v="21"/>
    <n v="55000"/>
    <x v="0"/>
    <x v="0"/>
    <s v="Ok"/>
    <x v="0"/>
    <x v="0"/>
  </r>
  <r>
    <s v="PC-2026-0337"/>
    <x v="82"/>
    <s v="EMP013"/>
    <x v="1"/>
    <x v="1"/>
    <s v="Cash Advance"/>
    <x v="1"/>
    <n v="280000"/>
    <x v="1"/>
    <n v="0"/>
    <x v="27"/>
    <x v="1"/>
    <s v="Ok"/>
    <x v="56"/>
    <x v="1"/>
  </r>
  <r>
    <s v="PC-2026-0338"/>
    <x v="82"/>
    <s v="EMP014"/>
    <x v="12"/>
    <x v="6"/>
    <s v="Cash Advance"/>
    <x v="0"/>
    <n v="1250000"/>
    <x v="47"/>
    <n v="200000"/>
    <x v="0"/>
    <x v="0"/>
    <s v="Ok"/>
    <x v="0"/>
    <x v="0"/>
  </r>
  <r>
    <s v="PC-2026-0339"/>
    <x v="82"/>
    <s v="EMP015"/>
    <x v="17"/>
    <x v="4"/>
    <s v="Cash Advance"/>
    <x v="7"/>
    <n v="250000"/>
    <x v="1"/>
    <n v="0"/>
    <x v="53"/>
    <x v="1"/>
    <s v="Ok"/>
    <x v="56"/>
    <x v="1"/>
  </r>
  <r>
    <s v="PC-2026-0340"/>
    <x v="82"/>
    <s v="EMP018"/>
    <x v="2"/>
    <x v="2"/>
    <s v="Petty Cash"/>
    <x v="5"/>
    <n v="430000"/>
    <x v="1"/>
    <n v="0"/>
    <x v="51"/>
    <x v="1"/>
    <s v="Ok"/>
    <x v="56"/>
    <x v="1"/>
  </r>
  <r>
    <s v="PC-2026-0341"/>
    <x v="83"/>
    <s v="EMP006"/>
    <x v="16"/>
    <x v="6"/>
    <s v="Cash Advance"/>
    <x v="5"/>
    <n v="255000"/>
    <x v="9"/>
    <n v="30000"/>
    <x v="0"/>
    <x v="0"/>
    <s v="Ok"/>
    <x v="0"/>
    <x v="0"/>
  </r>
  <r>
    <s v="PC-2026-0342"/>
    <x v="83"/>
    <s v="EMP009"/>
    <x v="6"/>
    <x v="4"/>
    <s v="Cash Advance"/>
    <x v="4"/>
    <n v="475000"/>
    <x v="42"/>
    <n v="50000"/>
    <x v="0"/>
    <x v="0"/>
    <s v="Ok"/>
    <x v="0"/>
    <x v="0"/>
  </r>
  <r>
    <s v="PC-2026-0343"/>
    <x v="83"/>
    <s v="EMP009"/>
    <x v="6"/>
    <x v="4"/>
    <s v="Petty Cash"/>
    <x v="2"/>
    <n v="1200000"/>
    <x v="67"/>
    <n v="275000"/>
    <x v="0"/>
    <x v="0"/>
    <s v="Ok"/>
    <x v="0"/>
    <x v="0"/>
  </r>
  <r>
    <s v="PC-2026-0344"/>
    <x v="83"/>
    <s v="EMP011"/>
    <x v="19"/>
    <x v="3"/>
    <s v="Cash Advance"/>
    <x v="2"/>
    <n v="1300000"/>
    <x v="43"/>
    <n v="150000"/>
    <x v="0"/>
    <x v="0"/>
    <s v="Ok"/>
    <x v="0"/>
    <x v="0"/>
  </r>
  <r>
    <s v="PC-2026-0345"/>
    <x v="83"/>
    <s v="EMP012"/>
    <x v="9"/>
    <x v="5"/>
    <s v="Petty Cash"/>
    <x v="7"/>
    <n v="500000"/>
    <x v="1"/>
    <n v="0"/>
    <x v="32"/>
    <x v="1"/>
    <s v="Ok"/>
    <x v="57"/>
    <x v="1"/>
  </r>
  <r>
    <s v="PC-2026-0346"/>
    <x v="83"/>
    <s v="EMP018"/>
    <x v="2"/>
    <x v="2"/>
    <s v="Petty Cash"/>
    <x v="3"/>
    <n v="250000"/>
    <x v="1"/>
    <n v="0"/>
    <x v="53"/>
    <x v="1"/>
    <s v="Ok"/>
    <x v="57"/>
    <x v="1"/>
  </r>
  <r>
    <s v="PC-2026-0347"/>
    <x v="83"/>
    <s v="EMP019"/>
    <x v="15"/>
    <x v="1"/>
    <s v="Petty Cash"/>
    <x v="5"/>
    <n v="105000"/>
    <x v="30"/>
    <n v="5000"/>
    <x v="0"/>
    <x v="0"/>
    <s v="Ok"/>
    <x v="0"/>
    <x v="0"/>
  </r>
  <r>
    <s v="PC-2026-0348"/>
    <x v="84"/>
    <s v="EMP007"/>
    <x v="8"/>
    <x v="5"/>
    <s v="Cash Advance"/>
    <x v="4"/>
    <n v="500000"/>
    <x v="1"/>
    <n v="0"/>
    <x v="32"/>
    <x v="1"/>
    <s v="Ok"/>
    <x v="58"/>
    <x v="1"/>
  </r>
  <r>
    <s v="PC-2026-0349"/>
    <x v="84"/>
    <s v="EMP008"/>
    <x v="0"/>
    <x v="0"/>
    <s v="Petty Cash"/>
    <x v="3"/>
    <n v="450000"/>
    <x v="5"/>
    <n v="50000"/>
    <x v="0"/>
    <x v="0"/>
    <s v="Ok"/>
    <x v="0"/>
    <x v="0"/>
  </r>
  <r>
    <s v="PC-2026-0350"/>
    <x v="84"/>
    <s v="EMP013"/>
    <x v="1"/>
    <x v="1"/>
    <s v="Petty Cash"/>
    <x v="7"/>
    <n v="675000"/>
    <x v="33"/>
    <n v="25000"/>
    <x v="0"/>
    <x v="0"/>
    <s v="Ok"/>
    <x v="0"/>
    <x v="0"/>
  </r>
  <r>
    <s v="PC-2026-0351"/>
    <x v="84"/>
    <s v="EMP020"/>
    <x v="3"/>
    <x v="3"/>
    <s v="Cash Advance"/>
    <x v="2"/>
    <n v="1175000"/>
    <x v="1"/>
    <n v="0"/>
    <x v="54"/>
    <x v="1"/>
    <s v="Ok"/>
    <x v="58"/>
    <x v="1"/>
  </r>
  <r>
    <s v="PC-2026-0352"/>
    <x v="85"/>
    <s v="EMP013"/>
    <x v="1"/>
    <x v="1"/>
    <s v="Petty Cash"/>
    <x v="5"/>
    <n v="405000"/>
    <x v="1"/>
    <n v="0"/>
    <x v="46"/>
    <x v="1"/>
    <s v="Ok"/>
    <x v="59"/>
    <x v="1"/>
  </r>
  <r>
    <s v="PC-2026-0353"/>
    <x v="86"/>
    <s v="EMP002"/>
    <x v="4"/>
    <x v="0"/>
    <s v="Petty Cash"/>
    <x v="1"/>
    <n v="130000"/>
    <x v="1"/>
    <n v="0"/>
    <x v="2"/>
    <x v="1"/>
    <s v="Ok"/>
    <x v="60"/>
    <x v="1"/>
  </r>
  <r>
    <s v="PC-2026-0354"/>
    <x v="86"/>
    <s v="EMP003"/>
    <x v="5"/>
    <x v="3"/>
    <s v="Petty Cash"/>
    <x v="7"/>
    <n v="650000"/>
    <x v="46"/>
    <n v="125000"/>
    <x v="0"/>
    <x v="0"/>
    <s v="Ok"/>
    <x v="0"/>
    <x v="0"/>
  </r>
  <r>
    <s v="PC-2026-0355"/>
    <x v="86"/>
    <s v="EMP007"/>
    <x v="8"/>
    <x v="5"/>
    <s v="Petty Cash"/>
    <x v="6"/>
    <n v="650000"/>
    <x v="1"/>
    <n v="0"/>
    <x v="19"/>
    <x v="1"/>
    <s v="Ok"/>
    <x v="60"/>
    <x v="1"/>
  </r>
  <r>
    <s v="PC-2026-0356"/>
    <x v="86"/>
    <s v="EMP014"/>
    <x v="12"/>
    <x v="6"/>
    <s v="Petty Cash"/>
    <x v="0"/>
    <n v="500000"/>
    <x v="5"/>
    <n v="100000"/>
    <x v="0"/>
    <x v="0"/>
    <s v="Ok"/>
    <x v="0"/>
    <x v="0"/>
  </r>
  <r>
    <s v="PC-2026-0357"/>
    <x v="86"/>
    <s v="EMP015"/>
    <x v="17"/>
    <x v="4"/>
    <s v="Cash Advance"/>
    <x v="4"/>
    <n v="425000"/>
    <x v="5"/>
    <n v="25000"/>
    <x v="0"/>
    <x v="0"/>
    <s v="Ok"/>
    <x v="0"/>
    <x v="0"/>
  </r>
  <r>
    <s v="PC-2026-0358"/>
    <x v="86"/>
    <s v="EMP020"/>
    <x v="3"/>
    <x v="3"/>
    <s v="Cash Advance"/>
    <x v="5"/>
    <n v="355000"/>
    <x v="17"/>
    <n v="80000"/>
    <x v="0"/>
    <x v="0"/>
    <s v="Ok"/>
    <x v="0"/>
    <x v="0"/>
  </r>
  <r>
    <s v="PC-2026-0359"/>
    <x v="87"/>
    <s v="EMP003"/>
    <x v="5"/>
    <x v="3"/>
    <s v="Petty Cash"/>
    <x v="0"/>
    <n v="3550000"/>
    <x v="1"/>
    <n v="0"/>
    <x v="55"/>
    <x v="1"/>
    <s v="Ok"/>
    <x v="61"/>
    <x v="1"/>
  </r>
  <r>
    <s v="PC-2026-0360"/>
    <x v="87"/>
    <s v="EMP008"/>
    <x v="0"/>
    <x v="0"/>
    <s v="Petty Cash"/>
    <x v="1"/>
    <n v="80000"/>
    <x v="10"/>
    <n v="5000"/>
    <x v="0"/>
    <x v="0"/>
    <s v="Ok"/>
    <x v="0"/>
    <x v="0"/>
  </r>
  <r>
    <s v="PC-2026-0361"/>
    <x v="87"/>
    <s v="EMP009"/>
    <x v="6"/>
    <x v="4"/>
    <s v="Cash Advance"/>
    <x v="3"/>
    <n v="325000"/>
    <x v="1"/>
    <n v="0"/>
    <x v="13"/>
    <x v="1"/>
    <s v="Ok"/>
    <x v="61"/>
    <x v="1"/>
  </r>
  <r>
    <s v="PC-2026-0362"/>
    <x v="87"/>
    <s v="EMP015"/>
    <x v="17"/>
    <x v="4"/>
    <s v="Cash Advance"/>
    <x v="2"/>
    <n v="1500000"/>
    <x v="31"/>
    <n v="125000"/>
    <x v="0"/>
    <x v="0"/>
    <s v="Ok"/>
    <x v="0"/>
    <x v="0"/>
  </r>
  <r>
    <s v="PC-2026-0363"/>
    <x v="88"/>
    <s v="EMP009"/>
    <x v="6"/>
    <x v="4"/>
    <s v="Petty Cash"/>
    <x v="3"/>
    <n v="400000"/>
    <x v="7"/>
    <n v="25000"/>
    <x v="0"/>
    <x v="0"/>
    <s v="Ok"/>
    <x v="0"/>
    <x v="0"/>
  </r>
  <r>
    <s v="PC-2026-0364"/>
    <x v="89"/>
    <s v="EMP004"/>
    <x v="14"/>
    <x v="2"/>
    <s v="Petty Cash"/>
    <x v="7"/>
    <n v="525000"/>
    <x v="1"/>
    <n v="0"/>
    <x v="17"/>
    <x v="1"/>
    <s v="Ok"/>
    <x v="62"/>
    <x v="1"/>
  </r>
  <r>
    <s v="PC-2026-0365"/>
    <x v="89"/>
    <s v="EMP006"/>
    <x v="16"/>
    <x v="6"/>
    <s v="Cash Advance"/>
    <x v="1"/>
    <n v="230000"/>
    <x v="1"/>
    <n v="0"/>
    <x v="35"/>
    <x v="1"/>
    <s v="Ok"/>
    <x v="62"/>
    <x v="1"/>
  </r>
  <r>
    <s v="PC-2026-0366"/>
    <x v="89"/>
    <s v="EMP013"/>
    <x v="1"/>
    <x v="1"/>
    <s v="Petty Cash"/>
    <x v="1"/>
    <n v="155000"/>
    <x v="21"/>
    <n v="30000"/>
    <x v="0"/>
    <x v="0"/>
    <s v="Ok"/>
    <x v="0"/>
    <x v="0"/>
  </r>
  <r>
    <s v="PC-2026-0367"/>
    <x v="89"/>
    <s v="EMP020"/>
    <x v="3"/>
    <x v="3"/>
    <s v="Cash Advance"/>
    <x v="7"/>
    <n v="175000"/>
    <x v="20"/>
    <n v="25000"/>
    <x v="0"/>
    <x v="0"/>
    <s v="Ok"/>
    <x v="0"/>
    <x v="0"/>
  </r>
  <r>
    <s v="PC-2026-0368"/>
    <x v="90"/>
    <s v="EMP010"/>
    <x v="7"/>
    <x v="2"/>
    <s v="Cash Advance"/>
    <x v="1"/>
    <n v="205000"/>
    <x v="15"/>
    <n v="30000"/>
    <x v="0"/>
    <x v="0"/>
    <s v="Ok"/>
    <x v="0"/>
    <x v="0"/>
  </r>
  <r>
    <s v="PC-2026-0369"/>
    <x v="90"/>
    <s v="EMP013"/>
    <x v="1"/>
    <x v="1"/>
    <s v="Petty Cash"/>
    <x v="0"/>
    <n v="750000"/>
    <x v="33"/>
    <n v="100000"/>
    <x v="0"/>
    <x v="0"/>
    <s v="Ok"/>
    <x v="0"/>
    <x v="0"/>
  </r>
  <r>
    <s v="PC-2026-0370"/>
    <x v="91"/>
    <s v="EMP001"/>
    <x v="10"/>
    <x v="4"/>
    <s v="Petty Cash"/>
    <x v="1"/>
    <n v="330000"/>
    <x v="40"/>
    <n v="5000"/>
    <x v="0"/>
    <x v="0"/>
    <s v="Ok"/>
    <x v="0"/>
    <x v="0"/>
  </r>
  <r>
    <s v="PC-2026-0371"/>
    <x v="92"/>
    <s v="EMP002"/>
    <x v="4"/>
    <x v="0"/>
    <s v="Cash Advance"/>
    <x v="3"/>
    <n v="50000"/>
    <x v="4"/>
    <n v="0"/>
    <x v="0"/>
    <x v="0"/>
    <s v="Ok"/>
    <x v="0"/>
    <x v="0"/>
  </r>
  <r>
    <s v="PC-2026-0372"/>
    <x v="92"/>
    <s v="EMP003"/>
    <x v="5"/>
    <x v="3"/>
    <s v="Petty Cash"/>
    <x v="6"/>
    <n v="275000"/>
    <x v="1"/>
    <n v="0"/>
    <x v="16"/>
    <x v="1"/>
    <s v="Ok"/>
    <x v="63"/>
    <x v="1"/>
  </r>
  <r>
    <s v="PC-2026-0373"/>
    <x v="92"/>
    <s v="EMP006"/>
    <x v="16"/>
    <x v="6"/>
    <s v="Cash Advance"/>
    <x v="5"/>
    <n v="105000"/>
    <x v="1"/>
    <n v="0"/>
    <x v="14"/>
    <x v="1"/>
    <s v="Ok"/>
    <x v="63"/>
    <x v="1"/>
  </r>
  <r>
    <s v="PC-2026-0374"/>
    <x v="92"/>
    <s v="EMP012"/>
    <x v="9"/>
    <x v="5"/>
    <s v="Petty Cash"/>
    <x v="0"/>
    <n v="3375000"/>
    <x v="69"/>
    <n v="775000"/>
    <x v="0"/>
    <x v="0"/>
    <s v="Ok"/>
    <x v="0"/>
    <x v="0"/>
  </r>
  <r>
    <s v="PC-2026-0375"/>
    <x v="92"/>
    <s v="EMP013"/>
    <x v="1"/>
    <x v="1"/>
    <s v="Petty Cash"/>
    <x v="3"/>
    <n v="450000"/>
    <x v="1"/>
    <n v="0"/>
    <x v="34"/>
    <x v="1"/>
    <s v="Ok"/>
    <x v="63"/>
    <x v="1"/>
  </r>
  <r>
    <s v="PC-2026-0376"/>
    <x v="92"/>
    <s v="EMP016"/>
    <x v="18"/>
    <x v="0"/>
    <s v="Petty Cash"/>
    <x v="1"/>
    <n v="380000"/>
    <x v="19"/>
    <n v="30000"/>
    <x v="0"/>
    <x v="0"/>
    <s v="Ok"/>
    <x v="0"/>
    <x v="0"/>
  </r>
  <r>
    <s v="PC-2026-0377"/>
    <x v="93"/>
    <s v="EMP014"/>
    <x v="12"/>
    <x v="6"/>
    <s v="Cash Advance"/>
    <x v="4"/>
    <n v="525000"/>
    <x v="42"/>
    <n v="100000"/>
    <x v="0"/>
    <x v="0"/>
    <s v="Ok"/>
    <x v="0"/>
    <x v="0"/>
  </r>
  <r>
    <s v="PC-2026-0378"/>
    <x v="93"/>
    <s v="EMP018"/>
    <x v="2"/>
    <x v="2"/>
    <s v="Cash Advance"/>
    <x v="0"/>
    <n v="1925000"/>
    <x v="1"/>
    <n v="0"/>
    <x v="56"/>
    <x v="1"/>
    <s v="Ok"/>
    <x v="64"/>
    <x v="1"/>
  </r>
  <r>
    <s v="PC-2026-0379"/>
    <x v="93"/>
    <s v="EMP019"/>
    <x v="15"/>
    <x v="1"/>
    <s v="Petty Cash"/>
    <x v="1"/>
    <n v="80000"/>
    <x v="4"/>
    <n v="30000"/>
    <x v="0"/>
    <x v="0"/>
    <s v="Ok"/>
    <x v="0"/>
    <x v="0"/>
  </r>
  <r>
    <s v="PC-2026-0380"/>
    <x v="94"/>
    <s v="EMP003"/>
    <x v="5"/>
    <x v="3"/>
    <s v="Petty Cash"/>
    <x v="7"/>
    <n v="500000"/>
    <x v="7"/>
    <n v="125000"/>
    <x v="0"/>
    <x v="0"/>
    <s v="Ok"/>
    <x v="0"/>
    <x v="0"/>
  </r>
  <r>
    <s v="PC-2026-0381"/>
    <x v="94"/>
    <s v="EMP008"/>
    <x v="0"/>
    <x v="0"/>
    <s v="Petty Cash"/>
    <x v="0"/>
    <n v="1875000"/>
    <x v="70"/>
    <n v="250000"/>
    <x v="0"/>
    <x v="0"/>
    <s v="Ok"/>
    <x v="0"/>
    <x v="0"/>
  </r>
  <r>
    <s v="PC-2026-0382"/>
    <x v="94"/>
    <s v="EMP013"/>
    <x v="1"/>
    <x v="1"/>
    <s v="Cash Advance"/>
    <x v="4"/>
    <n v="625000"/>
    <x v="38"/>
    <n v="25000"/>
    <x v="0"/>
    <x v="0"/>
    <s v="Ok"/>
    <x v="0"/>
    <x v="0"/>
  </r>
  <r>
    <s v="PC-2026-0383"/>
    <x v="94"/>
    <s v="EMP014"/>
    <x v="12"/>
    <x v="6"/>
    <s v="Petty Cash"/>
    <x v="7"/>
    <n v="400000"/>
    <x v="1"/>
    <n v="0"/>
    <x v="3"/>
    <x v="1"/>
    <s v="Ok"/>
    <x v="65"/>
    <x v="1"/>
  </r>
  <r>
    <s v="PC-2026-0384"/>
    <x v="94"/>
    <s v="EMP015"/>
    <x v="17"/>
    <x v="4"/>
    <s v="Cash Advance"/>
    <x v="5"/>
    <n v="405000"/>
    <x v="26"/>
    <n v="105000"/>
    <x v="0"/>
    <x v="0"/>
    <s v="Ok"/>
    <x v="0"/>
    <x v="0"/>
  </r>
  <r>
    <s v="PC-2026-0385"/>
    <x v="94"/>
    <s v="EMP016"/>
    <x v="18"/>
    <x v="0"/>
    <s v="Petty Cash"/>
    <x v="4"/>
    <n v="600000"/>
    <x v="1"/>
    <n v="0"/>
    <x v="1"/>
    <x v="1"/>
    <s v="Ok"/>
    <x v="65"/>
    <x v="1"/>
  </r>
  <r>
    <s v="PC-2026-0386"/>
    <x v="94"/>
    <s v="EMP016"/>
    <x v="18"/>
    <x v="0"/>
    <s v="Petty Cash"/>
    <x v="4"/>
    <n v="300000"/>
    <x v="27"/>
    <n v="50000"/>
    <x v="0"/>
    <x v="0"/>
    <s v="Ok"/>
    <x v="0"/>
    <x v="0"/>
  </r>
  <r>
    <s v="PC-2026-0387"/>
    <x v="95"/>
    <s v="EMP004"/>
    <x v="14"/>
    <x v="2"/>
    <s v="Cash Advance"/>
    <x v="0"/>
    <n v="2175000"/>
    <x v="45"/>
    <n v="525000"/>
    <x v="0"/>
    <x v="0"/>
    <s v="Ok"/>
    <x v="0"/>
    <x v="0"/>
  </r>
  <r>
    <s v="PC-2026-0388"/>
    <x v="95"/>
    <s v="EMP014"/>
    <x v="12"/>
    <x v="6"/>
    <s v="Petty Cash"/>
    <x v="3"/>
    <n v="350000"/>
    <x v="26"/>
    <n v="50000"/>
    <x v="0"/>
    <x v="0"/>
    <s v="Ok"/>
    <x v="0"/>
    <x v="0"/>
  </r>
  <r>
    <s v="PC-2026-0389"/>
    <x v="96"/>
    <s v="EMP005"/>
    <x v="11"/>
    <x v="1"/>
    <s v="Petty Cash"/>
    <x v="1"/>
    <n v="330000"/>
    <x v="17"/>
    <n v="55000"/>
    <x v="0"/>
    <x v="0"/>
    <s v="Ok"/>
    <x v="0"/>
    <x v="0"/>
  </r>
  <r>
    <s v="PC-2026-0390"/>
    <x v="96"/>
    <s v="EMP008"/>
    <x v="0"/>
    <x v="0"/>
    <s v="Petty Cash"/>
    <x v="2"/>
    <n v="875000"/>
    <x v="1"/>
    <n v="0"/>
    <x v="43"/>
    <x v="1"/>
    <s v="Ok"/>
    <x v="66"/>
    <x v="1"/>
  </r>
  <r>
    <s v="PC-2026-0391"/>
    <x v="96"/>
    <s v="EMP012"/>
    <x v="9"/>
    <x v="5"/>
    <s v="Cash Advance"/>
    <x v="2"/>
    <n v="750000"/>
    <x v="1"/>
    <n v="0"/>
    <x v="57"/>
    <x v="1"/>
    <s v="Ok"/>
    <x v="66"/>
    <x v="1"/>
  </r>
  <r>
    <s v="PC-2026-0392"/>
    <x v="96"/>
    <s v="EMP019"/>
    <x v="15"/>
    <x v="1"/>
    <s v="Cash Advance"/>
    <x v="4"/>
    <n v="600000"/>
    <x v="1"/>
    <n v="0"/>
    <x v="1"/>
    <x v="1"/>
    <s v="Ok"/>
    <x v="66"/>
    <x v="1"/>
  </r>
  <r>
    <s v="PC-2026-0393"/>
    <x v="97"/>
    <s v="EMP004"/>
    <x v="14"/>
    <x v="2"/>
    <s v="Cash Advance"/>
    <x v="0"/>
    <n v="650000"/>
    <x v="1"/>
    <n v="0"/>
    <x v="19"/>
    <x v="1"/>
    <s v="Ok"/>
    <x v="67"/>
    <x v="1"/>
  </r>
  <r>
    <s v="PC-2026-0394"/>
    <x v="97"/>
    <s v="EMP007"/>
    <x v="8"/>
    <x v="5"/>
    <s v="Petty Cash"/>
    <x v="3"/>
    <n v="225000"/>
    <x v="15"/>
    <n v="50000"/>
    <x v="0"/>
    <x v="0"/>
    <s v="Ok"/>
    <x v="0"/>
    <x v="0"/>
  </r>
  <r>
    <s v="PC-2026-0395"/>
    <x v="97"/>
    <s v="EMP013"/>
    <x v="1"/>
    <x v="1"/>
    <s v="Petty Cash"/>
    <x v="1"/>
    <n v="405000"/>
    <x v="5"/>
    <n v="5000"/>
    <x v="0"/>
    <x v="0"/>
    <s v="Ok"/>
    <x v="0"/>
    <x v="0"/>
  </r>
  <r>
    <s v="PC-2026-0396"/>
    <x v="98"/>
    <s v="EMP004"/>
    <x v="14"/>
    <x v="2"/>
    <s v="Petty Cash"/>
    <x v="6"/>
    <n v="950000"/>
    <x v="67"/>
    <n v="25000"/>
    <x v="0"/>
    <x v="0"/>
    <s v="Ok"/>
    <x v="0"/>
    <x v="0"/>
  </r>
  <r>
    <s v="PC-2026-0397"/>
    <x v="98"/>
    <s v="EMP006"/>
    <x v="16"/>
    <x v="6"/>
    <s v="Cash Advance"/>
    <x v="5"/>
    <n v="180000"/>
    <x v="1"/>
    <n v="0"/>
    <x v="58"/>
    <x v="1"/>
    <s v="Ok"/>
    <x v="68"/>
    <x v="1"/>
  </r>
  <r>
    <s v="PC-2026-0398"/>
    <x v="98"/>
    <s v="EMP010"/>
    <x v="7"/>
    <x v="2"/>
    <s v="Petty Cash"/>
    <x v="5"/>
    <n v="180000"/>
    <x v="1"/>
    <n v="0"/>
    <x v="58"/>
    <x v="1"/>
    <s v="Ok"/>
    <x v="68"/>
    <x v="1"/>
  </r>
  <r>
    <s v="PC-2026-0399"/>
    <x v="98"/>
    <s v="EMP017"/>
    <x v="13"/>
    <x v="5"/>
    <s v="Cash Advance"/>
    <x v="1"/>
    <n v="480000"/>
    <x v="5"/>
    <n v="80000"/>
    <x v="0"/>
    <x v="0"/>
    <s v="Ok"/>
    <x v="0"/>
    <x v="0"/>
  </r>
  <r>
    <s v="PC-2026-0400"/>
    <x v="99"/>
    <s v="EMP012"/>
    <x v="9"/>
    <x v="5"/>
    <s v="Petty Cash"/>
    <x v="1"/>
    <n v="380000"/>
    <x v="7"/>
    <n v="5000"/>
    <x v="0"/>
    <x v="0"/>
    <s v="Ok"/>
    <x v="0"/>
    <x v="0"/>
  </r>
  <r>
    <s v="PC-2026-0401"/>
    <x v="99"/>
    <s v="EMP014"/>
    <x v="12"/>
    <x v="6"/>
    <s v="Cash Advance"/>
    <x v="5"/>
    <n v="305000"/>
    <x v="1"/>
    <n v="0"/>
    <x v="6"/>
    <x v="1"/>
    <s v="Ok"/>
    <x v="69"/>
    <x v="1"/>
  </r>
  <r>
    <s v="PC-2026-0402"/>
    <x v="99"/>
    <s v="EMP016"/>
    <x v="18"/>
    <x v="0"/>
    <s v="Petty Cash"/>
    <x v="4"/>
    <n v="625000"/>
    <x v="55"/>
    <n v="50000"/>
    <x v="0"/>
    <x v="0"/>
    <s v="Ok"/>
    <x v="0"/>
    <x v="0"/>
  </r>
  <r>
    <s v="PC-2026-0403"/>
    <x v="99"/>
    <s v="EMP019"/>
    <x v="15"/>
    <x v="1"/>
    <s v="Petty Cash"/>
    <x v="4"/>
    <n v="350000"/>
    <x v="1"/>
    <n v="0"/>
    <x v="59"/>
    <x v="1"/>
    <s v="Ok"/>
    <x v="69"/>
    <x v="1"/>
  </r>
  <r>
    <s v="PC-2026-0404"/>
    <x v="100"/>
    <s v="EMP003"/>
    <x v="5"/>
    <x v="3"/>
    <s v="Petty Cash"/>
    <x v="4"/>
    <n v="875000"/>
    <x v="28"/>
    <n v="100000"/>
    <x v="0"/>
    <x v="0"/>
    <s v="Ok"/>
    <x v="0"/>
    <x v="0"/>
  </r>
  <r>
    <s v="PC-2026-0405"/>
    <x v="100"/>
    <s v="EMP014"/>
    <x v="12"/>
    <x v="6"/>
    <s v="Cash Advance"/>
    <x v="2"/>
    <n v="800000"/>
    <x v="41"/>
    <n v="100000"/>
    <x v="0"/>
    <x v="0"/>
    <s v="Ok"/>
    <x v="0"/>
    <x v="0"/>
  </r>
  <r>
    <s v="PC-2026-0406"/>
    <x v="101"/>
    <s v="EMP013"/>
    <x v="1"/>
    <x v="1"/>
    <s v="Petty Cash"/>
    <x v="0"/>
    <n v="2950000"/>
    <x v="14"/>
    <n v="250000"/>
    <x v="0"/>
    <x v="0"/>
    <s v="Ok"/>
    <x v="0"/>
    <x v="0"/>
  </r>
  <r>
    <s v="PC-2026-0407"/>
    <x v="101"/>
    <s v="EMP015"/>
    <x v="17"/>
    <x v="4"/>
    <s v="Cash Advance"/>
    <x v="3"/>
    <n v="300000"/>
    <x v="27"/>
    <n v="50000"/>
    <x v="0"/>
    <x v="0"/>
    <s v="Ok"/>
    <x v="0"/>
    <x v="0"/>
  </r>
  <r>
    <s v="PC-2026-0408"/>
    <x v="101"/>
    <s v="EMP019"/>
    <x v="15"/>
    <x v="1"/>
    <s v="Petty Cash"/>
    <x v="2"/>
    <n v="1250000"/>
    <x v="67"/>
    <n v="325000"/>
    <x v="0"/>
    <x v="0"/>
    <s v="Ok"/>
    <x v="0"/>
    <x v="0"/>
  </r>
  <r>
    <s v="PC-2026-0409"/>
    <x v="102"/>
    <s v="EMP002"/>
    <x v="4"/>
    <x v="0"/>
    <s v="Cash Advance"/>
    <x v="5"/>
    <n v="455000"/>
    <x v="19"/>
    <n v="105000"/>
    <x v="0"/>
    <x v="0"/>
    <s v="Ok"/>
    <x v="0"/>
    <x v="0"/>
  </r>
  <r>
    <s v="PC-2026-0410"/>
    <x v="102"/>
    <s v="EMP008"/>
    <x v="0"/>
    <x v="0"/>
    <s v="Cash Advance"/>
    <x v="2"/>
    <n v="1025000"/>
    <x v="71"/>
    <n v="125000"/>
    <x v="0"/>
    <x v="0"/>
    <s v="Ok"/>
    <x v="0"/>
    <x v="0"/>
  </r>
  <r>
    <s v="PC-2026-0411"/>
    <x v="102"/>
    <s v="EMP011"/>
    <x v="19"/>
    <x v="3"/>
    <s v="Petty Cash"/>
    <x v="1"/>
    <n v="180000"/>
    <x v="1"/>
    <n v="0"/>
    <x v="58"/>
    <x v="1"/>
    <s v="Ok"/>
    <x v="70"/>
    <x v="1"/>
  </r>
  <r>
    <s v="PC-2026-0412"/>
    <x v="102"/>
    <s v="EMP012"/>
    <x v="9"/>
    <x v="5"/>
    <s v="Petty Cash"/>
    <x v="2"/>
    <n v="1200000"/>
    <x v="68"/>
    <n v="250000"/>
    <x v="0"/>
    <x v="0"/>
    <s v="Ok"/>
    <x v="0"/>
    <x v="0"/>
  </r>
  <r>
    <s v="PC-2026-0413"/>
    <x v="102"/>
    <s v="EMP020"/>
    <x v="3"/>
    <x v="3"/>
    <s v="Petty Cash"/>
    <x v="1"/>
    <n v="30000"/>
    <x v="1"/>
    <n v="0"/>
    <x v="8"/>
    <x v="1"/>
    <s v="Ok"/>
    <x v="70"/>
    <x v="1"/>
  </r>
  <r>
    <s v="PC-2026-0414"/>
    <x v="103"/>
    <s v="EMP002"/>
    <x v="4"/>
    <x v="0"/>
    <s v="Petty Cash"/>
    <x v="4"/>
    <n v="500000"/>
    <x v="53"/>
    <n v="0"/>
    <x v="0"/>
    <x v="0"/>
    <s v="Ok"/>
    <x v="0"/>
    <x v="0"/>
  </r>
  <r>
    <s v="PC-2026-0415"/>
    <x v="103"/>
    <s v="EMP005"/>
    <x v="11"/>
    <x v="1"/>
    <s v="Petty Cash"/>
    <x v="1"/>
    <n v="80000"/>
    <x v="1"/>
    <n v="0"/>
    <x v="5"/>
    <x v="1"/>
    <s v="Ok"/>
    <x v="71"/>
    <x v="1"/>
  </r>
  <r>
    <s v="PC-2026-0416"/>
    <x v="103"/>
    <s v="EMP006"/>
    <x v="16"/>
    <x v="6"/>
    <s v="Petty Cash"/>
    <x v="5"/>
    <n v="405000"/>
    <x v="1"/>
    <n v="0"/>
    <x v="46"/>
    <x v="1"/>
    <s v="Ok"/>
    <x v="71"/>
    <x v="1"/>
  </r>
  <r>
    <s v="PC-2026-0417"/>
    <x v="103"/>
    <s v="EMP011"/>
    <x v="19"/>
    <x v="3"/>
    <s v="Cash Advance"/>
    <x v="1"/>
    <n v="355000"/>
    <x v="40"/>
    <n v="30000"/>
    <x v="0"/>
    <x v="0"/>
    <s v="Ok"/>
    <x v="0"/>
    <x v="0"/>
  </r>
  <r>
    <s v="PC-2026-0418"/>
    <x v="103"/>
    <s v="EMP014"/>
    <x v="12"/>
    <x v="6"/>
    <s v="Cash Advance"/>
    <x v="5"/>
    <n v="355000"/>
    <x v="1"/>
    <n v="0"/>
    <x v="60"/>
    <x v="1"/>
    <s v="Ok"/>
    <x v="71"/>
    <x v="1"/>
  </r>
  <r>
    <s v="PC-2026-0419"/>
    <x v="103"/>
    <s v="EMP015"/>
    <x v="17"/>
    <x v="4"/>
    <s v="Cash Advance"/>
    <x v="4"/>
    <n v="450000"/>
    <x v="42"/>
    <n v="25000"/>
    <x v="0"/>
    <x v="0"/>
    <s v="Ok"/>
    <x v="0"/>
    <x v="0"/>
  </r>
  <r>
    <s v="PC-2026-0420"/>
    <x v="104"/>
    <s v="EMP007"/>
    <x v="8"/>
    <x v="5"/>
    <s v="Petty Cash"/>
    <x v="5"/>
    <n v="55000"/>
    <x v="4"/>
    <n v="5000"/>
    <x v="0"/>
    <x v="0"/>
    <s v="Ok"/>
    <x v="0"/>
    <x v="0"/>
  </r>
  <r>
    <s v="PC-2026-0421"/>
    <x v="104"/>
    <s v="EMP009"/>
    <x v="6"/>
    <x v="4"/>
    <s v="Cash Advance"/>
    <x v="3"/>
    <n v="175000"/>
    <x v="21"/>
    <n v="50000"/>
    <x v="0"/>
    <x v="0"/>
    <s v="Ok"/>
    <x v="0"/>
    <x v="0"/>
  </r>
  <r>
    <s v="PC-2026-0422"/>
    <x v="104"/>
    <s v="EMP011"/>
    <x v="19"/>
    <x v="3"/>
    <s v="Petty Cash"/>
    <x v="6"/>
    <n v="925000"/>
    <x v="44"/>
    <n v="100000"/>
    <x v="0"/>
    <x v="0"/>
    <s v="Ok"/>
    <x v="0"/>
    <x v="0"/>
  </r>
  <r>
    <s v="PC-2026-0423"/>
    <x v="104"/>
    <s v="EMP012"/>
    <x v="9"/>
    <x v="5"/>
    <s v="Petty Cash"/>
    <x v="7"/>
    <n v="700000"/>
    <x v="33"/>
    <n v="50000"/>
    <x v="0"/>
    <x v="0"/>
    <s v="Ok"/>
    <x v="0"/>
    <x v="0"/>
  </r>
  <r>
    <s v="PC-2026-0424"/>
    <x v="105"/>
    <s v="EMP001"/>
    <x v="10"/>
    <x v="4"/>
    <s v="Cash Advance"/>
    <x v="6"/>
    <n v="525000"/>
    <x v="42"/>
    <n v="100000"/>
    <x v="0"/>
    <x v="0"/>
    <s v="Ok"/>
    <x v="0"/>
    <x v="0"/>
  </r>
  <r>
    <s v="PC-2026-0425"/>
    <x v="105"/>
    <s v="EMP001"/>
    <x v="10"/>
    <x v="4"/>
    <s v="Petty Cash"/>
    <x v="4"/>
    <n v="825000"/>
    <x v="28"/>
    <n v="50000"/>
    <x v="0"/>
    <x v="0"/>
    <s v="Ok"/>
    <x v="0"/>
    <x v="0"/>
  </r>
  <r>
    <s v="PC-2026-0426"/>
    <x v="105"/>
    <s v="EMP004"/>
    <x v="14"/>
    <x v="2"/>
    <s v="Cash Advance"/>
    <x v="3"/>
    <n v="475000"/>
    <x v="7"/>
    <n v="100000"/>
    <x v="0"/>
    <x v="0"/>
    <s v="Ok"/>
    <x v="0"/>
    <x v="0"/>
  </r>
  <r>
    <s v="PC-2026-0427"/>
    <x v="105"/>
    <s v="EMP006"/>
    <x v="16"/>
    <x v="6"/>
    <s v="Petty Cash"/>
    <x v="7"/>
    <n v="100000"/>
    <x v="1"/>
    <n v="0"/>
    <x v="15"/>
    <x v="1"/>
    <s v="Ok"/>
    <x v="72"/>
    <x v="1"/>
  </r>
  <r>
    <s v="PC-2026-0428"/>
    <x v="105"/>
    <s v="EMP008"/>
    <x v="0"/>
    <x v="0"/>
    <s v="Petty Cash"/>
    <x v="3"/>
    <n v="425000"/>
    <x v="7"/>
    <n v="50000"/>
    <x v="0"/>
    <x v="0"/>
    <s v="Ok"/>
    <x v="0"/>
    <x v="0"/>
  </r>
  <r>
    <s v="PC-2026-0429"/>
    <x v="105"/>
    <s v="EMP009"/>
    <x v="6"/>
    <x v="4"/>
    <s v="Petty Cash"/>
    <x v="5"/>
    <n v="205000"/>
    <x v="15"/>
    <n v="30000"/>
    <x v="0"/>
    <x v="0"/>
    <s v="Ok"/>
    <x v="0"/>
    <x v="0"/>
  </r>
  <r>
    <s v="PC-2026-0430"/>
    <x v="105"/>
    <s v="EMP009"/>
    <x v="6"/>
    <x v="4"/>
    <s v="Cash Advance"/>
    <x v="5"/>
    <n v="480000"/>
    <x v="12"/>
    <n v="30000"/>
    <x v="0"/>
    <x v="0"/>
    <s v="Ok"/>
    <x v="0"/>
    <x v="0"/>
  </r>
  <r>
    <s v="PC-2026-0431"/>
    <x v="106"/>
    <s v="EMP002"/>
    <x v="4"/>
    <x v="0"/>
    <s v="Cash Advance"/>
    <x v="5"/>
    <n v="255000"/>
    <x v="9"/>
    <n v="30000"/>
    <x v="0"/>
    <x v="0"/>
    <s v="Ok"/>
    <x v="0"/>
    <x v="0"/>
  </r>
  <r>
    <s v="PC-2026-0432"/>
    <x v="106"/>
    <s v="EMP009"/>
    <x v="6"/>
    <x v="4"/>
    <s v="Cash Advance"/>
    <x v="3"/>
    <n v="325000"/>
    <x v="27"/>
    <n v="75000"/>
    <x v="0"/>
    <x v="0"/>
    <s v="Ok"/>
    <x v="0"/>
    <x v="0"/>
  </r>
  <r>
    <s v="PC-2026-0433"/>
    <x v="106"/>
    <s v="EMP015"/>
    <x v="17"/>
    <x v="4"/>
    <s v="Cash Advance"/>
    <x v="6"/>
    <n v="500000"/>
    <x v="13"/>
    <n v="25000"/>
    <x v="0"/>
    <x v="0"/>
    <s v="Ok"/>
    <x v="0"/>
    <x v="0"/>
  </r>
  <r>
    <s v="PC-2026-0434"/>
    <x v="107"/>
    <s v="EMP002"/>
    <x v="4"/>
    <x v="0"/>
    <s v="Cash Advance"/>
    <x v="3"/>
    <n v="475000"/>
    <x v="1"/>
    <n v="0"/>
    <x v="61"/>
    <x v="1"/>
    <s v="Ok"/>
    <x v="73"/>
    <x v="1"/>
  </r>
  <r>
    <s v="PC-2026-0435"/>
    <x v="107"/>
    <s v="EMP003"/>
    <x v="5"/>
    <x v="3"/>
    <s v="Petty Cash"/>
    <x v="3"/>
    <n v="100000"/>
    <x v="10"/>
    <n v="25000"/>
    <x v="0"/>
    <x v="0"/>
    <s v="Ok"/>
    <x v="0"/>
    <x v="0"/>
  </r>
  <r>
    <s v="PC-2026-0436"/>
    <x v="107"/>
    <s v="EMP006"/>
    <x v="16"/>
    <x v="6"/>
    <s v="Cash Advance"/>
    <x v="4"/>
    <n v="900000"/>
    <x v="62"/>
    <n v="25000"/>
    <x v="0"/>
    <x v="0"/>
    <s v="Ok"/>
    <x v="0"/>
    <x v="0"/>
  </r>
  <r>
    <s v="PC-2026-0437"/>
    <x v="107"/>
    <s v="EMP009"/>
    <x v="6"/>
    <x v="4"/>
    <s v="Petty Cash"/>
    <x v="6"/>
    <n v="875000"/>
    <x v="41"/>
    <n v="175000"/>
    <x v="0"/>
    <x v="0"/>
    <s v="Ok"/>
    <x v="0"/>
    <x v="0"/>
  </r>
  <r>
    <s v="PC-2026-0438"/>
    <x v="107"/>
    <s v="EMP018"/>
    <x v="2"/>
    <x v="2"/>
    <s v="Petty Cash"/>
    <x v="0"/>
    <n v="3025000"/>
    <x v="72"/>
    <n v="200000"/>
    <x v="0"/>
    <x v="0"/>
    <s v="Ok"/>
    <x v="0"/>
    <x v="0"/>
  </r>
  <r>
    <s v="PC-2026-0439"/>
    <x v="107"/>
    <s v="EMP020"/>
    <x v="3"/>
    <x v="3"/>
    <s v="Petty Cash"/>
    <x v="2"/>
    <n v="1225000"/>
    <x v="1"/>
    <n v="0"/>
    <x v="62"/>
    <x v="1"/>
    <s v="Ok"/>
    <x v="73"/>
    <x v="1"/>
  </r>
  <r>
    <s v="PC-2026-0440"/>
    <x v="108"/>
    <s v="EMP008"/>
    <x v="0"/>
    <x v="0"/>
    <s v="Petty Cash"/>
    <x v="3"/>
    <n v="50000"/>
    <x v="4"/>
    <n v="0"/>
    <x v="0"/>
    <x v="0"/>
    <s v="Ok"/>
    <x v="0"/>
    <x v="0"/>
  </r>
  <r>
    <s v="PC-2026-0441"/>
    <x v="108"/>
    <s v="EMP010"/>
    <x v="7"/>
    <x v="2"/>
    <s v="Petty Cash"/>
    <x v="6"/>
    <n v="550000"/>
    <x v="1"/>
    <n v="0"/>
    <x v="10"/>
    <x v="1"/>
    <s v="Ok"/>
    <x v="74"/>
    <x v="1"/>
  </r>
  <r>
    <s v="PC-2026-0442"/>
    <x v="108"/>
    <s v="EMP017"/>
    <x v="13"/>
    <x v="5"/>
    <s v="Petty Cash"/>
    <x v="5"/>
    <n v="155000"/>
    <x v="20"/>
    <n v="5000"/>
    <x v="0"/>
    <x v="0"/>
    <s v="Ok"/>
    <x v="0"/>
    <x v="0"/>
  </r>
  <r>
    <s v="PC-2026-0443"/>
    <x v="108"/>
    <s v="EMP018"/>
    <x v="2"/>
    <x v="2"/>
    <s v="Petty Cash"/>
    <x v="2"/>
    <n v="1375000"/>
    <x v="43"/>
    <n v="225000"/>
    <x v="0"/>
    <x v="0"/>
    <s v="Ok"/>
    <x v="0"/>
    <x v="0"/>
  </r>
  <r>
    <s v="PC-2026-0444"/>
    <x v="108"/>
    <s v="EMP019"/>
    <x v="15"/>
    <x v="1"/>
    <s v="Petty Cash"/>
    <x v="7"/>
    <n v="325000"/>
    <x v="1"/>
    <n v="0"/>
    <x v="13"/>
    <x v="1"/>
    <s v="Ok"/>
    <x v="74"/>
    <x v="1"/>
  </r>
  <r>
    <s v="PC-2026-0445"/>
    <x v="109"/>
    <s v="EMP007"/>
    <x v="8"/>
    <x v="5"/>
    <s v="Petty Cash"/>
    <x v="6"/>
    <n v="875000"/>
    <x v="48"/>
    <n v="125000"/>
    <x v="0"/>
    <x v="0"/>
    <s v="Ok"/>
    <x v="0"/>
    <x v="0"/>
  </r>
  <r>
    <s v="PC-2026-0446"/>
    <x v="109"/>
    <s v="EMP008"/>
    <x v="0"/>
    <x v="0"/>
    <s v="Petty Cash"/>
    <x v="7"/>
    <n v="550000"/>
    <x v="12"/>
    <n v="100000"/>
    <x v="0"/>
    <x v="0"/>
    <s v="Ok"/>
    <x v="0"/>
    <x v="0"/>
  </r>
  <r>
    <s v="PC-2026-0447"/>
    <x v="109"/>
    <s v="EMP013"/>
    <x v="1"/>
    <x v="1"/>
    <s v="Cash Advance"/>
    <x v="7"/>
    <n v="575000"/>
    <x v="42"/>
    <n v="150000"/>
    <x v="0"/>
    <x v="0"/>
    <s v="Ok"/>
    <x v="0"/>
    <x v="0"/>
  </r>
  <r>
    <s v="PC-2026-0448"/>
    <x v="109"/>
    <s v="EMP019"/>
    <x v="15"/>
    <x v="1"/>
    <s v="Petty Cash"/>
    <x v="7"/>
    <n v="500000"/>
    <x v="13"/>
    <n v="25000"/>
    <x v="0"/>
    <x v="0"/>
    <s v="Ok"/>
    <x v="0"/>
    <x v="0"/>
  </r>
  <r>
    <s v="PC-2026-0449"/>
    <x v="110"/>
    <s v="EMP013"/>
    <x v="1"/>
    <x v="1"/>
    <s v="Petty Cash"/>
    <x v="1"/>
    <n v="405000"/>
    <x v="26"/>
    <n v="105000"/>
    <x v="0"/>
    <x v="0"/>
    <s v="Ok"/>
    <x v="0"/>
    <x v="0"/>
  </r>
  <r>
    <s v="PC-2026-0450"/>
    <x v="110"/>
    <s v="EMP020"/>
    <x v="3"/>
    <x v="3"/>
    <s v="Cash Advance"/>
    <x v="0"/>
    <n v="1900000"/>
    <x v="66"/>
    <n v="325000"/>
    <x v="0"/>
    <x v="0"/>
    <s v="Ok"/>
    <x v="0"/>
    <x v="0"/>
  </r>
  <r>
    <s v="PC-2026-0451"/>
    <x v="111"/>
    <s v="EMP006"/>
    <x v="16"/>
    <x v="6"/>
    <s v="Cash Advance"/>
    <x v="2"/>
    <n v="1100000"/>
    <x v="1"/>
    <n v="0"/>
    <x v="63"/>
    <x v="1"/>
    <s v="Ok"/>
    <x v="75"/>
    <x v="1"/>
  </r>
  <r>
    <s v="PC-2026-0452"/>
    <x v="111"/>
    <s v="EMP010"/>
    <x v="7"/>
    <x v="2"/>
    <s v="Petty Cash"/>
    <x v="5"/>
    <n v="105000"/>
    <x v="10"/>
    <n v="30000"/>
    <x v="0"/>
    <x v="0"/>
    <s v="Ok"/>
    <x v="0"/>
    <x v="0"/>
  </r>
  <r>
    <s v="PC-2026-0453"/>
    <x v="111"/>
    <s v="EMP012"/>
    <x v="9"/>
    <x v="5"/>
    <s v="Petty Cash"/>
    <x v="5"/>
    <n v="105000"/>
    <x v="10"/>
    <n v="30000"/>
    <x v="0"/>
    <x v="0"/>
    <s v="Ok"/>
    <x v="0"/>
    <x v="0"/>
  </r>
  <r>
    <s v="PC-2026-0454"/>
    <x v="111"/>
    <s v="EMP014"/>
    <x v="12"/>
    <x v="6"/>
    <s v="Cash Advance"/>
    <x v="0"/>
    <n v="2500000"/>
    <x v="1"/>
    <n v="0"/>
    <x v="64"/>
    <x v="1"/>
    <s v="Ok"/>
    <x v="75"/>
    <x v="1"/>
  </r>
  <r>
    <s v="PC-2026-0455"/>
    <x v="111"/>
    <s v="EMP016"/>
    <x v="18"/>
    <x v="0"/>
    <s v="Cash Advance"/>
    <x v="0"/>
    <n v="1725000"/>
    <x v="73"/>
    <n v="475000"/>
    <x v="0"/>
    <x v="0"/>
    <s v="Ok"/>
    <x v="0"/>
    <x v="0"/>
  </r>
  <r>
    <s v="PC-2026-0456"/>
    <x v="112"/>
    <s v="EMP004"/>
    <x v="14"/>
    <x v="2"/>
    <s v="Cash Advance"/>
    <x v="0"/>
    <n v="675000"/>
    <x v="1"/>
    <n v="0"/>
    <x v="65"/>
    <x v="1"/>
    <s v="Ok"/>
    <x v="76"/>
    <x v="1"/>
  </r>
  <r>
    <s v="PC-2026-0457"/>
    <x v="112"/>
    <s v="EMP008"/>
    <x v="0"/>
    <x v="0"/>
    <s v="Petty Cash"/>
    <x v="5"/>
    <n v="205000"/>
    <x v="15"/>
    <n v="30000"/>
    <x v="0"/>
    <x v="0"/>
    <s v="Ok"/>
    <x v="0"/>
    <x v="0"/>
  </r>
  <r>
    <s v="PC-2026-0458"/>
    <x v="112"/>
    <s v="EMP018"/>
    <x v="2"/>
    <x v="2"/>
    <s v="Petty Cash"/>
    <x v="1"/>
    <n v="255000"/>
    <x v="22"/>
    <n v="55000"/>
    <x v="0"/>
    <x v="0"/>
    <s v="Ok"/>
    <x v="0"/>
    <x v="0"/>
  </r>
  <r>
    <s v="PC-2026-0459"/>
    <x v="112"/>
    <s v="EMP020"/>
    <x v="3"/>
    <x v="3"/>
    <s v="Petty Cash"/>
    <x v="6"/>
    <n v="1025000"/>
    <x v="6"/>
    <n v="0"/>
    <x v="0"/>
    <x v="0"/>
    <s v="Ok"/>
    <x v="0"/>
    <x v="0"/>
  </r>
  <r>
    <s v="PC-2026-0460"/>
    <x v="113"/>
    <s v="EMP002"/>
    <x v="4"/>
    <x v="0"/>
    <s v="Petty Cash"/>
    <x v="4"/>
    <n v="450000"/>
    <x v="42"/>
    <n v="25000"/>
    <x v="0"/>
    <x v="0"/>
    <s v="Ok"/>
    <x v="0"/>
    <x v="0"/>
  </r>
  <r>
    <s v="PC-2026-0461"/>
    <x v="113"/>
    <s v="EMP006"/>
    <x v="16"/>
    <x v="6"/>
    <s v="Cash Advance"/>
    <x v="5"/>
    <n v="380000"/>
    <x v="1"/>
    <n v="0"/>
    <x v="25"/>
    <x v="1"/>
    <s v="Ok"/>
    <x v="77"/>
    <x v="1"/>
  </r>
  <r>
    <s v="PC-2026-0462"/>
    <x v="113"/>
    <s v="EMP008"/>
    <x v="0"/>
    <x v="0"/>
    <s v="Cash Advance"/>
    <x v="6"/>
    <n v="225000"/>
    <x v="22"/>
    <n v="25000"/>
    <x v="0"/>
    <x v="0"/>
    <s v="Ok"/>
    <x v="0"/>
    <x v="0"/>
  </r>
  <r>
    <s v="PC-2026-0463"/>
    <x v="113"/>
    <s v="EMP011"/>
    <x v="19"/>
    <x v="3"/>
    <s v="Cash Advance"/>
    <x v="2"/>
    <n v="475000"/>
    <x v="42"/>
    <n v="50000"/>
    <x v="0"/>
    <x v="0"/>
    <s v="Ok"/>
    <x v="0"/>
    <x v="0"/>
  </r>
  <r>
    <s v="PC-2026-0464"/>
    <x v="113"/>
    <s v="EMP013"/>
    <x v="1"/>
    <x v="1"/>
    <s v="Petty Cash"/>
    <x v="3"/>
    <n v="225000"/>
    <x v="1"/>
    <n v="0"/>
    <x v="11"/>
    <x v="1"/>
    <s v="Ok"/>
    <x v="77"/>
    <x v="1"/>
  </r>
  <r>
    <s v="PC-2026-0465"/>
    <x v="113"/>
    <s v="EMP014"/>
    <x v="12"/>
    <x v="6"/>
    <s v="Petty Cash"/>
    <x v="7"/>
    <n v="125000"/>
    <x v="30"/>
    <n v="25000"/>
    <x v="0"/>
    <x v="0"/>
    <s v="Ok"/>
    <x v="0"/>
    <x v="0"/>
  </r>
  <r>
    <s v="PC-2026-0466"/>
    <x v="114"/>
    <s v="EMP002"/>
    <x v="4"/>
    <x v="0"/>
    <s v="Petty Cash"/>
    <x v="2"/>
    <n v="600000"/>
    <x v="46"/>
    <n v="75000"/>
    <x v="0"/>
    <x v="0"/>
    <s v="Ok"/>
    <x v="0"/>
    <x v="0"/>
  </r>
  <r>
    <s v="PC-2026-0467"/>
    <x v="114"/>
    <s v="EMP002"/>
    <x v="4"/>
    <x v="0"/>
    <s v="Cash Advance"/>
    <x v="6"/>
    <n v="275000"/>
    <x v="9"/>
    <n v="50000"/>
    <x v="0"/>
    <x v="0"/>
    <s v="Ok"/>
    <x v="0"/>
    <x v="0"/>
  </r>
  <r>
    <s v="PC-2026-0468"/>
    <x v="114"/>
    <s v="EMP004"/>
    <x v="14"/>
    <x v="2"/>
    <s v="Petty Cash"/>
    <x v="0"/>
    <n v="2800000"/>
    <x v="74"/>
    <n v="500000"/>
    <x v="0"/>
    <x v="0"/>
    <s v="Ok"/>
    <x v="0"/>
    <x v="0"/>
  </r>
  <r>
    <s v="PC-2026-0469"/>
    <x v="114"/>
    <s v="EMP007"/>
    <x v="8"/>
    <x v="5"/>
    <s v="Cash Advance"/>
    <x v="0"/>
    <n v="1250000"/>
    <x v="1"/>
    <n v="0"/>
    <x v="66"/>
    <x v="1"/>
    <s v="Ok"/>
    <x v="78"/>
    <x v="1"/>
  </r>
  <r>
    <s v="PC-2026-0470"/>
    <x v="114"/>
    <s v="EMP010"/>
    <x v="7"/>
    <x v="2"/>
    <s v="Petty Cash"/>
    <x v="1"/>
    <n v="355000"/>
    <x v="1"/>
    <n v="0"/>
    <x v="60"/>
    <x v="1"/>
    <s v="Ok"/>
    <x v="78"/>
    <x v="1"/>
  </r>
  <r>
    <s v="PC-2026-0471"/>
    <x v="114"/>
    <s v="EMP017"/>
    <x v="13"/>
    <x v="5"/>
    <s v="Cash Advance"/>
    <x v="1"/>
    <n v="55000"/>
    <x v="4"/>
    <n v="5000"/>
    <x v="0"/>
    <x v="0"/>
    <s v="Ok"/>
    <x v="0"/>
    <x v="0"/>
  </r>
  <r>
    <s v="PC-2026-0472"/>
    <x v="115"/>
    <s v="EMP002"/>
    <x v="4"/>
    <x v="0"/>
    <s v="Cash Advance"/>
    <x v="7"/>
    <n v="400000"/>
    <x v="19"/>
    <n v="50000"/>
    <x v="0"/>
    <x v="0"/>
    <s v="Ok"/>
    <x v="0"/>
    <x v="0"/>
  </r>
  <r>
    <s v="PC-2026-0473"/>
    <x v="115"/>
    <s v="EMP010"/>
    <x v="7"/>
    <x v="2"/>
    <s v="Petty Cash"/>
    <x v="6"/>
    <n v="825000"/>
    <x v="1"/>
    <n v="0"/>
    <x v="48"/>
    <x v="1"/>
    <s v="Ok"/>
    <x v="79"/>
    <x v="1"/>
  </r>
  <r>
    <s v="PC-2026-0474"/>
    <x v="115"/>
    <s v="EMP011"/>
    <x v="19"/>
    <x v="3"/>
    <s v="Petty Cash"/>
    <x v="3"/>
    <n v="425000"/>
    <x v="40"/>
    <n v="100000"/>
    <x v="0"/>
    <x v="0"/>
    <s v="Ok"/>
    <x v="0"/>
    <x v="0"/>
  </r>
  <r>
    <s v="PC-2026-0475"/>
    <x v="115"/>
    <s v="EMP012"/>
    <x v="9"/>
    <x v="5"/>
    <s v="Petty Cash"/>
    <x v="6"/>
    <n v="1075000"/>
    <x v="1"/>
    <n v="0"/>
    <x v="24"/>
    <x v="1"/>
    <s v="Ok"/>
    <x v="79"/>
    <x v="1"/>
  </r>
  <r>
    <s v="PC-2026-0476"/>
    <x v="115"/>
    <s v="EMP014"/>
    <x v="12"/>
    <x v="6"/>
    <s v="Cash Advance"/>
    <x v="6"/>
    <n v="625000"/>
    <x v="1"/>
    <n v="0"/>
    <x v="39"/>
    <x v="1"/>
    <s v="Ok"/>
    <x v="79"/>
    <x v="1"/>
  </r>
  <r>
    <s v="PC-2026-0477"/>
    <x v="115"/>
    <s v="EMP015"/>
    <x v="17"/>
    <x v="4"/>
    <s v="Cash Advance"/>
    <x v="7"/>
    <n v="200000"/>
    <x v="1"/>
    <n v="0"/>
    <x v="26"/>
    <x v="1"/>
    <s v="Ok"/>
    <x v="79"/>
    <x v="1"/>
  </r>
  <r>
    <s v="PC-2026-0478"/>
    <x v="116"/>
    <s v="EMP012"/>
    <x v="9"/>
    <x v="5"/>
    <s v="Petty Cash"/>
    <x v="3"/>
    <n v="500000"/>
    <x v="7"/>
    <n v="125000"/>
    <x v="0"/>
    <x v="0"/>
    <s v="Ok"/>
    <x v="0"/>
    <x v="0"/>
  </r>
  <r>
    <s v="PC-2026-0479"/>
    <x v="117"/>
    <s v="EMP004"/>
    <x v="14"/>
    <x v="2"/>
    <s v="Petty Cash"/>
    <x v="1"/>
    <n v="405000"/>
    <x v="5"/>
    <n v="5000"/>
    <x v="0"/>
    <x v="0"/>
    <s v="Ok"/>
    <x v="0"/>
    <x v="0"/>
  </r>
  <r>
    <s v="PC-2026-0480"/>
    <x v="117"/>
    <s v="EMP010"/>
    <x v="7"/>
    <x v="2"/>
    <s v="Petty Cash"/>
    <x v="7"/>
    <n v="475000"/>
    <x v="5"/>
    <n v="75000"/>
    <x v="0"/>
    <x v="0"/>
    <s v="Ok"/>
    <x v="0"/>
    <x v="0"/>
  </r>
  <r>
    <s v="PC-2026-0481"/>
    <x v="117"/>
    <s v="EMP016"/>
    <x v="18"/>
    <x v="0"/>
    <s v="Petty Cash"/>
    <x v="5"/>
    <n v="480000"/>
    <x v="1"/>
    <n v="0"/>
    <x v="18"/>
    <x v="1"/>
    <s v="Ok"/>
    <x v="80"/>
    <x v="1"/>
  </r>
  <r>
    <s v="PC-2026-0482"/>
    <x v="117"/>
    <s v="EMP017"/>
    <x v="13"/>
    <x v="5"/>
    <s v="Cash Advance"/>
    <x v="2"/>
    <n v="1450000"/>
    <x v="75"/>
    <n v="350000"/>
    <x v="0"/>
    <x v="0"/>
    <s v="Ok"/>
    <x v="0"/>
    <x v="0"/>
  </r>
  <r>
    <s v="PC-2026-0483"/>
    <x v="118"/>
    <s v="EMP004"/>
    <x v="14"/>
    <x v="2"/>
    <s v="Cash Advance"/>
    <x v="1"/>
    <n v="405000"/>
    <x v="7"/>
    <n v="30000"/>
    <x v="0"/>
    <x v="0"/>
    <s v="Ok"/>
    <x v="0"/>
    <x v="0"/>
  </r>
  <r>
    <s v="PC-2026-0484"/>
    <x v="118"/>
    <s v="EMP007"/>
    <x v="8"/>
    <x v="5"/>
    <s v="Petty Cash"/>
    <x v="6"/>
    <n v="400000"/>
    <x v="1"/>
    <n v="0"/>
    <x v="3"/>
    <x v="1"/>
    <s v="Ok"/>
    <x v="81"/>
    <x v="1"/>
  </r>
  <r>
    <s v="PC-2026-0485"/>
    <x v="119"/>
    <s v="EMP013"/>
    <x v="1"/>
    <x v="1"/>
    <s v="Petty Cash"/>
    <x v="4"/>
    <n v="125000"/>
    <x v="21"/>
    <n v="0"/>
    <x v="0"/>
    <x v="0"/>
    <s v="Ok"/>
    <x v="0"/>
    <x v="0"/>
  </r>
  <r>
    <s v="PC-2026-0486"/>
    <x v="119"/>
    <s v="EMP020"/>
    <x v="3"/>
    <x v="3"/>
    <s v="Petty Cash"/>
    <x v="1"/>
    <n v="205000"/>
    <x v="22"/>
    <n v="5000"/>
    <x v="0"/>
    <x v="0"/>
    <s v="Ok"/>
    <x v="0"/>
    <x v="0"/>
  </r>
  <r>
    <s v="PC-2026-0487"/>
    <x v="120"/>
    <s v="EMP010"/>
    <x v="7"/>
    <x v="2"/>
    <s v="Petty Cash"/>
    <x v="2"/>
    <n v="700000"/>
    <x v="33"/>
    <n v="50000"/>
    <x v="0"/>
    <x v="0"/>
    <s v="Ok"/>
    <x v="0"/>
    <x v="0"/>
  </r>
  <r>
    <s v="PC-2026-0488"/>
    <x v="120"/>
    <s v="EMP017"/>
    <x v="13"/>
    <x v="5"/>
    <s v="Petty Cash"/>
    <x v="1"/>
    <n v="80000"/>
    <x v="10"/>
    <n v="5000"/>
    <x v="0"/>
    <x v="0"/>
    <s v="Ok"/>
    <x v="0"/>
    <x v="0"/>
  </r>
  <r>
    <s v="PC-2026-0489"/>
    <x v="120"/>
    <s v="EMP018"/>
    <x v="2"/>
    <x v="2"/>
    <s v="Cash Advance"/>
    <x v="2"/>
    <n v="575000"/>
    <x v="32"/>
    <n v="25000"/>
    <x v="0"/>
    <x v="0"/>
    <s v="Ok"/>
    <x v="0"/>
    <x v="0"/>
  </r>
  <r>
    <s v="PC-2026-0490"/>
    <x v="120"/>
    <s v="EMP019"/>
    <x v="15"/>
    <x v="1"/>
    <s v="Cash Advance"/>
    <x v="3"/>
    <n v="575000"/>
    <x v="1"/>
    <n v="0"/>
    <x v="20"/>
    <x v="1"/>
    <s v="Ok"/>
    <x v="82"/>
    <x v="1"/>
  </r>
  <r>
    <s v="PC-2026-0491"/>
    <x v="121"/>
    <s v="EMP005"/>
    <x v="11"/>
    <x v="1"/>
    <s v="Cash Advance"/>
    <x v="2"/>
    <n v="100000"/>
    <x v="10"/>
    <n v="25000"/>
    <x v="0"/>
    <x v="0"/>
    <s v="Ok"/>
    <x v="0"/>
    <x v="0"/>
  </r>
  <r>
    <s v="PC-2026-0492"/>
    <x v="121"/>
    <s v="EMP005"/>
    <x v="11"/>
    <x v="1"/>
    <s v="Cash Advance"/>
    <x v="6"/>
    <n v="800000"/>
    <x v="1"/>
    <n v="0"/>
    <x v="30"/>
    <x v="1"/>
    <s v="Ok"/>
    <x v="83"/>
    <x v="1"/>
  </r>
  <r>
    <s v="PC-2026-0493"/>
    <x v="121"/>
    <s v="EMP007"/>
    <x v="8"/>
    <x v="5"/>
    <s v="Cash Advance"/>
    <x v="7"/>
    <n v="300000"/>
    <x v="27"/>
    <n v="50000"/>
    <x v="0"/>
    <x v="0"/>
    <s v="Ok"/>
    <x v="0"/>
    <x v="0"/>
  </r>
  <r>
    <s v="PC-2026-0494"/>
    <x v="121"/>
    <s v="EMP016"/>
    <x v="18"/>
    <x v="0"/>
    <s v="Cash Advance"/>
    <x v="1"/>
    <n v="55000"/>
    <x v="1"/>
    <n v="0"/>
    <x v="40"/>
    <x v="1"/>
    <s v="Ok"/>
    <x v="83"/>
    <x v="1"/>
  </r>
  <r>
    <s v="PC-2026-0495"/>
    <x v="121"/>
    <s v="EMP018"/>
    <x v="2"/>
    <x v="2"/>
    <s v="Cash Advance"/>
    <x v="0"/>
    <n v="2950000"/>
    <x v="76"/>
    <n v="725000"/>
    <x v="0"/>
    <x v="0"/>
    <s v="Ok"/>
    <x v="0"/>
    <x v="0"/>
  </r>
  <r>
    <s v="PC-2026-0496"/>
    <x v="121"/>
    <s v="EMP020"/>
    <x v="3"/>
    <x v="3"/>
    <s v="Petty Cash"/>
    <x v="7"/>
    <n v="475000"/>
    <x v="1"/>
    <n v="0"/>
    <x v="61"/>
    <x v="1"/>
    <s v="Ok"/>
    <x v="83"/>
    <x v="1"/>
  </r>
  <r>
    <s v="PC-2026-0497"/>
    <x v="122"/>
    <s v="EMP012"/>
    <x v="9"/>
    <x v="5"/>
    <s v="Petty Cash"/>
    <x v="3"/>
    <n v="400000"/>
    <x v="40"/>
    <n v="75000"/>
    <x v="0"/>
    <x v="0"/>
    <s v="Ok"/>
    <x v="0"/>
    <x v="0"/>
  </r>
  <r>
    <s v="PC-2026-0498"/>
    <x v="122"/>
    <s v="EMP018"/>
    <x v="2"/>
    <x v="2"/>
    <s v="Cash Advance"/>
    <x v="5"/>
    <n v="230000"/>
    <x v="9"/>
    <n v="5000"/>
    <x v="0"/>
    <x v="0"/>
    <s v="Ok"/>
    <x v="0"/>
    <x v="0"/>
  </r>
  <r>
    <s v="PC-2026-0499"/>
    <x v="123"/>
    <s v="EMP003"/>
    <x v="5"/>
    <x v="3"/>
    <s v="Cash Advance"/>
    <x v="1"/>
    <n v="280000"/>
    <x v="27"/>
    <n v="30000"/>
    <x v="0"/>
    <x v="0"/>
    <s v="Ok"/>
    <x v="0"/>
    <x v="0"/>
  </r>
  <r>
    <s v="PC-2026-0500"/>
    <x v="123"/>
    <s v="EMP006"/>
    <x v="16"/>
    <x v="6"/>
    <s v="Cash Advance"/>
    <x v="0"/>
    <n v="2675000"/>
    <x v="77"/>
    <n v="550000"/>
    <x v="0"/>
    <x v="0"/>
    <s v="Ok"/>
    <x v="0"/>
    <x v="0"/>
  </r>
  <r>
    <s v="PC-2026-0501"/>
    <x v="123"/>
    <s v="EMP015"/>
    <x v="17"/>
    <x v="4"/>
    <s v="Petty Cash"/>
    <x v="3"/>
    <n v="425000"/>
    <x v="5"/>
    <n v="25000"/>
    <x v="0"/>
    <x v="0"/>
    <s v="Ok"/>
    <x v="0"/>
    <x v="0"/>
  </r>
  <r>
    <s v="PC-2026-0502"/>
    <x v="123"/>
    <s v="EMP019"/>
    <x v="15"/>
    <x v="1"/>
    <s v="Petty Cash"/>
    <x v="0"/>
    <n v="775000"/>
    <x v="1"/>
    <n v="0"/>
    <x v="21"/>
    <x v="1"/>
    <s v="Ok"/>
    <x v="84"/>
    <x v="1"/>
  </r>
  <r>
    <s v="PC-2026-0503"/>
    <x v="123"/>
    <s v="EMP019"/>
    <x v="15"/>
    <x v="1"/>
    <s v="Cash Advance"/>
    <x v="7"/>
    <n v="150000"/>
    <x v="21"/>
    <n v="25000"/>
    <x v="0"/>
    <x v="0"/>
    <s v="Ok"/>
    <x v="0"/>
    <x v="0"/>
  </r>
  <r>
    <s v="PC-2026-0504"/>
    <x v="124"/>
    <s v="EMP015"/>
    <x v="17"/>
    <x v="4"/>
    <s v="Cash Advance"/>
    <x v="7"/>
    <n v="375000"/>
    <x v="26"/>
    <n v="75000"/>
    <x v="0"/>
    <x v="0"/>
    <s v="Ok"/>
    <x v="0"/>
    <x v="0"/>
  </r>
  <r>
    <s v="PC-2026-0505"/>
    <x v="124"/>
    <s v="EMP015"/>
    <x v="17"/>
    <x v="4"/>
    <s v="Cash Advance"/>
    <x v="4"/>
    <n v="425000"/>
    <x v="19"/>
    <n v="75000"/>
    <x v="0"/>
    <x v="0"/>
    <s v="Ok"/>
    <x v="0"/>
    <x v="0"/>
  </r>
  <r>
    <s v="PC-2026-0506"/>
    <x v="125"/>
    <s v="EMP008"/>
    <x v="0"/>
    <x v="0"/>
    <s v="Cash Advance"/>
    <x v="2"/>
    <n v="875000"/>
    <x v="28"/>
    <n v="100000"/>
    <x v="0"/>
    <x v="0"/>
    <s v="Ok"/>
    <x v="0"/>
    <x v="0"/>
  </r>
  <r>
    <s v="PC-2026-0507"/>
    <x v="125"/>
    <s v="EMP010"/>
    <x v="7"/>
    <x v="2"/>
    <s v="Cash Advance"/>
    <x v="2"/>
    <n v="1500000"/>
    <x v="78"/>
    <n v="200000"/>
    <x v="0"/>
    <x v="0"/>
    <s v="Ok"/>
    <x v="0"/>
    <x v="0"/>
  </r>
  <r>
    <s v="PC-2026-0508"/>
    <x v="125"/>
    <s v="EMP014"/>
    <x v="12"/>
    <x v="6"/>
    <s v="Petty Cash"/>
    <x v="6"/>
    <n v="1000000"/>
    <x v="1"/>
    <n v="0"/>
    <x v="67"/>
    <x v="1"/>
    <s v="Ok"/>
    <x v="85"/>
    <x v="1"/>
  </r>
  <r>
    <s v="PC-2026-0509"/>
    <x v="125"/>
    <s v="EMP017"/>
    <x v="13"/>
    <x v="5"/>
    <s v="Cash Advance"/>
    <x v="4"/>
    <n v="250000"/>
    <x v="22"/>
    <n v="50000"/>
    <x v="0"/>
    <x v="0"/>
    <s v="Ok"/>
    <x v="0"/>
    <x v="0"/>
  </r>
  <r>
    <s v="PC-2026-0510"/>
    <x v="126"/>
    <s v="EMP001"/>
    <x v="10"/>
    <x v="4"/>
    <s v="Petty Cash"/>
    <x v="0"/>
    <n v="2425000"/>
    <x v="1"/>
    <n v="0"/>
    <x v="68"/>
    <x v="1"/>
    <s v="Ok"/>
    <x v="86"/>
    <x v="1"/>
  </r>
  <r>
    <s v="PC-2026-0511"/>
    <x v="126"/>
    <s v="EMP002"/>
    <x v="4"/>
    <x v="0"/>
    <s v="Petty Cash"/>
    <x v="1"/>
    <n v="305000"/>
    <x v="1"/>
    <n v="0"/>
    <x v="6"/>
    <x v="1"/>
    <s v="Ok"/>
    <x v="86"/>
    <x v="1"/>
  </r>
  <r>
    <s v="PC-2026-0512"/>
    <x v="126"/>
    <s v="EMP004"/>
    <x v="14"/>
    <x v="2"/>
    <s v="Petty Cash"/>
    <x v="4"/>
    <n v="225000"/>
    <x v="15"/>
    <n v="50000"/>
    <x v="0"/>
    <x v="0"/>
    <s v="Ok"/>
    <x v="0"/>
    <x v="0"/>
  </r>
  <r>
    <s v="PC-2026-0513"/>
    <x v="126"/>
    <s v="EMP006"/>
    <x v="16"/>
    <x v="6"/>
    <s v="Cash Advance"/>
    <x v="6"/>
    <n v="1150000"/>
    <x v="34"/>
    <n v="300000"/>
    <x v="0"/>
    <x v="0"/>
    <s v="Ok"/>
    <x v="0"/>
    <x v="0"/>
  </r>
  <r>
    <s v="PC-2026-0514"/>
    <x v="127"/>
    <s v="EMP001"/>
    <x v="10"/>
    <x v="4"/>
    <s v="Petty Cash"/>
    <x v="5"/>
    <n v="155000"/>
    <x v="21"/>
    <n v="30000"/>
    <x v="0"/>
    <x v="0"/>
    <s v="Ok"/>
    <x v="0"/>
    <x v="0"/>
  </r>
  <r>
    <s v="PC-2026-0515"/>
    <x v="127"/>
    <s v="EMP003"/>
    <x v="5"/>
    <x v="3"/>
    <s v="Petty Cash"/>
    <x v="6"/>
    <n v="225000"/>
    <x v="15"/>
    <n v="50000"/>
    <x v="0"/>
    <x v="0"/>
    <s v="Ok"/>
    <x v="0"/>
    <x v="0"/>
  </r>
  <r>
    <s v="PC-2026-0516"/>
    <x v="127"/>
    <s v="EMP006"/>
    <x v="16"/>
    <x v="6"/>
    <s v="Petty Cash"/>
    <x v="6"/>
    <n v="325000"/>
    <x v="26"/>
    <n v="25000"/>
    <x v="0"/>
    <x v="0"/>
    <s v="Ok"/>
    <x v="0"/>
    <x v="0"/>
  </r>
  <r>
    <s v="PC-2026-0517"/>
    <x v="127"/>
    <s v="EMP008"/>
    <x v="0"/>
    <x v="0"/>
    <s v="Petty Cash"/>
    <x v="6"/>
    <n v="250000"/>
    <x v="1"/>
    <n v="0"/>
    <x v="53"/>
    <x v="1"/>
    <s v="Ok"/>
    <x v="87"/>
    <x v="1"/>
  </r>
  <r>
    <s v="PC-2026-0518"/>
    <x v="127"/>
    <s v="EMP009"/>
    <x v="6"/>
    <x v="4"/>
    <s v="Petty Cash"/>
    <x v="3"/>
    <n v="550000"/>
    <x v="12"/>
    <n v="100000"/>
    <x v="0"/>
    <x v="0"/>
    <s v="Ok"/>
    <x v="0"/>
    <x v="0"/>
  </r>
  <r>
    <s v="PC-2026-0519"/>
    <x v="127"/>
    <s v="EMP012"/>
    <x v="9"/>
    <x v="5"/>
    <s v="Cash Advance"/>
    <x v="2"/>
    <n v="1450000"/>
    <x v="1"/>
    <n v="0"/>
    <x v="42"/>
    <x v="1"/>
    <s v="Ok"/>
    <x v="87"/>
    <x v="1"/>
  </r>
  <r>
    <s v="PC-2026-0520"/>
    <x v="128"/>
    <s v="EMP003"/>
    <x v="5"/>
    <x v="3"/>
    <s v="Petty Cash"/>
    <x v="4"/>
    <n v="725000"/>
    <x v="41"/>
    <n v="25000"/>
    <x v="0"/>
    <x v="0"/>
    <s v="Ok"/>
    <x v="0"/>
    <x v="0"/>
  </r>
  <r>
    <s v="PC-2026-0521"/>
    <x v="128"/>
    <s v="EMP012"/>
    <x v="9"/>
    <x v="5"/>
    <s v="Cash Advance"/>
    <x v="1"/>
    <n v="455000"/>
    <x v="19"/>
    <n v="105000"/>
    <x v="0"/>
    <x v="0"/>
    <s v="Ok"/>
    <x v="0"/>
    <x v="0"/>
  </r>
  <r>
    <s v="PC-2026-0522"/>
    <x v="128"/>
    <s v="EMP015"/>
    <x v="17"/>
    <x v="4"/>
    <s v="Petty Cash"/>
    <x v="3"/>
    <n v="600000"/>
    <x v="12"/>
    <n v="150000"/>
    <x v="0"/>
    <x v="0"/>
    <s v="Ok"/>
    <x v="0"/>
    <x v="0"/>
  </r>
  <r>
    <s v="PC-2026-0523"/>
    <x v="128"/>
    <s v="EMP018"/>
    <x v="2"/>
    <x v="2"/>
    <s v="Cash Advance"/>
    <x v="2"/>
    <n v="525000"/>
    <x v="7"/>
    <n v="150000"/>
    <x v="0"/>
    <x v="0"/>
    <s v="Ok"/>
    <x v="0"/>
    <x v="0"/>
  </r>
  <r>
    <s v="PC-2026-0524"/>
    <x v="128"/>
    <s v="EMP018"/>
    <x v="2"/>
    <x v="2"/>
    <s v="Cash Advance"/>
    <x v="0"/>
    <n v="3525000"/>
    <x v="1"/>
    <n v="0"/>
    <x v="69"/>
    <x v="1"/>
    <s v="Ok"/>
    <x v="88"/>
    <x v="1"/>
  </r>
  <r>
    <s v="PC-2026-0525"/>
    <x v="128"/>
    <s v="EMP019"/>
    <x v="15"/>
    <x v="1"/>
    <s v="Cash Advance"/>
    <x v="5"/>
    <n v="205000"/>
    <x v="22"/>
    <n v="5000"/>
    <x v="0"/>
    <x v="0"/>
    <s v="Ok"/>
    <x v="0"/>
    <x v="0"/>
  </r>
  <r>
    <s v="PC-2026-0526"/>
    <x v="128"/>
    <s v="EMP019"/>
    <x v="15"/>
    <x v="1"/>
    <s v="Cash Advance"/>
    <x v="5"/>
    <n v="30000"/>
    <x v="60"/>
    <n v="5000"/>
    <x v="0"/>
    <x v="0"/>
    <s v="Ok"/>
    <x v="0"/>
    <x v="0"/>
  </r>
  <r>
    <s v="PC-2026-0527"/>
    <x v="129"/>
    <s v="EMP018"/>
    <x v="2"/>
    <x v="2"/>
    <s v="Cash Advance"/>
    <x v="3"/>
    <n v="250000"/>
    <x v="1"/>
    <n v="0"/>
    <x v="53"/>
    <x v="1"/>
    <s v="Ok"/>
    <x v="89"/>
    <x v="1"/>
  </r>
  <r>
    <s v="PC-2026-0528"/>
    <x v="129"/>
    <s v="EMP020"/>
    <x v="3"/>
    <x v="3"/>
    <s v="Cash Advance"/>
    <x v="2"/>
    <n v="500000"/>
    <x v="7"/>
    <n v="125000"/>
    <x v="0"/>
    <x v="0"/>
    <s v="Ok"/>
    <x v="0"/>
    <x v="0"/>
  </r>
  <r>
    <s v="PC-2026-0529"/>
    <x v="130"/>
    <s v="EMP012"/>
    <x v="9"/>
    <x v="5"/>
    <s v="Petty Cash"/>
    <x v="1"/>
    <n v="30000"/>
    <x v="60"/>
    <n v="5000"/>
    <x v="0"/>
    <x v="0"/>
    <s v="Ok"/>
    <x v="0"/>
    <x v="0"/>
  </r>
  <r>
    <s v="PC-2026-0530"/>
    <x v="130"/>
    <s v="EMP012"/>
    <x v="9"/>
    <x v="5"/>
    <s v="Petty Cash"/>
    <x v="5"/>
    <n v="405000"/>
    <x v="1"/>
    <n v="0"/>
    <x v="46"/>
    <x v="1"/>
    <s v="Ok"/>
    <x v="90"/>
    <x v="1"/>
  </r>
  <r>
    <s v="PC-2026-0531"/>
    <x v="131"/>
    <s v="EMP004"/>
    <x v="14"/>
    <x v="2"/>
    <s v="Cash Advance"/>
    <x v="1"/>
    <n v="155000"/>
    <x v="21"/>
    <n v="30000"/>
    <x v="0"/>
    <x v="0"/>
    <s v="Ok"/>
    <x v="0"/>
    <x v="0"/>
  </r>
  <r>
    <s v="PC-2026-0532"/>
    <x v="131"/>
    <s v="EMP006"/>
    <x v="16"/>
    <x v="6"/>
    <s v="Petty Cash"/>
    <x v="4"/>
    <n v="525000"/>
    <x v="46"/>
    <n v="0"/>
    <x v="0"/>
    <x v="0"/>
    <s v="Ok"/>
    <x v="0"/>
    <x v="0"/>
  </r>
  <r>
    <s v="PC-2026-0533"/>
    <x v="131"/>
    <s v="EMP007"/>
    <x v="8"/>
    <x v="5"/>
    <s v="Cash Advance"/>
    <x v="3"/>
    <n v="100000"/>
    <x v="1"/>
    <n v="0"/>
    <x v="15"/>
    <x v="1"/>
    <s v="Ok"/>
    <x v="91"/>
    <x v="1"/>
  </r>
  <r>
    <s v="PC-2026-0534"/>
    <x v="131"/>
    <s v="EMP008"/>
    <x v="0"/>
    <x v="0"/>
    <s v="Cash Advance"/>
    <x v="6"/>
    <n v="925000"/>
    <x v="1"/>
    <n v="0"/>
    <x v="70"/>
    <x v="1"/>
    <s v="Ok"/>
    <x v="91"/>
    <x v="1"/>
  </r>
  <r>
    <s v="PC-2026-0535"/>
    <x v="132"/>
    <s v="EMP004"/>
    <x v="14"/>
    <x v="2"/>
    <s v="Petty Cash"/>
    <x v="2"/>
    <n v="850000"/>
    <x v="1"/>
    <n v="0"/>
    <x v="71"/>
    <x v="1"/>
    <s v="Ok"/>
    <x v="92"/>
    <x v="1"/>
  </r>
  <r>
    <s v="PC-2026-0536"/>
    <x v="132"/>
    <s v="EMP007"/>
    <x v="8"/>
    <x v="5"/>
    <s v="Petty Cash"/>
    <x v="5"/>
    <n v="105000"/>
    <x v="30"/>
    <n v="5000"/>
    <x v="0"/>
    <x v="0"/>
    <s v="Ok"/>
    <x v="0"/>
    <x v="0"/>
  </r>
  <r>
    <s v="PC-2026-0537"/>
    <x v="132"/>
    <s v="EMP007"/>
    <x v="8"/>
    <x v="5"/>
    <s v="Petty Cash"/>
    <x v="7"/>
    <n v="700000"/>
    <x v="46"/>
    <n v="175000"/>
    <x v="0"/>
    <x v="0"/>
    <s v="Ok"/>
    <x v="0"/>
    <x v="0"/>
  </r>
  <r>
    <s v="PC-2026-0538"/>
    <x v="132"/>
    <s v="EMP007"/>
    <x v="8"/>
    <x v="5"/>
    <s v="Cash Advance"/>
    <x v="1"/>
    <n v="280000"/>
    <x v="27"/>
    <n v="30000"/>
    <x v="0"/>
    <x v="0"/>
    <s v="Ok"/>
    <x v="0"/>
    <x v="0"/>
  </r>
  <r>
    <s v="PC-2026-0539"/>
    <x v="132"/>
    <s v="EMP019"/>
    <x v="15"/>
    <x v="1"/>
    <s v="Petty Cash"/>
    <x v="7"/>
    <n v="175000"/>
    <x v="21"/>
    <n v="50000"/>
    <x v="0"/>
    <x v="0"/>
    <s v="Ok"/>
    <x v="0"/>
    <x v="0"/>
  </r>
  <r>
    <s v="PC-2026-0540"/>
    <x v="133"/>
    <s v="EMP002"/>
    <x v="4"/>
    <x v="0"/>
    <s v="Cash Advance"/>
    <x v="3"/>
    <n v="575000"/>
    <x v="42"/>
    <n v="150000"/>
    <x v="0"/>
    <x v="0"/>
    <s v="Ok"/>
    <x v="0"/>
    <x v="0"/>
  </r>
  <r>
    <s v="PC-2026-0541"/>
    <x v="133"/>
    <s v="EMP003"/>
    <x v="5"/>
    <x v="3"/>
    <s v="Cash Advance"/>
    <x v="6"/>
    <n v="250000"/>
    <x v="27"/>
    <n v="0"/>
    <x v="0"/>
    <x v="0"/>
    <s v="Ok"/>
    <x v="0"/>
    <x v="0"/>
  </r>
  <r>
    <s v="PC-2026-0542"/>
    <x v="133"/>
    <s v="EMP003"/>
    <x v="5"/>
    <x v="3"/>
    <s v="Petty Cash"/>
    <x v="1"/>
    <n v="330000"/>
    <x v="26"/>
    <n v="30000"/>
    <x v="0"/>
    <x v="0"/>
    <s v="Ok"/>
    <x v="0"/>
    <x v="0"/>
  </r>
  <r>
    <s v="PC-2026-0543"/>
    <x v="133"/>
    <s v="EMP016"/>
    <x v="18"/>
    <x v="0"/>
    <s v="Cash Advance"/>
    <x v="7"/>
    <n v="700000"/>
    <x v="23"/>
    <n v="75000"/>
    <x v="0"/>
    <x v="0"/>
    <s v="Ok"/>
    <x v="0"/>
    <x v="0"/>
  </r>
  <r>
    <s v="PC-2026-0544"/>
    <x v="134"/>
    <s v="EMP012"/>
    <x v="9"/>
    <x v="5"/>
    <s v="Petty Cash"/>
    <x v="0"/>
    <n v="1550000"/>
    <x v="1"/>
    <n v="0"/>
    <x v="72"/>
    <x v="1"/>
    <s v="Ok"/>
    <x v="93"/>
    <x v="1"/>
  </r>
  <r>
    <s v="PC-2026-0545"/>
    <x v="134"/>
    <s v="EMP013"/>
    <x v="1"/>
    <x v="1"/>
    <s v="Cash Advance"/>
    <x v="2"/>
    <n v="1425000"/>
    <x v="6"/>
    <n v="400000"/>
    <x v="0"/>
    <x v="0"/>
    <s v="Ok"/>
    <x v="0"/>
    <x v="0"/>
  </r>
  <r>
    <s v="PC-2026-0546"/>
    <x v="134"/>
    <s v="EMP013"/>
    <x v="1"/>
    <x v="1"/>
    <s v="Cash Advance"/>
    <x v="4"/>
    <n v="300000"/>
    <x v="9"/>
    <n v="75000"/>
    <x v="0"/>
    <x v="0"/>
    <s v="Ok"/>
    <x v="0"/>
    <x v="0"/>
  </r>
  <r>
    <s v="PC-2026-0547"/>
    <x v="134"/>
    <s v="EMP014"/>
    <x v="12"/>
    <x v="6"/>
    <s v="Cash Advance"/>
    <x v="3"/>
    <n v="400000"/>
    <x v="19"/>
    <n v="50000"/>
    <x v="0"/>
    <x v="0"/>
    <s v="Ok"/>
    <x v="0"/>
    <x v="0"/>
  </r>
  <r>
    <s v="PC-2026-0548"/>
    <x v="134"/>
    <s v="EMP018"/>
    <x v="2"/>
    <x v="2"/>
    <s v="Cash Advance"/>
    <x v="6"/>
    <n v="700000"/>
    <x v="33"/>
    <n v="50000"/>
    <x v="0"/>
    <x v="0"/>
    <s v="Ok"/>
    <x v="0"/>
    <x v="0"/>
  </r>
  <r>
    <s v="PC-2026-0549"/>
    <x v="134"/>
    <s v="EMP020"/>
    <x v="3"/>
    <x v="3"/>
    <s v="Cash Advance"/>
    <x v="0"/>
    <n v="2000000"/>
    <x v="35"/>
    <n v="400000"/>
    <x v="0"/>
    <x v="0"/>
    <s v="Ok"/>
    <x v="0"/>
    <x v="0"/>
  </r>
  <r>
    <s v="PC-2026-0550"/>
    <x v="135"/>
    <s v="EMP009"/>
    <x v="6"/>
    <x v="4"/>
    <s v="Petty Cash"/>
    <x v="4"/>
    <n v="425000"/>
    <x v="1"/>
    <n v="0"/>
    <x v="38"/>
    <x v="1"/>
    <s v="Ok"/>
    <x v="94"/>
    <x v="1"/>
  </r>
  <r>
    <s v="PC-2026-0551"/>
    <x v="135"/>
    <s v="EMP018"/>
    <x v="2"/>
    <x v="2"/>
    <s v="Petty Cash"/>
    <x v="3"/>
    <n v="175000"/>
    <x v="1"/>
    <n v="0"/>
    <x v="12"/>
    <x v="1"/>
    <s v="Ok"/>
    <x v="94"/>
    <x v="1"/>
  </r>
  <r>
    <s v="PC-2026-0552"/>
    <x v="136"/>
    <s v="EMP005"/>
    <x v="11"/>
    <x v="1"/>
    <s v="Cash Advance"/>
    <x v="3"/>
    <n v="275000"/>
    <x v="1"/>
    <n v="0"/>
    <x v="16"/>
    <x v="1"/>
    <s v="Ok"/>
    <x v="95"/>
    <x v="1"/>
  </r>
  <r>
    <s v="PC-2026-0553"/>
    <x v="136"/>
    <s v="EMP013"/>
    <x v="1"/>
    <x v="1"/>
    <s v="Petty Cash"/>
    <x v="3"/>
    <n v="275000"/>
    <x v="1"/>
    <n v="0"/>
    <x v="16"/>
    <x v="1"/>
    <s v="Ok"/>
    <x v="95"/>
    <x v="1"/>
  </r>
  <r>
    <s v="PC-2026-0554"/>
    <x v="136"/>
    <s v="EMP019"/>
    <x v="15"/>
    <x v="1"/>
    <s v="Petty Cash"/>
    <x v="6"/>
    <n v="675000"/>
    <x v="23"/>
    <n v="50000"/>
    <x v="0"/>
    <x v="0"/>
    <s v="Ok"/>
    <x v="0"/>
    <x v="0"/>
  </r>
  <r>
    <s v="PC-2026-0555"/>
    <x v="136"/>
    <s v="EMP020"/>
    <x v="3"/>
    <x v="3"/>
    <s v="Cash Advance"/>
    <x v="2"/>
    <n v="1225000"/>
    <x v="67"/>
    <n v="300000"/>
    <x v="0"/>
    <x v="0"/>
    <s v="Ok"/>
    <x v="0"/>
    <x v="0"/>
  </r>
  <r>
    <s v="PC-2026-0556"/>
    <x v="137"/>
    <s v="EMP003"/>
    <x v="5"/>
    <x v="3"/>
    <s v="Cash Advance"/>
    <x v="7"/>
    <n v="600000"/>
    <x v="55"/>
    <n v="25000"/>
    <x v="0"/>
    <x v="0"/>
    <s v="Ok"/>
    <x v="0"/>
    <x v="0"/>
  </r>
  <r>
    <s v="PC-2026-0557"/>
    <x v="137"/>
    <s v="EMP008"/>
    <x v="0"/>
    <x v="0"/>
    <s v="Cash Advance"/>
    <x v="4"/>
    <n v="275000"/>
    <x v="9"/>
    <n v="50000"/>
    <x v="0"/>
    <x v="0"/>
    <s v="Ok"/>
    <x v="0"/>
    <x v="0"/>
  </r>
  <r>
    <s v="PC-2026-0558"/>
    <x v="137"/>
    <s v="EMP008"/>
    <x v="0"/>
    <x v="0"/>
    <s v="Cash Advance"/>
    <x v="4"/>
    <n v="600000"/>
    <x v="42"/>
    <n v="175000"/>
    <x v="0"/>
    <x v="0"/>
    <s v="Ok"/>
    <x v="0"/>
    <x v="0"/>
  </r>
  <r>
    <s v="PC-2026-0559"/>
    <x v="137"/>
    <s v="EMP009"/>
    <x v="6"/>
    <x v="4"/>
    <s v="Cash Advance"/>
    <x v="4"/>
    <n v="875000"/>
    <x v="58"/>
    <n v="150000"/>
    <x v="0"/>
    <x v="0"/>
    <s v="Ok"/>
    <x v="0"/>
    <x v="0"/>
  </r>
  <r>
    <s v="PC-2026-0560"/>
    <x v="137"/>
    <s v="EMP010"/>
    <x v="7"/>
    <x v="2"/>
    <s v="Petty Cash"/>
    <x v="2"/>
    <n v="1000000"/>
    <x v="28"/>
    <n v="225000"/>
    <x v="0"/>
    <x v="0"/>
    <s v="Ok"/>
    <x v="0"/>
    <x v="0"/>
  </r>
  <r>
    <s v="PC-2026-0561"/>
    <x v="137"/>
    <s v="EMP012"/>
    <x v="9"/>
    <x v="5"/>
    <s v="Petty Cash"/>
    <x v="4"/>
    <n v="775000"/>
    <x v="1"/>
    <n v="0"/>
    <x v="21"/>
    <x v="1"/>
    <s v="Ok"/>
    <x v="96"/>
    <x v="1"/>
  </r>
  <r>
    <s v="PC-2026-0562"/>
    <x v="137"/>
    <s v="EMP015"/>
    <x v="17"/>
    <x v="4"/>
    <s v="Petty Cash"/>
    <x v="0"/>
    <n v="1275000"/>
    <x v="73"/>
    <n v="25000"/>
    <x v="0"/>
    <x v="0"/>
    <s v="Ok"/>
    <x v="0"/>
    <x v="0"/>
  </r>
  <r>
    <s v="PC-2026-0563"/>
    <x v="137"/>
    <s v="EMP019"/>
    <x v="15"/>
    <x v="1"/>
    <s v="Petty Cash"/>
    <x v="2"/>
    <n v="1475000"/>
    <x v="50"/>
    <n v="350000"/>
    <x v="0"/>
    <x v="0"/>
    <s v="Ok"/>
    <x v="0"/>
    <x v="0"/>
  </r>
  <r>
    <s v="PC-2026-0564"/>
    <x v="138"/>
    <s v="EMP005"/>
    <x v="11"/>
    <x v="1"/>
    <s v="Cash Advance"/>
    <x v="6"/>
    <n v="1075000"/>
    <x v="68"/>
    <n v="125000"/>
    <x v="0"/>
    <x v="0"/>
    <s v="Ok"/>
    <x v="0"/>
    <x v="0"/>
  </r>
  <r>
    <s v="PC-2026-0565"/>
    <x v="138"/>
    <s v="EMP006"/>
    <x v="16"/>
    <x v="6"/>
    <s v="Cash Advance"/>
    <x v="3"/>
    <n v="100000"/>
    <x v="10"/>
    <n v="25000"/>
    <x v="0"/>
    <x v="0"/>
    <s v="Ok"/>
    <x v="0"/>
    <x v="0"/>
  </r>
  <r>
    <s v="PC-2026-0566"/>
    <x v="138"/>
    <s v="EMP012"/>
    <x v="9"/>
    <x v="5"/>
    <s v="Petty Cash"/>
    <x v="6"/>
    <n v="225000"/>
    <x v="15"/>
    <n v="50000"/>
    <x v="0"/>
    <x v="0"/>
    <s v="Ok"/>
    <x v="0"/>
    <x v="0"/>
  </r>
  <r>
    <s v="PC-2026-0567"/>
    <x v="138"/>
    <s v="EMP012"/>
    <x v="9"/>
    <x v="5"/>
    <s v="Petty Cash"/>
    <x v="5"/>
    <n v="80000"/>
    <x v="4"/>
    <n v="30000"/>
    <x v="0"/>
    <x v="0"/>
    <s v="Ok"/>
    <x v="0"/>
    <x v="0"/>
  </r>
  <r>
    <s v="PC-2026-0568"/>
    <x v="138"/>
    <s v="EMP019"/>
    <x v="15"/>
    <x v="1"/>
    <s v="Cash Advance"/>
    <x v="0"/>
    <n v="2800000"/>
    <x v="49"/>
    <n v="25000"/>
    <x v="0"/>
    <x v="0"/>
    <s v="Ok"/>
    <x v="0"/>
    <x v="0"/>
  </r>
  <r>
    <s v="PC-2026-0569"/>
    <x v="139"/>
    <s v="EMP001"/>
    <x v="10"/>
    <x v="4"/>
    <s v="Cash Advance"/>
    <x v="7"/>
    <n v="475000"/>
    <x v="5"/>
    <n v="75000"/>
    <x v="0"/>
    <x v="0"/>
    <s v="Ok"/>
    <x v="0"/>
    <x v="0"/>
  </r>
  <r>
    <s v="PC-2026-0570"/>
    <x v="139"/>
    <s v="EMP002"/>
    <x v="4"/>
    <x v="0"/>
    <s v="Petty Cash"/>
    <x v="2"/>
    <n v="1200000"/>
    <x v="54"/>
    <n v="25000"/>
    <x v="0"/>
    <x v="0"/>
    <s v="Ok"/>
    <x v="0"/>
    <x v="0"/>
  </r>
  <r>
    <s v="PC-2026-0571"/>
    <x v="139"/>
    <s v="EMP017"/>
    <x v="13"/>
    <x v="5"/>
    <s v="Cash Advance"/>
    <x v="4"/>
    <n v="250000"/>
    <x v="9"/>
    <n v="25000"/>
    <x v="0"/>
    <x v="0"/>
    <s v="Ok"/>
    <x v="0"/>
    <x v="0"/>
  </r>
  <r>
    <s v="PC-2026-0572"/>
    <x v="140"/>
    <s v="EMP002"/>
    <x v="4"/>
    <x v="0"/>
    <s v="Petty Cash"/>
    <x v="7"/>
    <n v="225000"/>
    <x v="15"/>
    <n v="50000"/>
    <x v="0"/>
    <x v="0"/>
    <s v="Ok"/>
    <x v="0"/>
    <x v="0"/>
  </r>
  <r>
    <s v="PC-2026-0573"/>
    <x v="140"/>
    <s v="EMP002"/>
    <x v="4"/>
    <x v="0"/>
    <s v="Cash Advance"/>
    <x v="5"/>
    <n v="130000"/>
    <x v="30"/>
    <n v="30000"/>
    <x v="0"/>
    <x v="0"/>
    <s v="Ok"/>
    <x v="0"/>
    <x v="0"/>
  </r>
  <r>
    <s v="PC-2026-0574"/>
    <x v="140"/>
    <s v="EMP006"/>
    <x v="16"/>
    <x v="6"/>
    <s v="Cash Advance"/>
    <x v="4"/>
    <n v="725000"/>
    <x v="23"/>
    <n v="100000"/>
    <x v="0"/>
    <x v="0"/>
    <s v="Ok"/>
    <x v="0"/>
    <x v="0"/>
  </r>
  <r>
    <s v="PC-2026-0575"/>
    <x v="140"/>
    <s v="EMP011"/>
    <x v="19"/>
    <x v="3"/>
    <s v="Petty Cash"/>
    <x v="7"/>
    <n v="400000"/>
    <x v="1"/>
    <n v="0"/>
    <x v="3"/>
    <x v="1"/>
    <s v="Ok"/>
    <x v="97"/>
    <x v="1"/>
  </r>
  <r>
    <s v="PC-2026-0576"/>
    <x v="140"/>
    <s v="EMP011"/>
    <x v="19"/>
    <x v="3"/>
    <s v="Cash Advance"/>
    <x v="0"/>
    <n v="1775000"/>
    <x v="1"/>
    <n v="0"/>
    <x v="73"/>
    <x v="1"/>
    <s v="Ok"/>
    <x v="97"/>
    <x v="1"/>
  </r>
  <r>
    <s v="PC-2026-0577"/>
    <x v="140"/>
    <s v="EMP014"/>
    <x v="12"/>
    <x v="6"/>
    <s v="Petty Cash"/>
    <x v="7"/>
    <n v="325000"/>
    <x v="27"/>
    <n v="75000"/>
    <x v="0"/>
    <x v="0"/>
    <s v="Ok"/>
    <x v="0"/>
    <x v="0"/>
  </r>
  <r>
    <s v="PC-2026-0578"/>
    <x v="141"/>
    <s v="EMP009"/>
    <x v="6"/>
    <x v="4"/>
    <s v="Cash Advance"/>
    <x v="2"/>
    <n v="225000"/>
    <x v="15"/>
    <n v="50000"/>
    <x v="0"/>
    <x v="0"/>
    <s v="Ok"/>
    <x v="0"/>
    <x v="0"/>
  </r>
  <r>
    <s v="PC-2026-0579"/>
    <x v="141"/>
    <s v="EMP009"/>
    <x v="6"/>
    <x v="4"/>
    <s v="Cash Advance"/>
    <x v="2"/>
    <n v="500000"/>
    <x v="42"/>
    <n v="75000"/>
    <x v="0"/>
    <x v="0"/>
    <s v="Ok"/>
    <x v="0"/>
    <x v="0"/>
  </r>
  <r>
    <s v="PC-2026-0580"/>
    <x v="141"/>
    <s v="EMP011"/>
    <x v="19"/>
    <x v="3"/>
    <s v="Petty Cash"/>
    <x v="1"/>
    <n v="180000"/>
    <x v="20"/>
    <n v="30000"/>
    <x v="0"/>
    <x v="0"/>
    <s v="Ok"/>
    <x v="0"/>
    <x v="0"/>
  </r>
  <r>
    <s v="PC-2026-0581"/>
    <x v="142"/>
    <s v="EMP010"/>
    <x v="7"/>
    <x v="2"/>
    <s v="Cash Advance"/>
    <x v="6"/>
    <n v="350000"/>
    <x v="1"/>
    <n v="0"/>
    <x v="59"/>
    <x v="1"/>
    <s v="Ok"/>
    <x v="98"/>
    <x v="1"/>
  </r>
  <r>
    <s v="PC-2026-0582"/>
    <x v="142"/>
    <s v="EMP012"/>
    <x v="9"/>
    <x v="5"/>
    <s v="Petty Cash"/>
    <x v="0"/>
    <n v="2325000"/>
    <x v="65"/>
    <n v="575000"/>
    <x v="0"/>
    <x v="0"/>
    <s v="Ok"/>
    <x v="0"/>
    <x v="0"/>
  </r>
  <r>
    <s v="PC-2026-0583"/>
    <x v="142"/>
    <s v="EMP012"/>
    <x v="9"/>
    <x v="5"/>
    <s v="Petty Cash"/>
    <x v="0"/>
    <n v="2400000"/>
    <x v="79"/>
    <n v="200000"/>
    <x v="0"/>
    <x v="0"/>
    <s v="Ok"/>
    <x v="0"/>
    <x v="0"/>
  </r>
  <r>
    <s v="PC-2026-0584"/>
    <x v="142"/>
    <s v="EMP016"/>
    <x v="18"/>
    <x v="0"/>
    <s v="Cash Advance"/>
    <x v="7"/>
    <n v="550000"/>
    <x v="13"/>
    <n v="75000"/>
    <x v="0"/>
    <x v="0"/>
    <s v="Ok"/>
    <x v="0"/>
    <x v="0"/>
  </r>
  <r>
    <s v="PC-2026-0585"/>
    <x v="142"/>
    <s v="EMP018"/>
    <x v="2"/>
    <x v="2"/>
    <s v="Cash Advance"/>
    <x v="3"/>
    <n v="375000"/>
    <x v="26"/>
    <n v="75000"/>
    <x v="0"/>
    <x v="0"/>
    <s v="Ok"/>
    <x v="0"/>
    <x v="0"/>
  </r>
  <r>
    <s v="PC-2026-0586"/>
    <x v="142"/>
    <s v="EMP019"/>
    <x v="15"/>
    <x v="1"/>
    <s v="Cash Advance"/>
    <x v="0"/>
    <n v="950000"/>
    <x v="28"/>
    <n v="175000"/>
    <x v="0"/>
    <x v="0"/>
    <s v="Ok"/>
    <x v="0"/>
    <x v="0"/>
  </r>
  <r>
    <s v="PC-2026-0587"/>
    <x v="143"/>
    <s v="EMP011"/>
    <x v="19"/>
    <x v="3"/>
    <s v="Petty Cash"/>
    <x v="3"/>
    <n v="450000"/>
    <x v="12"/>
    <n v="0"/>
    <x v="0"/>
    <x v="0"/>
    <s v="Ok"/>
    <x v="0"/>
    <x v="0"/>
  </r>
  <r>
    <s v="PC-2026-0588"/>
    <x v="143"/>
    <s v="EMP018"/>
    <x v="2"/>
    <x v="2"/>
    <s v="Cash Advance"/>
    <x v="2"/>
    <n v="325000"/>
    <x v="1"/>
    <n v="0"/>
    <x v="13"/>
    <x v="1"/>
    <s v="Ok"/>
    <x v="99"/>
    <x v="1"/>
  </r>
  <r>
    <s v="PC-2026-0589"/>
    <x v="144"/>
    <s v="EMP008"/>
    <x v="0"/>
    <x v="0"/>
    <s v="Petty Cash"/>
    <x v="1"/>
    <n v="455000"/>
    <x v="42"/>
    <n v="30000"/>
    <x v="0"/>
    <x v="0"/>
    <s v="Ok"/>
    <x v="0"/>
    <x v="0"/>
  </r>
  <r>
    <s v="PC-2026-0590"/>
    <x v="144"/>
    <s v="EMP010"/>
    <x v="7"/>
    <x v="2"/>
    <s v="Petty Cash"/>
    <x v="2"/>
    <n v="375000"/>
    <x v="40"/>
    <n v="50000"/>
    <x v="0"/>
    <x v="0"/>
    <s v="Ok"/>
    <x v="0"/>
    <x v="0"/>
  </r>
  <r>
    <s v="PC-2026-0591"/>
    <x v="144"/>
    <s v="EMP010"/>
    <x v="7"/>
    <x v="2"/>
    <s v="Petty Cash"/>
    <x v="0"/>
    <n v="3275000"/>
    <x v="1"/>
    <n v="0"/>
    <x v="74"/>
    <x v="1"/>
    <s v="Ok"/>
    <x v="100"/>
    <x v="1"/>
  </r>
  <r>
    <s v="PC-2026-0592"/>
    <x v="144"/>
    <s v="EMP014"/>
    <x v="12"/>
    <x v="6"/>
    <s v="Petty Cash"/>
    <x v="5"/>
    <n v="130000"/>
    <x v="30"/>
    <n v="30000"/>
    <x v="0"/>
    <x v="0"/>
    <s v="Ok"/>
    <x v="0"/>
    <x v="0"/>
  </r>
  <r>
    <s v="PC-2026-0593"/>
    <x v="144"/>
    <s v="EMP015"/>
    <x v="17"/>
    <x v="4"/>
    <s v="Petty Cash"/>
    <x v="7"/>
    <n v="300000"/>
    <x v="1"/>
    <n v="0"/>
    <x v="75"/>
    <x v="1"/>
    <s v="Ok"/>
    <x v="100"/>
    <x v="1"/>
  </r>
  <r>
    <s v="PC-2026-0594"/>
    <x v="144"/>
    <s v="EMP017"/>
    <x v="13"/>
    <x v="5"/>
    <s v="Cash Advance"/>
    <x v="4"/>
    <n v="900000"/>
    <x v="41"/>
    <n v="200000"/>
    <x v="0"/>
    <x v="0"/>
    <s v="Ok"/>
    <x v="0"/>
    <x v="0"/>
  </r>
  <r>
    <s v="PC-2026-0595"/>
    <x v="145"/>
    <s v="EMP006"/>
    <x v="16"/>
    <x v="6"/>
    <s v="Cash Advance"/>
    <x v="0"/>
    <n v="650000"/>
    <x v="46"/>
    <n v="125000"/>
    <x v="0"/>
    <x v="0"/>
    <s v="Ok"/>
    <x v="0"/>
    <x v="0"/>
  </r>
  <r>
    <s v="PC-2026-0596"/>
    <x v="145"/>
    <s v="EMP008"/>
    <x v="0"/>
    <x v="0"/>
    <s v="Cash Advance"/>
    <x v="7"/>
    <n v="75000"/>
    <x v="4"/>
    <n v="25000"/>
    <x v="0"/>
    <x v="0"/>
    <s v="Ok"/>
    <x v="0"/>
    <x v="0"/>
  </r>
  <r>
    <s v="PC-2026-0597"/>
    <x v="145"/>
    <s v="EMP010"/>
    <x v="7"/>
    <x v="2"/>
    <s v="Cash Advance"/>
    <x v="3"/>
    <n v="275000"/>
    <x v="27"/>
    <n v="25000"/>
    <x v="0"/>
    <x v="0"/>
    <s v="Ok"/>
    <x v="0"/>
    <x v="0"/>
  </r>
  <r>
    <s v="PC-2026-0598"/>
    <x v="145"/>
    <s v="EMP013"/>
    <x v="1"/>
    <x v="1"/>
    <s v="Petty Cash"/>
    <x v="5"/>
    <n v="130000"/>
    <x v="30"/>
    <n v="30000"/>
    <x v="0"/>
    <x v="0"/>
    <s v="Ok"/>
    <x v="0"/>
    <x v="0"/>
  </r>
  <r>
    <s v="PC-2026-0599"/>
    <x v="145"/>
    <s v="EMP019"/>
    <x v="15"/>
    <x v="1"/>
    <s v="Petty Cash"/>
    <x v="7"/>
    <n v="575000"/>
    <x v="1"/>
    <n v="0"/>
    <x v="20"/>
    <x v="1"/>
    <s v="Ok"/>
    <x v="101"/>
    <x v="1"/>
  </r>
  <r>
    <s v="PC-2026-0600"/>
    <x v="146"/>
    <s v="EMP001"/>
    <x v="10"/>
    <x v="4"/>
    <s v="Petty Cash"/>
    <x v="4"/>
    <n v="675000"/>
    <x v="38"/>
    <n v="75000"/>
    <x v="0"/>
    <x v="0"/>
    <s v="Ok"/>
    <x v="0"/>
    <x v="0"/>
  </r>
  <r>
    <s v="PC-2026-0601"/>
    <x v="146"/>
    <s v="EMP001"/>
    <x v="10"/>
    <x v="4"/>
    <s v="Petty Cash"/>
    <x v="2"/>
    <n v="1225000"/>
    <x v="47"/>
    <n v="175000"/>
    <x v="0"/>
    <x v="0"/>
    <s v="Ok"/>
    <x v="0"/>
    <x v="0"/>
  </r>
  <r>
    <s v="PC-2026-0602"/>
    <x v="146"/>
    <s v="EMP007"/>
    <x v="8"/>
    <x v="5"/>
    <s v="Petty Cash"/>
    <x v="1"/>
    <n v="255000"/>
    <x v="22"/>
    <n v="55000"/>
    <x v="0"/>
    <x v="0"/>
    <s v="Ok"/>
    <x v="0"/>
    <x v="0"/>
  </r>
  <r>
    <s v="PC-2026-0603"/>
    <x v="146"/>
    <s v="EMP013"/>
    <x v="1"/>
    <x v="1"/>
    <s v="Cash Advance"/>
    <x v="5"/>
    <n v="405000"/>
    <x v="1"/>
    <n v="0"/>
    <x v="46"/>
    <x v="1"/>
    <s v="Ok"/>
    <x v="102"/>
    <x v="1"/>
  </r>
  <r>
    <s v="PC-2026-0604"/>
    <x v="146"/>
    <s v="EMP016"/>
    <x v="18"/>
    <x v="0"/>
    <s v="Petty Cash"/>
    <x v="6"/>
    <n v="750000"/>
    <x v="1"/>
    <n v="0"/>
    <x v="57"/>
    <x v="1"/>
    <s v="Ok"/>
    <x v="102"/>
    <x v="1"/>
  </r>
  <r>
    <s v="PC-2026-0605"/>
    <x v="146"/>
    <s v="EMP018"/>
    <x v="2"/>
    <x v="2"/>
    <s v="Cash Advance"/>
    <x v="4"/>
    <n v="825000"/>
    <x v="48"/>
    <n v="75000"/>
    <x v="0"/>
    <x v="0"/>
    <s v="Ok"/>
    <x v="0"/>
    <x v="0"/>
  </r>
  <r>
    <s v="PC-2026-0606"/>
    <x v="147"/>
    <s v="EMP002"/>
    <x v="4"/>
    <x v="0"/>
    <s v="Petty Cash"/>
    <x v="5"/>
    <n v="130000"/>
    <x v="30"/>
    <n v="30000"/>
    <x v="0"/>
    <x v="0"/>
    <s v="Ok"/>
    <x v="0"/>
    <x v="0"/>
  </r>
  <r>
    <s v="PC-2026-0607"/>
    <x v="147"/>
    <s v="EMP009"/>
    <x v="6"/>
    <x v="4"/>
    <s v="Cash Advance"/>
    <x v="1"/>
    <n v="430000"/>
    <x v="5"/>
    <n v="30000"/>
    <x v="0"/>
    <x v="0"/>
    <s v="Ok"/>
    <x v="0"/>
    <x v="0"/>
  </r>
  <r>
    <s v="PC-2026-0608"/>
    <x v="147"/>
    <s v="EMP019"/>
    <x v="15"/>
    <x v="1"/>
    <s v="Petty Cash"/>
    <x v="5"/>
    <n v="130000"/>
    <x v="30"/>
    <n v="30000"/>
    <x v="0"/>
    <x v="0"/>
    <s v="Ok"/>
    <x v="0"/>
    <x v="0"/>
  </r>
  <r>
    <s v="PC-2026-0609"/>
    <x v="148"/>
    <s v="EMP003"/>
    <x v="5"/>
    <x v="3"/>
    <s v="Petty Cash"/>
    <x v="3"/>
    <n v="50000"/>
    <x v="4"/>
    <n v="0"/>
    <x v="0"/>
    <x v="0"/>
    <s v="Ok"/>
    <x v="0"/>
    <x v="0"/>
  </r>
  <r>
    <s v="PC-2026-0610"/>
    <x v="148"/>
    <s v="EMP003"/>
    <x v="5"/>
    <x v="3"/>
    <s v="Cash Advance"/>
    <x v="7"/>
    <n v="150000"/>
    <x v="20"/>
    <n v="0"/>
    <x v="0"/>
    <x v="0"/>
    <s v="Ok"/>
    <x v="0"/>
    <x v="0"/>
  </r>
  <r>
    <s v="PC-2026-0611"/>
    <x v="148"/>
    <s v="EMP009"/>
    <x v="6"/>
    <x v="4"/>
    <s v="Cash Advance"/>
    <x v="6"/>
    <n v="300000"/>
    <x v="17"/>
    <n v="25000"/>
    <x v="0"/>
    <x v="0"/>
    <s v="Ok"/>
    <x v="0"/>
    <x v="0"/>
  </r>
  <r>
    <s v="PC-2026-0612"/>
    <x v="148"/>
    <s v="EMP019"/>
    <x v="15"/>
    <x v="1"/>
    <s v="Petty Cash"/>
    <x v="3"/>
    <n v="125000"/>
    <x v="30"/>
    <n v="25000"/>
    <x v="0"/>
    <x v="0"/>
    <s v="Ok"/>
    <x v="0"/>
    <x v="0"/>
  </r>
  <r>
    <s v="PC-2026-0613"/>
    <x v="149"/>
    <s v="EMP001"/>
    <x v="10"/>
    <x v="4"/>
    <s v="Petty Cash"/>
    <x v="2"/>
    <n v="100000"/>
    <x v="10"/>
    <n v="25000"/>
    <x v="0"/>
    <x v="0"/>
    <s v="Ok"/>
    <x v="0"/>
    <x v="0"/>
  </r>
  <r>
    <s v="PC-2026-0614"/>
    <x v="149"/>
    <s v="EMP004"/>
    <x v="14"/>
    <x v="2"/>
    <s v="Petty Cash"/>
    <x v="6"/>
    <n v="825000"/>
    <x v="8"/>
    <n v="150000"/>
    <x v="0"/>
    <x v="0"/>
    <s v="Ok"/>
    <x v="0"/>
    <x v="0"/>
  </r>
  <r>
    <s v="PC-2026-0615"/>
    <x v="149"/>
    <s v="EMP007"/>
    <x v="8"/>
    <x v="5"/>
    <s v="Petty Cash"/>
    <x v="1"/>
    <n v="305000"/>
    <x v="9"/>
    <n v="80000"/>
    <x v="0"/>
    <x v="0"/>
    <s v="Ok"/>
    <x v="0"/>
    <x v="0"/>
  </r>
  <r>
    <s v="PC-2026-0616"/>
    <x v="149"/>
    <s v="EMP012"/>
    <x v="9"/>
    <x v="5"/>
    <s v="Petty Cash"/>
    <x v="3"/>
    <n v="375000"/>
    <x v="17"/>
    <n v="100000"/>
    <x v="0"/>
    <x v="0"/>
    <s v="Ok"/>
    <x v="0"/>
    <x v="0"/>
  </r>
  <r>
    <s v="PC-2026-0617"/>
    <x v="149"/>
    <s v="EMP014"/>
    <x v="12"/>
    <x v="6"/>
    <s v="Cash Advance"/>
    <x v="3"/>
    <n v="350000"/>
    <x v="1"/>
    <n v="0"/>
    <x v="59"/>
    <x v="1"/>
    <s v="Ok"/>
    <x v="103"/>
    <x v="1"/>
  </r>
  <r>
    <s v="PC-2026-0618"/>
    <x v="149"/>
    <s v="EMP016"/>
    <x v="18"/>
    <x v="0"/>
    <s v="Petty Cash"/>
    <x v="6"/>
    <n v="400000"/>
    <x v="7"/>
    <n v="25000"/>
    <x v="0"/>
    <x v="0"/>
    <s v="Ok"/>
    <x v="0"/>
    <x v="0"/>
  </r>
  <r>
    <s v="PC-2026-0619"/>
    <x v="149"/>
    <s v="EMP019"/>
    <x v="15"/>
    <x v="1"/>
    <s v="Petty Cash"/>
    <x v="0"/>
    <n v="750000"/>
    <x v="41"/>
    <n v="50000"/>
    <x v="0"/>
    <x v="0"/>
    <s v="Ok"/>
    <x v="0"/>
    <x v="0"/>
  </r>
  <r>
    <s v="PC-2026-0620"/>
    <x v="150"/>
    <s v="EMP002"/>
    <x v="4"/>
    <x v="0"/>
    <s v="Cash Advance"/>
    <x v="3"/>
    <n v="125000"/>
    <x v="1"/>
    <n v="0"/>
    <x v="76"/>
    <x v="1"/>
    <s v="Ok"/>
    <x v="104"/>
    <x v="1"/>
  </r>
  <r>
    <s v="PC-2026-0621"/>
    <x v="150"/>
    <s v="EMP006"/>
    <x v="16"/>
    <x v="6"/>
    <s v="Petty Cash"/>
    <x v="7"/>
    <n v="450000"/>
    <x v="5"/>
    <n v="50000"/>
    <x v="0"/>
    <x v="0"/>
    <s v="Ok"/>
    <x v="0"/>
    <x v="0"/>
  </r>
  <r>
    <s v="PC-2026-0622"/>
    <x v="150"/>
    <s v="EMP007"/>
    <x v="8"/>
    <x v="5"/>
    <s v="Petty Cash"/>
    <x v="5"/>
    <n v="230000"/>
    <x v="15"/>
    <n v="55000"/>
    <x v="0"/>
    <x v="0"/>
    <s v="Ok"/>
    <x v="0"/>
    <x v="0"/>
  </r>
  <r>
    <s v="PC-2026-0623"/>
    <x v="150"/>
    <s v="EMP010"/>
    <x v="7"/>
    <x v="2"/>
    <s v="Cash Advance"/>
    <x v="5"/>
    <n v="480000"/>
    <x v="1"/>
    <n v="0"/>
    <x v="18"/>
    <x v="1"/>
    <s v="Ok"/>
    <x v="104"/>
    <x v="1"/>
  </r>
  <r>
    <s v="PC-2026-0624"/>
    <x v="151"/>
    <s v="EMP001"/>
    <x v="10"/>
    <x v="4"/>
    <s v="Petty Cash"/>
    <x v="2"/>
    <n v="1250000"/>
    <x v="67"/>
    <n v="325000"/>
    <x v="0"/>
    <x v="0"/>
    <s v="Ok"/>
    <x v="0"/>
    <x v="0"/>
  </r>
  <r>
    <s v="PC-2026-0625"/>
    <x v="151"/>
    <s v="EMP003"/>
    <x v="5"/>
    <x v="3"/>
    <s v="Petty Cash"/>
    <x v="6"/>
    <n v="750000"/>
    <x v="32"/>
    <n v="200000"/>
    <x v="0"/>
    <x v="0"/>
    <s v="Ok"/>
    <x v="0"/>
    <x v="0"/>
  </r>
  <r>
    <s v="PC-2026-0626"/>
    <x v="151"/>
    <s v="EMP009"/>
    <x v="6"/>
    <x v="4"/>
    <s v="Petty Cash"/>
    <x v="6"/>
    <n v="600000"/>
    <x v="13"/>
    <n v="125000"/>
    <x v="0"/>
    <x v="0"/>
    <s v="Ok"/>
    <x v="0"/>
    <x v="0"/>
  </r>
  <r>
    <s v="PC-2026-0627"/>
    <x v="151"/>
    <s v="EMP014"/>
    <x v="12"/>
    <x v="6"/>
    <s v="Cash Advance"/>
    <x v="7"/>
    <n v="525000"/>
    <x v="46"/>
    <n v="0"/>
    <x v="0"/>
    <x v="0"/>
    <s v="Ok"/>
    <x v="0"/>
    <x v="0"/>
  </r>
  <r>
    <s v="PC-2026-0628"/>
    <x v="151"/>
    <s v="EMP015"/>
    <x v="17"/>
    <x v="4"/>
    <s v="Petty Cash"/>
    <x v="2"/>
    <n v="700000"/>
    <x v="55"/>
    <n v="125000"/>
    <x v="0"/>
    <x v="0"/>
    <s v="Ok"/>
    <x v="0"/>
    <x v="0"/>
  </r>
  <r>
    <s v="PC-2026-0629"/>
    <x v="151"/>
    <s v="EMP016"/>
    <x v="18"/>
    <x v="0"/>
    <s v="Petty Cash"/>
    <x v="5"/>
    <n v="105000"/>
    <x v="10"/>
    <n v="30000"/>
    <x v="0"/>
    <x v="0"/>
    <s v="Ok"/>
    <x v="0"/>
    <x v="0"/>
  </r>
  <r>
    <s v="PC-2026-0630"/>
    <x v="151"/>
    <s v="EMP017"/>
    <x v="13"/>
    <x v="5"/>
    <s v="Cash Advance"/>
    <x v="3"/>
    <n v="200000"/>
    <x v="20"/>
    <n v="50000"/>
    <x v="0"/>
    <x v="0"/>
    <s v="Ok"/>
    <x v="0"/>
    <x v="0"/>
  </r>
  <r>
    <s v="PC-2026-0631"/>
    <x v="151"/>
    <s v="EMP018"/>
    <x v="2"/>
    <x v="2"/>
    <s v="Petty Cash"/>
    <x v="3"/>
    <n v="125000"/>
    <x v="21"/>
    <n v="0"/>
    <x v="0"/>
    <x v="0"/>
    <s v="Ok"/>
    <x v="0"/>
    <x v="0"/>
  </r>
  <r>
    <s v="PC-2026-0632"/>
    <x v="151"/>
    <s v="EMP019"/>
    <x v="15"/>
    <x v="1"/>
    <s v="Cash Advance"/>
    <x v="4"/>
    <n v="300000"/>
    <x v="9"/>
    <n v="75000"/>
    <x v="0"/>
    <x v="0"/>
    <s v="Ok"/>
    <x v="0"/>
    <x v="0"/>
  </r>
  <r>
    <s v="PC-2026-0633"/>
    <x v="151"/>
    <s v="EMP019"/>
    <x v="15"/>
    <x v="1"/>
    <s v="Petty Cash"/>
    <x v="3"/>
    <n v="400000"/>
    <x v="1"/>
    <n v="0"/>
    <x v="3"/>
    <x v="1"/>
    <s v="Ok"/>
    <x v="105"/>
    <x v="1"/>
  </r>
  <r>
    <s v="PC-2026-0634"/>
    <x v="152"/>
    <s v="EMP001"/>
    <x v="10"/>
    <x v="4"/>
    <s v="Cash Advance"/>
    <x v="4"/>
    <n v="250000"/>
    <x v="1"/>
    <n v="0"/>
    <x v="53"/>
    <x v="1"/>
    <s v="Ok"/>
    <x v="106"/>
    <x v="1"/>
  </r>
  <r>
    <s v="PC-2026-0635"/>
    <x v="152"/>
    <s v="EMP003"/>
    <x v="5"/>
    <x v="3"/>
    <s v="Cash Advance"/>
    <x v="7"/>
    <n v="300000"/>
    <x v="27"/>
    <n v="50000"/>
    <x v="0"/>
    <x v="0"/>
    <s v="Ok"/>
    <x v="0"/>
    <x v="0"/>
  </r>
  <r>
    <s v="PC-2026-0636"/>
    <x v="152"/>
    <s v="EMP003"/>
    <x v="5"/>
    <x v="3"/>
    <s v="Petty Cash"/>
    <x v="5"/>
    <n v="480000"/>
    <x v="5"/>
    <n v="80000"/>
    <x v="0"/>
    <x v="0"/>
    <s v="Ok"/>
    <x v="0"/>
    <x v="0"/>
  </r>
  <r>
    <s v="PC-2026-0637"/>
    <x v="152"/>
    <s v="EMP004"/>
    <x v="14"/>
    <x v="2"/>
    <s v="Petty Cash"/>
    <x v="6"/>
    <n v="650000"/>
    <x v="23"/>
    <n v="25000"/>
    <x v="0"/>
    <x v="0"/>
    <s v="Ok"/>
    <x v="0"/>
    <x v="0"/>
  </r>
  <r>
    <s v="PC-2026-0638"/>
    <x v="152"/>
    <s v="EMP007"/>
    <x v="8"/>
    <x v="5"/>
    <s v="Petty Cash"/>
    <x v="3"/>
    <n v="100000"/>
    <x v="30"/>
    <n v="0"/>
    <x v="0"/>
    <x v="0"/>
    <s v="Ok"/>
    <x v="0"/>
    <x v="0"/>
  </r>
  <r>
    <s v="PC-2026-0639"/>
    <x v="152"/>
    <s v="EMP019"/>
    <x v="15"/>
    <x v="1"/>
    <s v="Cash Advance"/>
    <x v="2"/>
    <n v="575000"/>
    <x v="1"/>
    <n v="0"/>
    <x v="20"/>
    <x v="1"/>
    <s v="Ok"/>
    <x v="106"/>
    <x v="1"/>
  </r>
  <r>
    <s v="PC-2026-0640"/>
    <x v="152"/>
    <s v="EMP020"/>
    <x v="3"/>
    <x v="3"/>
    <s v="Petty Cash"/>
    <x v="6"/>
    <n v="850000"/>
    <x v="1"/>
    <n v="0"/>
    <x v="71"/>
    <x v="1"/>
    <s v="Ok"/>
    <x v="106"/>
    <x v="1"/>
  </r>
  <r>
    <s v="PC-2026-0641"/>
    <x v="153"/>
    <s v="EMP009"/>
    <x v="6"/>
    <x v="4"/>
    <s v="Petty Cash"/>
    <x v="0"/>
    <n v="3325000"/>
    <x v="1"/>
    <n v="0"/>
    <x v="77"/>
    <x v="1"/>
    <s v="Ok"/>
    <x v="107"/>
    <x v="1"/>
  </r>
  <r>
    <s v="PC-2026-0642"/>
    <x v="153"/>
    <s v="EMP014"/>
    <x v="12"/>
    <x v="6"/>
    <s v="Petty Cash"/>
    <x v="2"/>
    <n v="800000"/>
    <x v="1"/>
    <n v="0"/>
    <x v="30"/>
    <x v="1"/>
    <s v="Ok"/>
    <x v="107"/>
    <x v="1"/>
  </r>
  <r>
    <s v="PC-2026-0643"/>
    <x v="153"/>
    <s v="EMP015"/>
    <x v="17"/>
    <x v="4"/>
    <s v="Petty Cash"/>
    <x v="1"/>
    <n v="380000"/>
    <x v="26"/>
    <n v="80000"/>
    <x v="0"/>
    <x v="0"/>
    <s v="Ok"/>
    <x v="0"/>
    <x v="0"/>
  </r>
  <r>
    <s v="PC-2026-0644"/>
    <x v="153"/>
    <s v="EMP020"/>
    <x v="3"/>
    <x v="3"/>
    <s v="Petty Cash"/>
    <x v="4"/>
    <n v="650000"/>
    <x v="32"/>
    <n v="100000"/>
    <x v="0"/>
    <x v="0"/>
    <s v="Ok"/>
    <x v="0"/>
    <x v="0"/>
  </r>
  <r>
    <s v="PC-2026-0645"/>
    <x v="154"/>
    <s v="EMP003"/>
    <x v="5"/>
    <x v="3"/>
    <s v="Petty Cash"/>
    <x v="2"/>
    <n v="350000"/>
    <x v="26"/>
    <n v="50000"/>
    <x v="0"/>
    <x v="0"/>
    <s v="Ok"/>
    <x v="0"/>
    <x v="0"/>
  </r>
  <r>
    <s v="PC-2026-0646"/>
    <x v="154"/>
    <s v="EMP014"/>
    <x v="12"/>
    <x v="6"/>
    <s v="Petty Cash"/>
    <x v="2"/>
    <n v="1325000"/>
    <x v="43"/>
    <n v="175000"/>
    <x v="0"/>
    <x v="0"/>
    <s v="Ok"/>
    <x v="0"/>
    <x v="0"/>
  </r>
  <r>
    <s v="PC-2026-0647"/>
    <x v="154"/>
    <s v="EMP019"/>
    <x v="15"/>
    <x v="1"/>
    <s v="Petty Cash"/>
    <x v="1"/>
    <n v="230000"/>
    <x v="22"/>
    <n v="30000"/>
    <x v="0"/>
    <x v="0"/>
    <s v="Ok"/>
    <x v="0"/>
    <x v="0"/>
  </r>
  <r>
    <s v="PC-2026-0648"/>
    <x v="155"/>
    <s v="EMP007"/>
    <x v="8"/>
    <x v="5"/>
    <s v="Cash Advance"/>
    <x v="5"/>
    <n v="105000"/>
    <x v="1"/>
    <n v="0"/>
    <x v="14"/>
    <x v="1"/>
    <s v="Ok"/>
    <x v="108"/>
    <x v="1"/>
  </r>
  <r>
    <s v="PC-2026-0649"/>
    <x v="155"/>
    <s v="EMP010"/>
    <x v="7"/>
    <x v="2"/>
    <s v="Cash Advance"/>
    <x v="6"/>
    <n v="1000000"/>
    <x v="68"/>
    <n v="50000"/>
    <x v="0"/>
    <x v="0"/>
    <s v="Ok"/>
    <x v="0"/>
    <x v="0"/>
  </r>
  <r>
    <s v="PC-2026-0650"/>
    <x v="155"/>
    <s v="EMP012"/>
    <x v="9"/>
    <x v="5"/>
    <s v="Petty Cash"/>
    <x v="1"/>
    <n v="455000"/>
    <x v="19"/>
    <n v="105000"/>
    <x v="0"/>
    <x v="0"/>
    <s v="Ok"/>
    <x v="0"/>
    <x v="0"/>
  </r>
  <r>
    <s v="PC-2026-0651"/>
    <x v="155"/>
    <s v="EMP014"/>
    <x v="12"/>
    <x v="6"/>
    <s v="Petty Cash"/>
    <x v="0"/>
    <n v="2625000"/>
    <x v="1"/>
    <n v="0"/>
    <x v="78"/>
    <x v="1"/>
    <s v="Ok"/>
    <x v="108"/>
    <x v="1"/>
  </r>
  <r>
    <s v="PC-2026-0652"/>
    <x v="156"/>
    <s v="EMP002"/>
    <x v="4"/>
    <x v="0"/>
    <s v="Petty Cash"/>
    <x v="2"/>
    <n v="1125000"/>
    <x v="71"/>
    <n v="225000"/>
    <x v="0"/>
    <x v="0"/>
    <s v="Ok"/>
    <x v="0"/>
    <x v="0"/>
  </r>
  <r>
    <s v="PC-2026-0653"/>
    <x v="156"/>
    <s v="EMP003"/>
    <x v="5"/>
    <x v="3"/>
    <s v="Petty Cash"/>
    <x v="7"/>
    <n v="400000"/>
    <x v="1"/>
    <n v="0"/>
    <x v="3"/>
    <x v="1"/>
    <s v="Ok"/>
    <x v="109"/>
    <x v="1"/>
  </r>
  <r>
    <s v="PC-2026-0654"/>
    <x v="156"/>
    <s v="EMP006"/>
    <x v="16"/>
    <x v="6"/>
    <s v="Petty Cash"/>
    <x v="7"/>
    <n v="475000"/>
    <x v="12"/>
    <n v="25000"/>
    <x v="0"/>
    <x v="0"/>
    <s v="Ok"/>
    <x v="0"/>
    <x v="0"/>
  </r>
  <r>
    <s v="PC-2026-0655"/>
    <x v="156"/>
    <s v="EMP007"/>
    <x v="8"/>
    <x v="5"/>
    <s v="Petty Cash"/>
    <x v="5"/>
    <n v="230000"/>
    <x v="15"/>
    <n v="55000"/>
    <x v="0"/>
    <x v="0"/>
    <s v="Ok"/>
    <x v="0"/>
    <x v="0"/>
  </r>
  <r>
    <s v="PC-2026-0656"/>
    <x v="156"/>
    <s v="EMP009"/>
    <x v="6"/>
    <x v="4"/>
    <s v="Petty Cash"/>
    <x v="5"/>
    <n v="380000"/>
    <x v="1"/>
    <n v="0"/>
    <x v="25"/>
    <x v="1"/>
    <s v="Ok"/>
    <x v="109"/>
    <x v="1"/>
  </r>
  <r>
    <s v="PC-2026-0657"/>
    <x v="156"/>
    <s v="EMP012"/>
    <x v="9"/>
    <x v="5"/>
    <s v="Petty Cash"/>
    <x v="0"/>
    <n v="850000"/>
    <x v="23"/>
    <n v="225000"/>
    <x v="0"/>
    <x v="0"/>
    <s v="Ok"/>
    <x v="0"/>
    <x v="0"/>
  </r>
  <r>
    <s v="PC-2026-0658"/>
    <x v="156"/>
    <s v="EMP014"/>
    <x v="12"/>
    <x v="6"/>
    <s v="Petty Cash"/>
    <x v="4"/>
    <n v="450000"/>
    <x v="19"/>
    <n v="100000"/>
    <x v="0"/>
    <x v="0"/>
    <s v="Ok"/>
    <x v="0"/>
    <x v="0"/>
  </r>
  <r>
    <s v="PC-2026-0659"/>
    <x v="156"/>
    <s v="EMP019"/>
    <x v="15"/>
    <x v="1"/>
    <s v="Petty Cash"/>
    <x v="1"/>
    <n v="180000"/>
    <x v="20"/>
    <n v="30000"/>
    <x v="0"/>
    <x v="0"/>
    <s v="Ok"/>
    <x v="0"/>
    <x v="0"/>
  </r>
  <r>
    <s v="PC-2026-0660"/>
    <x v="156"/>
    <s v="EMP020"/>
    <x v="3"/>
    <x v="3"/>
    <s v="Petty Cash"/>
    <x v="4"/>
    <n v="500000"/>
    <x v="7"/>
    <n v="125000"/>
    <x v="0"/>
    <x v="0"/>
    <s v="Ok"/>
    <x v="0"/>
    <x v="0"/>
  </r>
  <r>
    <s v="PC-2026-0661"/>
    <x v="156"/>
    <s v="EMP020"/>
    <x v="3"/>
    <x v="3"/>
    <s v="Cash Advance"/>
    <x v="2"/>
    <n v="1050000"/>
    <x v="44"/>
    <n v="225000"/>
    <x v="0"/>
    <x v="0"/>
    <s v="Ok"/>
    <x v="0"/>
    <x v="0"/>
  </r>
  <r>
    <s v="PC-2026-0662"/>
    <x v="157"/>
    <s v="EMP001"/>
    <x v="10"/>
    <x v="4"/>
    <s v="Petty Cash"/>
    <x v="2"/>
    <n v="600000"/>
    <x v="32"/>
    <n v="50000"/>
    <x v="0"/>
    <x v="0"/>
    <s v="Ok"/>
    <x v="0"/>
    <x v="0"/>
  </r>
  <r>
    <s v="PC-2026-0663"/>
    <x v="157"/>
    <s v="EMP003"/>
    <x v="5"/>
    <x v="3"/>
    <s v="Petty Cash"/>
    <x v="4"/>
    <n v="875000"/>
    <x v="34"/>
    <n v="25000"/>
    <x v="0"/>
    <x v="0"/>
    <s v="Ok"/>
    <x v="0"/>
    <x v="0"/>
  </r>
  <r>
    <s v="PC-2026-0664"/>
    <x v="157"/>
    <s v="EMP006"/>
    <x v="16"/>
    <x v="6"/>
    <s v="Petty Cash"/>
    <x v="0"/>
    <n v="1650000"/>
    <x v="1"/>
    <n v="0"/>
    <x v="79"/>
    <x v="1"/>
    <s v="Ok"/>
    <x v="110"/>
    <x v="1"/>
  </r>
  <r>
    <s v="PC-2026-0665"/>
    <x v="157"/>
    <s v="EMP015"/>
    <x v="17"/>
    <x v="4"/>
    <s v="Petty Cash"/>
    <x v="5"/>
    <n v="180000"/>
    <x v="20"/>
    <n v="30000"/>
    <x v="0"/>
    <x v="0"/>
    <s v="Ok"/>
    <x v="0"/>
    <x v="0"/>
  </r>
  <r>
    <s v="PC-2026-0666"/>
    <x v="158"/>
    <s v="EMP001"/>
    <x v="10"/>
    <x v="4"/>
    <s v="Cash Advance"/>
    <x v="1"/>
    <n v="405000"/>
    <x v="7"/>
    <n v="30000"/>
    <x v="0"/>
    <x v="0"/>
    <s v="Ok"/>
    <x v="0"/>
    <x v="0"/>
  </r>
  <r>
    <s v="PC-2026-0667"/>
    <x v="158"/>
    <s v="EMP005"/>
    <x v="11"/>
    <x v="1"/>
    <s v="Petty Cash"/>
    <x v="7"/>
    <n v="500000"/>
    <x v="12"/>
    <n v="50000"/>
    <x v="0"/>
    <x v="0"/>
    <s v="Ok"/>
    <x v="0"/>
    <x v="0"/>
  </r>
  <r>
    <s v="PC-2026-0668"/>
    <x v="158"/>
    <s v="EMP011"/>
    <x v="19"/>
    <x v="3"/>
    <s v="Cash Advance"/>
    <x v="3"/>
    <n v="275000"/>
    <x v="9"/>
    <n v="50000"/>
    <x v="0"/>
    <x v="0"/>
    <s v="Ok"/>
    <x v="0"/>
    <x v="0"/>
  </r>
  <r>
    <s v="PC-2026-0669"/>
    <x v="158"/>
    <s v="EMP011"/>
    <x v="19"/>
    <x v="3"/>
    <s v="Petty Cash"/>
    <x v="3"/>
    <n v="300000"/>
    <x v="1"/>
    <n v="0"/>
    <x v="75"/>
    <x v="1"/>
    <s v="Ok"/>
    <x v="111"/>
    <x v="1"/>
  </r>
  <r>
    <s v="PC-2026-0670"/>
    <x v="158"/>
    <s v="EMP012"/>
    <x v="9"/>
    <x v="5"/>
    <s v="Petty Cash"/>
    <x v="5"/>
    <n v="55000"/>
    <x v="4"/>
    <n v="5000"/>
    <x v="0"/>
    <x v="0"/>
    <s v="Ok"/>
    <x v="0"/>
    <x v="0"/>
  </r>
  <r>
    <s v="PC-2026-0671"/>
    <x v="158"/>
    <s v="EMP015"/>
    <x v="17"/>
    <x v="4"/>
    <s v="Cash Advance"/>
    <x v="4"/>
    <n v="425000"/>
    <x v="40"/>
    <n v="100000"/>
    <x v="0"/>
    <x v="0"/>
    <s v="Ok"/>
    <x v="0"/>
    <x v="0"/>
  </r>
  <r>
    <s v="PC-2026-0672"/>
    <x v="158"/>
    <s v="EMP016"/>
    <x v="18"/>
    <x v="0"/>
    <s v="Petty Cash"/>
    <x v="1"/>
    <n v="30000"/>
    <x v="1"/>
    <n v="0"/>
    <x v="8"/>
    <x v="1"/>
    <s v="Ok"/>
    <x v="111"/>
    <x v="1"/>
  </r>
  <r>
    <s v="PC-2026-0673"/>
    <x v="158"/>
    <s v="EMP018"/>
    <x v="2"/>
    <x v="2"/>
    <s v="Cash Advance"/>
    <x v="4"/>
    <n v="225000"/>
    <x v="22"/>
    <n v="25000"/>
    <x v="0"/>
    <x v="0"/>
    <s v="Ok"/>
    <x v="0"/>
    <x v="0"/>
  </r>
  <r>
    <s v="PC-2026-0674"/>
    <x v="159"/>
    <s v="EMP006"/>
    <x v="16"/>
    <x v="6"/>
    <s v="Petty Cash"/>
    <x v="5"/>
    <n v="55000"/>
    <x v="1"/>
    <n v="0"/>
    <x v="40"/>
    <x v="1"/>
    <s v="Ok"/>
    <x v="112"/>
    <x v="1"/>
  </r>
  <r>
    <s v="PC-2026-0675"/>
    <x v="159"/>
    <s v="EMP012"/>
    <x v="9"/>
    <x v="5"/>
    <s v="Petty Cash"/>
    <x v="4"/>
    <n v="175000"/>
    <x v="20"/>
    <n v="25000"/>
    <x v="0"/>
    <x v="0"/>
    <s v="Ok"/>
    <x v="0"/>
    <x v="0"/>
  </r>
  <r>
    <s v="PC-2026-0676"/>
    <x v="160"/>
    <s v="EMP017"/>
    <x v="13"/>
    <x v="5"/>
    <s v="Petty Cash"/>
    <x v="7"/>
    <n v="150000"/>
    <x v="20"/>
    <n v="0"/>
    <x v="0"/>
    <x v="0"/>
    <s v="Ok"/>
    <x v="0"/>
    <x v="0"/>
  </r>
  <r>
    <s v="PC-2026-0677"/>
    <x v="161"/>
    <s v="EMP001"/>
    <x v="10"/>
    <x v="4"/>
    <s v="Petty Cash"/>
    <x v="7"/>
    <n v="75000"/>
    <x v="4"/>
    <n v="25000"/>
    <x v="0"/>
    <x v="0"/>
    <s v="Ok"/>
    <x v="0"/>
    <x v="0"/>
  </r>
  <r>
    <s v="PC-2026-0678"/>
    <x v="161"/>
    <s v="EMP012"/>
    <x v="9"/>
    <x v="5"/>
    <s v="Petty Cash"/>
    <x v="5"/>
    <n v="130000"/>
    <x v="1"/>
    <n v="0"/>
    <x v="2"/>
    <x v="1"/>
    <s v="Ok"/>
    <x v="113"/>
    <x v="1"/>
  </r>
  <r>
    <s v="PC-2026-0679"/>
    <x v="161"/>
    <s v="EMP017"/>
    <x v="13"/>
    <x v="5"/>
    <s v="Petty Cash"/>
    <x v="0"/>
    <n v="3975000"/>
    <x v="80"/>
    <n v="475000"/>
    <x v="0"/>
    <x v="0"/>
    <s v="Ok"/>
    <x v="0"/>
    <x v="0"/>
  </r>
  <r>
    <s v="PC-2026-0680"/>
    <x v="161"/>
    <s v="EMP020"/>
    <x v="3"/>
    <x v="3"/>
    <s v="Petty Cash"/>
    <x v="6"/>
    <n v="750000"/>
    <x v="48"/>
    <n v="0"/>
    <x v="0"/>
    <x v="0"/>
    <s v="Ok"/>
    <x v="0"/>
    <x v="0"/>
  </r>
  <r>
    <s v="PC-2026-0681"/>
    <x v="162"/>
    <s v="EMP003"/>
    <x v="5"/>
    <x v="3"/>
    <s v="Petty Cash"/>
    <x v="0"/>
    <n v="3225000"/>
    <x v="81"/>
    <n v="275000"/>
    <x v="0"/>
    <x v="0"/>
    <s v="Ok"/>
    <x v="0"/>
    <x v="0"/>
  </r>
  <r>
    <s v="PC-2026-0682"/>
    <x v="162"/>
    <s v="EMP014"/>
    <x v="12"/>
    <x v="6"/>
    <s v="Petty Cash"/>
    <x v="5"/>
    <n v="80000"/>
    <x v="1"/>
    <n v="0"/>
    <x v="5"/>
    <x v="1"/>
    <s v="Ok"/>
    <x v="114"/>
    <x v="1"/>
  </r>
  <r>
    <s v="PC-2026-0683"/>
    <x v="162"/>
    <s v="EMP017"/>
    <x v="13"/>
    <x v="5"/>
    <s v="Cash Advance"/>
    <x v="7"/>
    <n v="525000"/>
    <x v="42"/>
    <n v="100000"/>
    <x v="0"/>
    <x v="0"/>
    <s v="Ok"/>
    <x v="0"/>
    <x v="0"/>
  </r>
  <r>
    <s v="PC-2026-0684"/>
    <x v="162"/>
    <s v="EMP018"/>
    <x v="2"/>
    <x v="2"/>
    <s v="Petty Cash"/>
    <x v="1"/>
    <n v="355000"/>
    <x v="1"/>
    <n v="0"/>
    <x v="60"/>
    <x v="1"/>
    <s v="Ok"/>
    <x v="114"/>
    <x v="1"/>
  </r>
  <r>
    <s v="PC-2026-0685"/>
    <x v="163"/>
    <s v="EMP005"/>
    <x v="11"/>
    <x v="1"/>
    <s v="Petty Cash"/>
    <x v="1"/>
    <n v="80000"/>
    <x v="10"/>
    <n v="5000"/>
    <x v="0"/>
    <x v="0"/>
    <s v="Ok"/>
    <x v="0"/>
    <x v="0"/>
  </r>
  <r>
    <s v="PC-2026-0686"/>
    <x v="163"/>
    <s v="EMP005"/>
    <x v="11"/>
    <x v="1"/>
    <s v="Petty Cash"/>
    <x v="5"/>
    <n v="355000"/>
    <x v="40"/>
    <n v="30000"/>
    <x v="0"/>
    <x v="0"/>
    <s v="Ok"/>
    <x v="0"/>
    <x v="0"/>
  </r>
  <r>
    <s v="PC-2026-0687"/>
    <x v="163"/>
    <s v="EMP011"/>
    <x v="19"/>
    <x v="3"/>
    <s v="Cash Advance"/>
    <x v="5"/>
    <n v="430000"/>
    <x v="1"/>
    <n v="0"/>
    <x v="51"/>
    <x v="1"/>
    <s v="Ok"/>
    <x v="115"/>
    <x v="1"/>
  </r>
  <r>
    <s v="PC-2026-0688"/>
    <x v="163"/>
    <s v="EMP014"/>
    <x v="12"/>
    <x v="6"/>
    <s v="Cash Advance"/>
    <x v="3"/>
    <n v="450000"/>
    <x v="5"/>
    <n v="50000"/>
    <x v="0"/>
    <x v="0"/>
    <s v="Ok"/>
    <x v="0"/>
    <x v="0"/>
  </r>
  <r>
    <s v="PC-2026-0689"/>
    <x v="163"/>
    <s v="EMP018"/>
    <x v="2"/>
    <x v="2"/>
    <s v="Cash Advance"/>
    <x v="5"/>
    <n v="30000"/>
    <x v="60"/>
    <n v="5000"/>
    <x v="0"/>
    <x v="0"/>
    <s v="Ok"/>
    <x v="0"/>
    <x v="0"/>
  </r>
  <r>
    <s v="PC-2026-0690"/>
    <x v="163"/>
    <s v="EMP019"/>
    <x v="15"/>
    <x v="1"/>
    <s v="Petty Cash"/>
    <x v="5"/>
    <n v="430000"/>
    <x v="7"/>
    <n v="55000"/>
    <x v="0"/>
    <x v="0"/>
    <s v="Ok"/>
    <x v="0"/>
    <x v="0"/>
  </r>
  <r>
    <s v="PC-2026-0691"/>
    <x v="164"/>
    <s v="EMP009"/>
    <x v="6"/>
    <x v="4"/>
    <s v="Cash Advance"/>
    <x v="0"/>
    <n v="650000"/>
    <x v="23"/>
    <n v="25000"/>
    <x v="0"/>
    <x v="0"/>
    <s v="Ok"/>
    <x v="0"/>
    <x v="0"/>
  </r>
  <r>
    <s v="PC-2026-0692"/>
    <x v="164"/>
    <s v="EMP010"/>
    <x v="7"/>
    <x v="2"/>
    <s v="Cash Advance"/>
    <x v="4"/>
    <n v="675000"/>
    <x v="38"/>
    <n v="75000"/>
    <x v="0"/>
    <x v="0"/>
    <s v="Ok"/>
    <x v="0"/>
    <x v="0"/>
  </r>
  <r>
    <s v="PC-2026-0693"/>
    <x v="165"/>
    <s v="EMP004"/>
    <x v="14"/>
    <x v="2"/>
    <s v="Petty Cash"/>
    <x v="2"/>
    <n v="1300000"/>
    <x v="25"/>
    <n v="100000"/>
    <x v="0"/>
    <x v="0"/>
    <s v="Ok"/>
    <x v="0"/>
    <x v="0"/>
  </r>
  <r>
    <s v="PC-2026-0694"/>
    <x v="165"/>
    <s v="EMP014"/>
    <x v="12"/>
    <x v="6"/>
    <s v="Petty Cash"/>
    <x v="1"/>
    <n v="105000"/>
    <x v="1"/>
    <n v="0"/>
    <x v="14"/>
    <x v="1"/>
    <s v="Ok"/>
    <x v="116"/>
    <x v="1"/>
  </r>
  <r>
    <s v="PC-2026-0695"/>
    <x v="165"/>
    <s v="EMP017"/>
    <x v="13"/>
    <x v="5"/>
    <s v="Cash Advance"/>
    <x v="0"/>
    <n v="1650000"/>
    <x v="45"/>
    <n v="0"/>
    <x v="0"/>
    <x v="0"/>
    <s v="Ok"/>
    <x v="0"/>
    <x v="0"/>
  </r>
  <r>
    <s v="PC-2026-0696"/>
    <x v="165"/>
    <s v="EMP019"/>
    <x v="15"/>
    <x v="1"/>
    <s v="Petty Cash"/>
    <x v="2"/>
    <n v="350000"/>
    <x v="1"/>
    <n v="0"/>
    <x v="59"/>
    <x v="1"/>
    <s v="Ok"/>
    <x v="116"/>
    <x v="1"/>
  </r>
  <r>
    <s v="PC-2026-0697"/>
    <x v="166"/>
    <s v="EMP003"/>
    <x v="5"/>
    <x v="3"/>
    <s v="Petty Cash"/>
    <x v="4"/>
    <n v="200000"/>
    <x v="15"/>
    <n v="25000"/>
    <x v="0"/>
    <x v="0"/>
    <s v="Ok"/>
    <x v="0"/>
    <x v="0"/>
  </r>
  <r>
    <s v="PC-2026-0698"/>
    <x v="166"/>
    <s v="EMP009"/>
    <x v="6"/>
    <x v="4"/>
    <s v="Petty Cash"/>
    <x v="5"/>
    <n v="205000"/>
    <x v="22"/>
    <n v="5000"/>
    <x v="0"/>
    <x v="0"/>
    <s v="Ok"/>
    <x v="0"/>
    <x v="0"/>
  </r>
  <r>
    <s v="PC-2026-0699"/>
    <x v="166"/>
    <s v="EMP010"/>
    <x v="7"/>
    <x v="2"/>
    <s v="Petty Cash"/>
    <x v="7"/>
    <n v="150000"/>
    <x v="1"/>
    <n v="0"/>
    <x v="7"/>
    <x v="1"/>
    <s v="Ok"/>
    <x v="117"/>
    <x v="1"/>
  </r>
  <r>
    <s v="PC-2026-0700"/>
    <x v="166"/>
    <s v="EMP014"/>
    <x v="12"/>
    <x v="6"/>
    <s v="Cash Advance"/>
    <x v="5"/>
    <n v="355000"/>
    <x v="19"/>
    <n v="5000"/>
    <x v="0"/>
    <x v="0"/>
    <s v="Ok"/>
    <x v="0"/>
    <x v="0"/>
  </r>
  <r>
    <s v="PC-2026-0701"/>
    <x v="166"/>
    <s v="EMP020"/>
    <x v="3"/>
    <x v="3"/>
    <s v="Cash Advance"/>
    <x v="0"/>
    <n v="1575000"/>
    <x v="66"/>
    <n v="0"/>
    <x v="0"/>
    <x v="0"/>
    <s v="Ok"/>
    <x v="0"/>
    <x v="0"/>
  </r>
  <r>
    <s v="PC-2026-0702"/>
    <x v="167"/>
    <s v="EMP014"/>
    <x v="12"/>
    <x v="6"/>
    <s v="Petty Cash"/>
    <x v="6"/>
    <n v="550000"/>
    <x v="42"/>
    <n v="125000"/>
    <x v="0"/>
    <x v="0"/>
    <s v="Ok"/>
    <x v="0"/>
    <x v="0"/>
  </r>
  <r>
    <s v="PC-2026-0703"/>
    <x v="167"/>
    <s v="EMP019"/>
    <x v="15"/>
    <x v="1"/>
    <s v="Cash Advance"/>
    <x v="6"/>
    <n v="175000"/>
    <x v="15"/>
    <n v="0"/>
    <x v="0"/>
    <x v="0"/>
    <s v="Ok"/>
    <x v="0"/>
    <x v="0"/>
  </r>
  <r>
    <s v="PC-2026-0704"/>
    <x v="167"/>
    <s v="EMP020"/>
    <x v="3"/>
    <x v="3"/>
    <s v="Cash Advance"/>
    <x v="1"/>
    <n v="480000"/>
    <x v="1"/>
    <n v="0"/>
    <x v="18"/>
    <x v="1"/>
    <s v="Ok"/>
    <x v="118"/>
    <x v="1"/>
  </r>
  <r>
    <s v="PC-2026-0705"/>
    <x v="168"/>
    <s v="EMP004"/>
    <x v="14"/>
    <x v="2"/>
    <s v="Petty Cash"/>
    <x v="1"/>
    <n v="30000"/>
    <x v="1"/>
    <n v="0"/>
    <x v="8"/>
    <x v="1"/>
    <s v="Ok"/>
    <x v="119"/>
    <x v="1"/>
  </r>
  <r>
    <s v="PC-2026-0706"/>
    <x v="168"/>
    <s v="EMP008"/>
    <x v="0"/>
    <x v="0"/>
    <s v="Cash Advance"/>
    <x v="3"/>
    <n v="200000"/>
    <x v="20"/>
    <n v="50000"/>
    <x v="0"/>
    <x v="0"/>
    <s v="Ok"/>
    <x v="0"/>
    <x v="0"/>
  </r>
  <r>
    <s v="PC-2026-0707"/>
    <x v="168"/>
    <s v="EMP018"/>
    <x v="2"/>
    <x v="2"/>
    <s v="Petty Cash"/>
    <x v="1"/>
    <n v="180000"/>
    <x v="1"/>
    <n v="0"/>
    <x v="58"/>
    <x v="1"/>
    <s v="Ok"/>
    <x v="119"/>
    <x v="1"/>
  </r>
  <r>
    <s v="PC-2026-0708"/>
    <x v="169"/>
    <s v="EMP002"/>
    <x v="4"/>
    <x v="0"/>
    <s v="Cash Advance"/>
    <x v="0"/>
    <n v="1500000"/>
    <x v="73"/>
    <n v="250000"/>
    <x v="0"/>
    <x v="0"/>
    <s v="Ok"/>
    <x v="0"/>
    <x v="0"/>
  </r>
  <r>
    <s v="PC-2026-0709"/>
    <x v="169"/>
    <s v="EMP010"/>
    <x v="7"/>
    <x v="2"/>
    <s v="Petty Cash"/>
    <x v="1"/>
    <n v="105000"/>
    <x v="10"/>
    <n v="30000"/>
    <x v="0"/>
    <x v="0"/>
    <s v="Ok"/>
    <x v="0"/>
    <x v="0"/>
  </r>
  <r>
    <s v="PC-2026-0710"/>
    <x v="169"/>
    <s v="EMP012"/>
    <x v="9"/>
    <x v="5"/>
    <s v="Petty Cash"/>
    <x v="1"/>
    <n v="55000"/>
    <x v="4"/>
    <n v="5000"/>
    <x v="0"/>
    <x v="0"/>
    <s v="Ok"/>
    <x v="0"/>
    <x v="0"/>
  </r>
  <r>
    <s v="PC-2026-0711"/>
    <x v="169"/>
    <s v="EMP015"/>
    <x v="17"/>
    <x v="4"/>
    <s v="Petty Cash"/>
    <x v="6"/>
    <n v="850000"/>
    <x v="48"/>
    <n v="100000"/>
    <x v="0"/>
    <x v="0"/>
    <s v="Ok"/>
    <x v="0"/>
    <x v="0"/>
  </r>
  <r>
    <s v="PC-2026-0712"/>
    <x v="169"/>
    <s v="EMP019"/>
    <x v="15"/>
    <x v="1"/>
    <s v="Cash Advance"/>
    <x v="5"/>
    <n v="280000"/>
    <x v="1"/>
    <n v="0"/>
    <x v="27"/>
    <x v="1"/>
    <s v="Ok"/>
    <x v="120"/>
    <x v="1"/>
  </r>
  <r>
    <s v="PC-2026-0713"/>
    <x v="170"/>
    <s v="EMP002"/>
    <x v="4"/>
    <x v="0"/>
    <s v="Cash Advance"/>
    <x v="0"/>
    <n v="1525000"/>
    <x v="29"/>
    <n v="0"/>
    <x v="0"/>
    <x v="0"/>
    <s v="Ok"/>
    <x v="0"/>
    <x v="0"/>
  </r>
  <r>
    <s v="PC-2026-0714"/>
    <x v="170"/>
    <s v="EMP011"/>
    <x v="19"/>
    <x v="3"/>
    <s v="Petty Cash"/>
    <x v="7"/>
    <n v="625000"/>
    <x v="13"/>
    <n v="150000"/>
    <x v="0"/>
    <x v="0"/>
    <s v="Ok"/>
    <x v="0"/>
    <x v="0"/>
  </r>
  <r>
    <s v="PC-2026-0715"/>
    <x v="170"/>
    <s v="EMP012"/>
    <x v="9"/>
    <x v="5"/>
    <s v="Petty Cash"/>
    <x v="7"/>
    <n v="500000"/>
    <x v="13"/>
    <n v="25000"/>
    <x v="0"/>
    <x v="0"/>
    <s v="Ok"/>
    <x v="0"/>
    <x v="0"/>
  </r>
  <r>
    <s v="PC-2026-0716"/>
    <x v="171"/>
    <s v="EMP002"/>
    <x v="4"/>
    <x v="0"/>
    <s v="Petty Cash"/>
    <x v="3"/>
    <n v="75000"/>
    <x v="4"/>
    <n v="25000"/>
    <x v="0"/>
    <x v="0"/>
    <s v="Ok"/>
    <x v="0"/>
    <x v="0"/>
  </r>
  <r>
    <s v="PC-2026-0717"/>
    <x v="171"/>
    <s v="EMP019"/>
    <x v="15"/>
    <x v="1"/>
    <s v="Petty Cash"/>
    <x v="2"/>
    <n v="1275000"/>
    <x v="75"/>
    <n v="175000"/>
    <x v="0"/>
    <x v="0"/>
    <s v="Ok"/>
    <x v="0"/>
    <x v="0"/>
  </r>
  <r>
    <s v="PC-2026-0718"/>
    <x v="172"/>
    <s v="EMP013"/>
    <x v="1"/>
    <x v="1"/>
    <s v="Petty Cash"/>
    <x v="6"/>
    <n v="750000"/>
    <x v="41"/>
    <n v="50000"/>
    <x v="0"/>
    <x v="0"/>
    <s v="Ok"/>
    <x v="0"/>
    <x v="0"/>
  </r>
  <r>
    <s v="PC-2026-0719"/>
    <x v="172"/>
    <s v="EMP013"/>
    <x v="1"/>
    <x v="1"/>
    <s v="Cash Advance"/>
    <x v="4"/>
    <n v="225000"/>
    <x v="9"/>
    <n v="0"/>
    <x v="0"/>
    <x v="0"/>
    <s v="Ok"/>
    <x v="0"/>
    <x v="0"/>
  </r>
  <r>
    <s v="PC-2026-0720"/>
    <x v="172"/>
    <s v="EMP015"/>
    <x v="17"/>
    <x v="4"/>
    <s v="Petty Cash"/>
    <x v="3"/>
    <n v="450000"/>
    <x v="7"/>
    <n v="75000"/>
    <x v="0"/>
    <x v="0"/>
    <s v="Ok"/>
    <x v="0"/>
    <x v="0"/>
  </r>
  <r>
    <s v="PC-2026-0721"/>
    <x v="172"/>
    <s v="EMP019"/>
    <x v="15"/>
    <x v="1"/>
    <s v="Petty Cash"/>
    <x v="7"/>
    <n v="350000"/>
    <x v="19"/>
    <n v="0"/>
    <x v="0"/>
    <x v="0"/>
    <s v="Ok"/>
    <x v="0"/>
    <x v="0"/>
  </r>
  <r>
    <s v="PC-2026-0722"/>
    <x v="172"/>
    <s v="EMP019"/>
    <x v="15"/>
    <x v="1"/>
    <s v="Petty Cash"/>
    <x v="1"/>
    <n v="105000"/>
    <x v="30"/>
    <n v="5000"/>
    <x v="0"/>
    <x v="0"/>
    <s v="Ok"/>
    <x v="0"/>
    <x v="0"/>
  </r>
  <r>
    <s v="PC-2026-0723"/>
    <x v="173"/>
    <s v="EMP004"/>
    <x v="14"/>
    <x v="2"/>
    <s v="Cash Advance"/>
    <x v="5"/>
    <n v="80000"/>
    <x v="10"/>
    <n v="5000"/>
    <x v="0"/>
    <x v="0"/>
    <s v="Ok"/>
    <x v="0"/>
    <x v="0"/>
  </r>
  <r>
    <s v="PC-2026-0724"/>
    <x v="173"/>
    <s v="EMP004"/>
    <x v="14"/>
    <x v="2"/>
    <s v="Cash Advance"/>
    <x v="6"/>
    <n v="925000"/>
    <x v="44"/>
    <n v="100000"/>
    <x v="0"/>
    <x v="0"/>
    <s v="Ok"/>
    <x v="0"/>
    <x v="0"/>
  </r>
  <r>
    <s v="PC-2026-0725"/>
    <x v="174"/>
    <s v="EMP005"/>
    <x v="11"/>
    <x v="1"/>
    <s v="Petty Cash"/>
    <x v="5"/>
    <n v="405000"/>
    <x v="26"/>
    <n v="105000"/>
    <x v="0"/>
    <x v="0"/>
    <s v="Ok"/>
    <x v="0"/>
    <x v="0"/>
  </r>
  <r>
    <s v="PC-2026-0726"/>
    <x v="174"/>
    <s v="EMP018"/>
    <x v="2"/>
    <x v="2"/>
    <s v="Petty Cash"/>
    <x v="5"/>
    <n v="480000"/>
    <x v="13"/>
    <n v="5000"/>
    <x v="0"/>
    <x v="0"/>
    <s v="Ok"/>
    <x v="0"/>
    <x v="0"/>
  </r>
  <r>
    <s v="PC-2026-0727"/>
    <x v="174"/>
    <s v="EMP019"/>
    <x v="15"/>
    <x v="1"/>
    <s v="Cash Advance"/>
    <x v="3"/>
    <n v="250000"/>
    <x v="9"/>
    <n v="25000"/>
    <x v="0"/>
    <x v="0"/>
    <s v="Ok"/>
    <x v="0"/>
    <x v="0"/>
  </r>
  <r>
    <s v="PC-2026-0728"/>
    <x v="174"/>
    <s v="EMP020"/>
    <x v="3"/>
    <x v="3"/>
    <s v="Cash Advance"/>
    <x v="2"/>
    <n v="225000"/>
    <x v="9"/>
    <n v="0"/>
    <x v="0"/>
    <x v="0"/>
    <s v="Ok"/>
    <x v="0"/>
    <x v="0"/>
  </r>
  <r>
    <s v="PC-2026-0729"/>
    <x v="175"/>
    <s v="EMP010"/>
    <x v="7"/>
    <x v="2"/>
    <s v="Cash Advance"/>
    <x v="0"/>
    <n v="2850000"/>
    <x v="51"/>
    <n v="300000"/>
    <x v="0"/>
    <x v="0"/>
    <s v="Ok"/>
    <x v="0"/>
    <x v="0"/>
  </r>
  <r>
    <s v="PC-2026-0730"/>
    <x v="175"/>
    <s v="EMP016"/>
    <x v="18"/>
    <x v="0"/>
    <s v="Cash Advance"/>
    <x v="0"/>
    <n v="3475000"/>
    <x v="82"/>
    <n v="475000"/>
    <x v="0"/>
    <x v="0"/>
    <s v="Ok"/>
    <x v="0"/>
    <x v="0"/>
  </r>
  <r>
    <s v="PC-2026-0731"/>
    <x v="175"/>
    <s v="EMP019"/>
    <x v="15"/>
    <x v="1"/>
    <s v="Petty Cash"/>
    <x v="2"/>
    <n v="250000"/>
    <x v="9"/>
    <n v="25000"/>
    <x v="0"/>
    <x v="0"/>
    <s v="Ok"/>
    <x v="0"/>
    <x v="0"/>
  </r>
  <r>
    <s v="PC-2026-0732"/>
    <x v="175"/>
    <s v="EMP019"/>
    <x v="15"/>
    <x v="1"/>
    <s v="Petty Cash"/>
    <x v="5"/>
    <n v="305000"/>
    <x v="1"/>
    <n v="0"/>
    <x v="6"/>
    <x v="1"/>
    <s v="Ok"/>
    <x v="121"/>
    <x v="1"/>
  </r>
  <r>
    <s v="PC-2026-0733"/>
    <x v="175"/>
    <s v="EMP019"/>
    <x v="15"/>
    <x v="1"/>
    <s v="Petty Cash"/>
    <x v="6"/>
    <n v="175000"/>
    <x v="20"/>
    <n v="25000"/>
    <x v="0"/>
    <x v="0"/>
    <s v="Ok"/>
    <x v="0"/>
    <x v="0"/>
  </r>
  <r>
    <s v="PC-2026-0734"/>
    <x v="175"/>
    <s v="EMP020"/>
    <x v="3"/>
    <x v="3"/>
    <s v="Petty Cash"/>
    <x v="3"/>
    <n v="375000"/>
    <x v="40"/>
    <n v="50000"/>
    <x v="0"/>
    <x v="0"/>
    <s v="Ok"/>
    <x v="0"/>
    <x v="0"/>
  </r>
  <r>
    <s v="PC-2026-0735"/>
    <x v="176"/>
    <s v="EMP001"/>
    <x v="10"/>
    <x v="4"/>
    <s v="Petty Cash"/>
    <x v="2"/>
    <n v="300000"/>
    <x v="27"/>
    <n v="50000"/>
    <x v="0"/>
    <x v="0"/>
    <s v="Ok"/>
    <x v="0"/>
    <x v="0"/>
  </r>
  <r>
    <s v="PC-2026-0736"/>
    <x v="176"/>
    <s v="EMP007"/>
    <x v="8"/>
    <x v="5"/>
    <s v="Petty Cash"/>
    <x v="4"/>
    <n v="550000"/>
    <x v="12"/>
    <n v="100000"/>
    <x v="0"/>
    <x v="0"/>
    <s v="Ok"/>
    <x v="0"/>
    <x v="0"/>
  </r>
  <r>
    <s v="PC-2026-0737"/>
    <x v="176"/>
    <s v="EMP014"/>
    <x v="12"/>
    <x v="6"/>
    <s v="Petty Cash"/>
    <x v="5"/>
    <n v="130000"/>
    <x v="30"/>
    <n v="30000"/>
    <x v="0"/>
    <x v="0"/>
    <s v="Ok"/>
    <x v="0"/>
    <x v="0"/>
  </r>
  <r>
    <s v="PC-2026-0738"/>
    <x v="176"/>
    <s v="EMP016"/>
    <x v="18"/>
    <x v="0"/>
    <s v="Petty Cash"/>
    <x v="6"/>
    <n v="950000"/>
    <x v="62"/>
    <n v="75000"/>
    <x v="0"/>
    <x v="0"/>
    <s v="Ok"/>
    <x v="0"/>
    <x v="0"/>
  </r>
  <r>
    <s v="PC-2026-0739"/>
    <x v="176"/>
    <s v="EMP018"/>
    <x v="2"/>
    <x v="2"/>
    <s v="Petty Cash"/>
    <x v="1"/>
    <n v="455000"/>
    <x v="19"/>
    <n v="105000"/>
    <x v="0"/>
    <x v="0"/>
    <s v="Ok"/>
    <x v="0"/>
    <x v="0"/>
  </r>
  <r>
    <s v="PC-2026-0740"/>
    <x v="177"/>
    <s v="EMP002"/>
    <x v="4"/>
    <x v="0"/>
    <s v="Petty Cash"/>
    <x v="2"/>
    <n v="1375000"/>
    <x v="1"/>
    <n v="0"/>
    <x v="22"/>
    <x v="1"/>
    <s v="Ok"/>
    <x v="122"/>
    <x v="1"/>
  </r>
  <r>
    <s v="PC-2026-0741"/>
    <x v="177"/>
    <s v="EMP006"/>
    <x v="16"/>
    <x v="6"/>
    <s v="Cash Advance"/>
    <x v="1"/>
    <n v="380000"/>
    <x v="26"/>
    <n v="80000"/>
    <x v="0"/>
    <x v="0"/>
    <s v="Ok"/>
    <x v="0"/>
    <x v="0"/>
  </r>
  <r>
    <s v="PC-2026-0742"/>
    <x v="177"/>
    <s v="EMP010"/>
    <x v="7"/>
    <x v="2"/>
    <s v="Petty Cash"/>
    <x v="5"/>
    <n v="105000"/>
    <x v="30"/>
    <n v="5000"/>
    <x v="0"/>
    <x v="0"/>
    <s v="Ok"/>
    <x v="0"/>
    <x v="0"/>
  </r>
  <r>
    <s v="PC-2026-0743"/>
    <x v="177"/>
    <s v="EMP017"/>
    <x v="13"/>
    <x v="5"/>
    <s v="Cash Advance"/>
    <x v="1"/>
    <n v="55000"/>
    <x v="4"/>
    <n v="5000"/>
    <x v="0"/>
    <x v="0"/>
    <s v="Ok"/>
    <x v="0"/>
    <x v="0"/>
  </r>
  <r>
    <s v="PC-2026-0744"/>
    <x v="178"/>
    <s v="EMP005"/>
    <x v="11"/>
    <x v="1"/>
    <s v="Petty Cash"/>
    <x v="3"/>
    <n v="150000"/>
    <x v="21"/>
    <n v="25000"/>
    <x v="0"/>
    <x v="0"/>
    <s v="Ok"/>
    <x v="0"/>
    <x v="0"/>
  </r>
  <r>
    <s v="PC-2026-0745"/>
    <x v="178"/>
    <s v="EMP010"/>
    <x v="7"/>
    <x v="2"/>
    <s v="Cash Advance"/>
    <x v="7"/>
    <n v="250000"/>
    <x v="1"/>
    <n v="0"/>
    <x v="53"/>
    <x v="1"/>
    <s v="Ok"/>
    <x v="123"/>
    <x v="1"/>
  </r>
  <r>
    <s v="PC-2026-0746"/>
    <x v="178"/>
    <s v="EMP019"/>
    <x v="15"/>
    <x v="1"/>
    <s v="Cash Advance"/>
    <x v="4"/>
    <n v="775000"/>
    <x v="23"/>
    <n v="150000"/>
    <x v="0"/>
    <x v="0"/>
    <s v="Ok"/>
    <x v="0"/>
    <x v="0"/>
  </r>
  <r>
    <s v="PC-2026-0747"/>
    <x v="179"/>
    <s v="EMP010"/>
    <x v="7"/>
    <x v="2"/>
    <s v="Petty Cash"/>
    <x v="4"/>
    <n v="500000"/>
    <x v="42"/>
    <n v="75000"/>
    <x v="0"/>
    <x v="0"/>
    <s v="Ok"/>
    <x v="0"/>
    <x v="0"/>
  </r>
  <r>
    <s v="PC-2026-0748"/>
    <x v="179"/>
    <s v="EMP012"/>
    <x v="9"/>
    <x v="5"/>
    <s v="Cash Advance"/>
    <x v="6"/>
    <n v="875000"/>
    <x v="48"/>
    <n v="125000"/>
    <x v="0"/>
    <x v="0"/>
    <s v="Ok"/>
    <x v="0"/>
    <x v="0"/>
  </r>
  <r>
    <s v="PC-2026-0749"/>
    <x v="179"/>
    <s v="EMP016"/>
    <x v="18"/>
    <x v="0"/>
    <s v="Cash Advance"/>
    <x v="1"/>
    <n v="355000"/>
    <x v="17"/>
    <n v="80000"/>
    <x v="0"/>
    <x v="0"/>
    <s v="Ok"/>
    <x v="0"/>
    <x v="0"/>
  </r>
  <r>
    <s v="PC-2026-0750"/>
    <x v="179"/>
    <s v="EMP018"/>
    <x v="2"/>
    <x v="2"/>
    <s v="Cash Advance"/>
    <x v="4"/>
    <n v="550000"/>
    <x v="32"/>
    <n v="0"/>
    <x v="0"/>
    <x v="0"/>
    <s v="Ok"/>
    <x v="0"/>
    <x v="0"/>
  </r>
  <r>
    <s v="PC-2026-0751"/>
    <x v="179"/>
    <s v="EMP018"/>
    <x v="2"/>
    <x v="2"/>
    <s v="Cash Advance"/>
    <x v="2"/>
    <n v="300000"/>
    <x v="26"/>
    <n v="0"/>
    <x v="0"/>
    <x v="0"/>
    <s v="Ok"/>
    <x v="0"/>
    <x v="0"/>
  </r>
  <r>
    <s v="PC-2026-0752"/>
    <x v="180"/>
    <s v="EMP008"/>
    <x v="0"/>
    <x v="0"/>
    <s v="Cash Advance"/>
    <x v="4"/>
    <n v="725000"/>
    <x v="1"/>
    <n v="0"/>
    <x v="80"/>
    <x v="1"/>
    <s v="Ok"/>
    <x v="124"/>
    <x v="1"/>
  </r>
  <r>
    <s v="PC-2026-0753"/>
    <x v="180"/>
    <s v="EMP008"/>
    <x v="0"/>
    <x v="0"/>
    <s v="Cash Advance"/>
    <x v="5"/>
    <n v="430000"/>
    <x v="7"/>
    <n v="55000"/>
    <x v="0"/>
    <x v="0"/>
    <s v="Ok"/>
    <x v="0"/>
    <x v="0"/>
  </r>
  <r>
    <s v="PC-2026-0754"/>
    <x v="180"/>
    <s v="EMP010"/>
    <x v="7"/>
    <x v="2"/>
    <s v="Petty Cash"/>
    <x v="1"/>
    <n v="430000"/>
    <x v="42"/>
    <n v="5000"/>
    <x v="0"/>
    <x v="0"/>
    <s v="Ok"/>
    <x v="0"/>
    <x v="0"/>
  </r>
  <r>
    <s v="PC-2026-0755"/>
    <x v="181"/>
    <s v="EMP003"/>
    <x v="5"/>
    <x v="3"/>
    <s v="Cash Advance"/>
    <x v="6"/>
    <n v="775000"/>
    <x v="8"/>
    <n v="100000"/>
    <x v="0"/>
    <x v="0"/>
    <s v="Ok"/>
    <x v="0"/>
    <x v="0"/>
  </r>
  <r>
    <s v="PC-2026-0756"/>
    <x v="181"/>
    <s v="EMP005"/>
    <x v="11"/>
    <x v="1"/>
    <s v="Cash Advance"/>
    <x v="4"/>
    <n v="425000"/>
    <x v="42"/>
    <n v="0"/>
    <x v="0"/>
    <x v="0"/>
    <s v="Ok"/>
    <x v="0"/>
    <x v="0"/>
  </r>
  <r>
    <s v="PC-2026-0757"/>
    <x v="181"/>
    <s v="EMP020"/>
    <x v="3"/>
    <x v="3"/>
    <s v="Cash Advance"/>
    <x v="6"/>
    <n v="350000"/>
    <x v="19"/>
    <n v="0"/>
    <x v="0"/>
    <x v="0"/>
    <s v="Ok"/>
    <x v="0"/>
    <x v="0"/>
  </r>
  <r>
    <s v="PC-2026-0758"/>
    <x v="182"/>
    <s v="EMP003"/>
    <x v="5"/>
    <x v="3"/>
    <s v="Petty Cash"/>
    <x v="5"/>
    <n v="55000"/>
    <x v="4"/>
    <n v="5000"/>
    <x v="0"/>
    <x v="0"/>
    <s v="Ok"/>
    <x v="0"/>
    <x v="0"/>
  </r>
  <r>
    <s v="PC-2026-0759"/>
    <x v="182"/>
    <s v="EMP006"/>
    <x v="16"/>
    <x v="6"/>
    <s v="Petty Cash"/>
    <x v="3"/>
    <n v="125000"/>
    <x v="21"/>
    <n v="0"/>
    <x v="0"/>
    <x v="0"/>
    <s v="Ok"/>
    <x v="0"/>
    <x v="0"/>
  </r>
  <r>
    <s v="PC-2026-0760"/>
    <x v="182"/>
    <s v="EMP007"/>
    <x v="8"/>
    <x v="5"/>
    <s v="Cash Advance"/>
    <x v="0"/>
    <n v="3725000"/>
    <x v="1"/>
    <n v="0"/>
    <x v="81"/>
    <x v="1"/>
    <s v="Ok"/>
    <x v="125"/>
    <x v="1"/>
  </r>
  <r>
    <s v="PC-2026-0761"/>
    <x v="182"/>
    <s v="EMP011"/>
    <x v="19"/>
    <x v="3"/>
    <s v="Petty Cash"/>
    <x v="1"/>
    <n v="30000"/>
    <x v="1"/>
    <n v="0"/>
    <x v="8"/>
    <x v="1"/>
    <s v="Ok"/>
    <x v="125"/>
    <x v="1"/>
  </r>
  <r>
    <s v="PC-2026-0762"/>
    <x v="183"/>
    <s v="EMP004"/>
    <x v="14"/>
    <x v="2"/>
    <s v="Cash Advance"/>
    <x v="7"/>
    <n v="400000"/>
    <x v="1"/>
    <n v="0"/>
    <x v="3"/>
    <x v="1"/>
    <s v="Ok"/>
    <x v="126"/>
    <x v="1"/>
  </r>
  <r>
    <s v="PC-2026-0763"/>
    <x v="183"/>
    <s v="EMP013"/>
    <x v="1"/>
    <x v="1"/>
    <s v="Cash Advance"/>
    <x v="4"/>
    <n v="900000"/>
    <x v="8"/>
    <n v="225000"/>
    <x v="0"/>
    <x v="0"/>
    <s v="Ok"/>
    <x v="0"/>
    <x v="0"/>
  </r>
  <r>
    <s v="PC-2026-0764"/>
    <x v="183"/>
    <s v="EMP018"/>
    <x v="2"/>
    <x v="2"/>
    <s v="Petty Cash"/>
    <x v="7"/>
    <n v="400000"/>
    <x v="7"/>
    <n v="25000"/>
    <x v="0"/>
    <x v="0"/>
    <s v="Ok"/>
    <x v="0"/>
    <x v="0"/>
  </r>
  <r>
    <s v="PC-2026-0765"/>
    <x v="183"/>
    <s v="EMP018"/>
    <x v="2"/>
    <x v="2"/>
    <s v="Cash Advance"/>
    <x v="6"/>
    <n v="925000"/>
    <x v="41"/>
    <n v="225000"/>
    <x v="0"/>
    <x v="0"/>
    <s v="Ok"/>
    <x v="0"/>
    <x v="0"/>
  </r>
  <r>
    <s v="PC-2026-0766"/>
    <x v="184"/>
    <s v="EMP003"/>
    <x v="5"/>
    <x v="3"/>
    <s v="Petty Cash"/>
    <x v="2"/>
    <n v="1000000"/>
    <x v="62"/>
    <n v="125000"/>
    <x v="0"/>
    <x v="0"/>
    <s v="Ok"/>
    <x v="0"/>
    <x v="0"/>
  </r>
  <r>
    <s v="PC-2026-0767"/>
    <x v="184"/>
    <s v="EMP010"/>
    <x v="7"/>
    <x v="2"/>
    <s v="Cash Advance"/>
    <x v="0"/>
    <n v="500000"/>
    <x v="13"/>
    <n v="25000"/>
    <x v="0"/>
    <x v="0"/>
    <s v="Ok"/>
    <x v="0"/>
    <x v="0"/>
  </r>
  <r>
    <s v="PC-2026-0768"/>
    <x v="184"/>
    <s v="EMP019"/>
    <x v="15"/>
    <x v="1"/>
    <s v="Petty Cash"/>
    <x v="4"/>
    <n v="400000"/>
    <x v="19"/>
    <n v="50000"/>
    <x v="0"/>
    <x v="0"/>
    <s v="Ok"/>
    <x v="0"/>
    <x v="0"/>
  </r>
  <r>
    <s v="PC-2026-0769"/>
    <x v="185"/>
    <s v="EMP002"/>
    <x v="4"/>
    <x v="0"/>
    <s v="Petty Cash"/>
    <x v="3"/>
    <n v="350000"/>
    <x v="27"/>
    <n v="100000"/>
    <x v="0"/>
    <x v="0"/>
    <s v="Ok"/>
    <x v="0"/>
    <x v="0"/>
  </r>
  <r>
    <s v="PC-2026-0770"/>
    <x v="185"/>
    <s v="EMP019"/>
    <x v="15"/>
    <x v="1"/>
    <s v="Petty Cash"/>
    <x v="3"/>
    <n v="425000"/>
    <x v="5"/>
    <n v="25000"/>
    <x v="0"/>
    <x v="0"/>
    <s v="Ok"/>
    <x v="0"/>
    <x v="0"/>
  </r>
  <r>
    <s v="PC-2026-0771"/>
    <x v="185"/>
    <s v="EMP019"/>
    <x v="15"/>
    <x v="1"/>
    <s v="Cash Advance"/>
    <x v="5"/>
    <n v="30000"/>
    <x v="60"/>
    <n v="5000"/>
    <x v="0"/>
    <x v="0"/>
    <s v="Ok"/>
    <x v="0"/>
    <x v="0"/>
  </r>
  <r>
    <s v="PC-2026-0772"/>
    <x v="186"/>
    <s v="EMP003"/>
    <x v="5"/>
    <x v="3"/>
    <s v="Petty Cash"/>
    <x v="6"/>
    <n v="250000"/>
    <x v="9"/>
    <n v="25000"/>
    <x v="0"/>
    <x v="0"/>
    <s v="Ok"/>
    <x v="0"/>
    <x v="0"/>
  </r>
  <r>
    <s v="PC-2026-0773"/>
    <x v="186"/>
    <s v="EMP006"/>
    <x v="16"/>
    <x v="6"/>
    <s v="Petty Cash"/>
    <x v="0"/>
    <n v="1675000"/>
    <x v="83"/>
    <n v="450000"/>
    <x v="0"/>
    <x v="0"/>
    <s v="Ok"/>
    <x v="0"/>
    <x v="0"/>
  </r>
  <r>
    <s v="PC-2026-0774"/>
    <x v="186"/>
    <s v="EMP019"/>
    <x v="15"/>
    <x v="1"/>
    <s v="Petty Cash"/>
    <x v="1"/>
    <n v="380000"/>
    <x v="40"/>
    <n v="55000"/>
    <x v="0"/>
    <x v="0"/>
    <s v="Ok"/>
    <x v="0"/>
    <x v="0"/>
  </r>
  <r>
    <s v="PC-2026-0775"/>
    <x v="187"/>
    <s v="EMP004"/>
    <x v="14"/>
    <x v="2"/>
    <s v="Petty Cash"/>
    <x v="2"/>
    <n v="575000"/>
    <x v="32"/>
    <n v="25000"/>
    <x v="0"/>
    <x v="0"/>
    <s v="Ok"/>
    <x v="0"/>
    <x v="0"/>
  </r>
  <r>
    <s v="PC-2026-0776"/>
    <x v="187"/>
    <s v="EMP004"/>
    <x v="14"/>
    <x v="2"/>
    <s v="Petty Cash"/>
    <x v="7"/>
    <n v="375000"/>
    <x v="17"/>
    <n v="100000"/>
    <x v="0"/>
    <x v="0"/>
    <s v="Ok"/>
    <x v="0"/>
    <x v="0"/>
  </r>
  <r>
    <s v="PC-2026-0777"/>
    <x v="187"/>
    <s v="EMP005"/>
    <x v="11"/>
    <x v="1"/>
    <s v="Petty Cash"/>
    <x v="6"/>
    <n v="200000"/>
    <x v="20"/>
    <n v="50000"/>
    <x v="0"/>
    <x v="0"/>
    <s v="Ok"/>
    <x v="0"/>
    <x v="0"/>
  </r>
  <r>
    <s v="PC-2026-0778"/>
    <x v="187"/>
    <s v="EMP013"/>
    <x v="1"/>
    <x v="1"/>
    <s v="Cash Advance"/>
    <x v="3"/>
    <n v="225000"/>
    <x v="22"/>
    <n v="25000"/>
    <x v="0"/>
    <x v="0"/>
    <s v="Ok"/>
    <x v="0"/>
    <x v="0"/>
  </r>
  <r>
    <s v="PC-2026-0779"/>
    <x v="187"/>
    <s v="EMP014"/>
    <x v="12"/>
    <x v="6"/>
    <s v="Cash Advance"/>
    <x v="0"/>
    <n v="650000"/>
    <x v="1"/>
    <n v="0"/>
    <x v="19"/>
    <x v="1"/>
    <s v="Ok"/>
    <x v="127"/>
    <x v="1"/>
  </r>
  <r>
    <s v="PC-2026-0780"/>
    <x v="187"/>
    <s v="EMP019"/>
    <x v="15"/>
    <x v="1"/>
    <s v="Petty Cash"/>
    <x v="6"/>
    <n v="225000"/>
    <x v="15"/>
    <n v="50000"/>
    <x v="0"/>
    <x v="0"/>
    <s v="Ok"/>
    <x v="0"/>
    <x v="0"/>
  </r>
  <r>
    <s v="PC-2026-0781"/>
    <x v="188"/>
    <s v="EMP005"/>
    <x v="11"/>
    <x v="1"/>
    <s v="Cash Advance"/>
    <x v="1"/>
    <n v="280000"/>
    <x v="27"/>
    <n v="30000"/>
    <x v="0"/>
    <x v="0"/>
    <s v="Ok"/>
    <x v="0"/>
    <x v="0"/>
  </r>
  <r>
    <s v="PC-2026-0782"/>
    <x v="188"/>
    <s v="EMP007"/>
    <x v="8"/>
    <x v="5"/>
    <s v="Cash Advance"/>
    <x v="5"/>
    <n v="205000"/>
    <x v="22"/>
    <n v="5000"/>
    <x v="0"/>
    <x v="0"/>
    <s v="Ok"/>
    <x v="0"/>
    <x v="0"/>
  </r>
  <r>
    <s v="PC-2026-0783"/>
    <x v="188"/>
    <s v="EMP007"/>
    <x v="8"/>
    <x v="5"/>
    <s v="Petty Cash"/>
    <x v="2"/>
    <n v="950000"/>
    <x v="44"/>
    <n v="125000"/>
    <x v="0"/>
    <x v="0"/>
    <s v="Ok"/>
    <x v="0"/>
    <x v="0"/>
  </r>
  <r>
    <s v="PC-2026-0784"/>
    <x v="188"/>
    <s v="EMP008"/>
    <x v="0"/>
    <x v="0"/>
    <s v="Cash Advance"/>
    <x v="0"/>
    <n v="3150000"/>
    <x v="24"/>
    <n v="625000"/>
    <x v="0"/>
    <x v="0"/>
    <s v="Ok"/>
    <x v="0"/>
    <x v="0"/>
  </r>
  <r>
    <s v="PC-2026-0785"/>
    <x v="189"/>
    <s v="EMP004"/>
    <x v="14"/>
    <x v="2"/>
    <s v="Cash Advance"/>
    <x v="5"/>
    <n v="305000"/>
    <x v="17"/>
    <n v="30000"/>
    <x v="0"/>
    <x v="0"/>
    <s v="Ok"/>
    <x v="0"/>
    <x v="0"/>
  </r>
  <r>
    <s v="PC-2026-0786"/>
    <x v="189"/>
    <s v="EMP008"/>
    <x v="0"/>
    <x v="0"/>
    <s v="Petty Cash"/>
    <x v="7"/>
    <n v="675000"/>
    <x v="33"/>
    <n v="25000"/>
    <x v="0"/>
    <x v="0"/>
    <s v="Ok"/>
    <x v="0"/>
    <x v="0"/>
  </r>
  <r>
    <s v="PC-2026-0787"/>
    <x v="189"/>
    <s v="EMP018"/>
    <x v="2"/>
    <x v="2"/>
    <s v="Petty Cash"/>
    <x v="7"/>
    <n v="700000"/>
    <x v="55"/>
    <n v="125000"/>
    <x v="0"/>
    <x v="0"/>
    <s v="Ok"/>
    <x v="0"/>
    <x v="0"/>
  </r>
  <r>
    <s v="PC-2026-0788"/>
    <x v="190"/>
    <s v="EMP006"/>
    <x v="16"/>
    <x v="6"/>
    <s v="Petty Cash"/>
    <x v="2"/>
    <n v="875000"/>
    <x v="18"/>
    <n v="75000"/>
    <x v="0"/>
    <x v="0"/>
    <s v="Ok"/>
    <x v="0"/>
    <x v="0"/>
  </r>
  <r>
    <s v="PC-2026-0789"/>
    <x v="190"/>
    <s v="EMP020"/>
    <x v="3"/>
    <x v="3"/>
    <s v="Petty Cash"/>
    <x v="0"/>
    <n v="3300000"/>
    <x v="84"/>
    <n v="800000"/>
    <x v="0"/>
    <x v="0"/>
    <s v="Ok"/>
    <x v="0"/>
    <x v="0"/>
  </r>
  <r>
    <s v="PC-2026-0790"/>
    <x v="191"/>
    <s v="EMP009"/>
    <x v="6"/>
    <x v="4"/>
    <s v="Cash Advance"/>
    <x v="0"/>
    <n v="3825000"/>
    <x v="85"/>
    <n v="550000"/>
    <x v="0"/>
    <x v="0"/>
    <s v="Ok"/>
    <x v="0"/>
    <x v="0"/>
  </r>
  <r>
    <s v="PC-2026-0791"/>
    <x v="191"/>
    <s v="EMP010"/>
    <x v="7"/>
    <x v="2"/>
    <s v="Cash Advance"/>
    <x v="7"/>
    <n v="475000"/>
    <x v="12"/>
    <n v="25000"/>
    <x v="0"/>
    <x v="0"/>
    <s v="Ok"/>
    <x v="0"/>
    <x v="0"/>
  </r>
  <r>
    <s v="PC-2026-0792"/>
    <x v="192"/>
    <s v="EMP006"/>
    <x v="16"/>
    <x v="6"/>
    <s v="Petty Cash"/>
    <x v="5"/>
    <n v="155000"/>
    <x v="1"/>
    <n v="0"/>
    <x v="82"/>
    <x v="1"/>
    <s v="Ok"/>
    <x v="128"/>
    <x v="1"/>
  </r>
  <r>
    <s v="PC-2026-0793"/>
    <x v="192"/>
    <s v="EMP007"/>
    <x v="8"/>
    <x v="5"/>
    <s v="Petty Cash"/>
    <x v="6"/>
    <n v="825000"/>
    <x v="23"/>
    <n v="200000"/>
    <x v="0"/>
    <x v="0"/>
    <s v="Ok"/>
    <x v="0"/>
    <x v="0"/>
  </r>
  <r>
    <s v="PC-2026-0794"/>
    <x v="192"/>
    <s v="EMP007"/>
    <x v="8"/>
    <x v="5"/>
    <s v="Cash Advance"/>
    <x v="1"/>
    <n v="380000"/>
    <x v="7"/>
    <n v="5000"/>
    <x v="0"/>
    <x v="0"/>
    <s v="Ok"/>
    <x v="0"/>
    <x v="0"/>
  </r>
  <r>
    <s v="PC-2026-0795"/>
    <x v="192"/>
    <s v="EMP008"/>
    <x v="0"/>
    <x v="0"/>
    <s v="Cash Advance"/>
    <x v="5"/>
    <n v="380000"/>
    <x v="1"/>
    <n v="0"/>
    <x v="25"/>
    <x v="1"/>
    <s v="Ok"/>
    <x v="128"/>
    <x v="1"/>
  </r>
  <r>
    <s v="PC-2026-0796"/>
    <x v="192"/>
    <s v="EMP014"/>
    <x v="12"/>
    <x v="6"/>
    <s v="Petty Cash"/>
    <x v="4"/>
    <n v="675000"/>
    <x v="33"/>
    <n v="25000"/>
    <x v="0"/>
    <x v="0"/>
    <s v="Ok"/>
    <x v="0"/>
    <x v="0"/>
  </r>
  <r>
    <s v="PC-2026-0797"/>
    <x v="192"/>
    <s v="EMP016"/>
    <x v="18"/>
    <x v="0"/>
    <s v="Petty Cash"/>
    <x v="4"/>
    <n v="750000"/>
    <x v="41"/>
    <n v="50000"/>
    <x v="0"/>
    <x v="0"/>
    <s v="Ok"/>
    <x v="0"/>
    <x v="0"/>
  </r>
  <r>
    <s v="PC-2026-0798"/>
    <x v="193"/>
    <s v="EMP001"/>
    <x v="10"/>
    <x v="4"/>
    <s v="Petty Cash"/>
    <x v="7"/>
    <n v="300000"/>
    <x v="27"/>
    <n v="50000"/>
    <x v="0"/>
    <x v="0"/>
    <s v="Ok"/>
    <x v="0"/>
    <x v="0"/>
  </r>
  <r>
    <s v="PC-2026-0799"/>
    <x v="193"/>
    <s v="EMP003"/>
    <x v="5"/>
    <x v="3"/>
    <s v="Cash Advance"/>
    <x v="3"/>
    <n v="275000"/>
    <x v="9"/>
    <n v="50000"/>
    <x v="0"/>
    <x v="0"/>
    <s v="Ok"/>
    <x v="0"/>
    <x v="0"/>
  </r>
  <r>
    <s v="PC-2026-0800"/>
    <x v="193"/>
    <s v="EMP008"/>
    <x v="0"/>
    <x v="0"/>
    <s v="Petty Cash"/>
    <x v="7"/>
    <n v="425000"/>
    <x v="40"/>
    <n v="100000"/>
    <x v="0"/>
    <x v="0"/>
    <s v="Ok"/>
    <x v="0"/>
    <x v="0"/>
  </r>
  <r>
    <s v="PC-2026-0801"/>
    <x v="193"/>
    <s v="EMP016"/>
    <x v="18"/>
    <x v="0"/>
    <s v="Petty Cash"/>
    <x v="2"/>
    <n v="675000"/>
    <x v="32"/>
    <n v="125000"/>
    <x v="0"/>
    <x v="0"/>
    <s v="Ok"/>
    <x v="0"/>
    <x v="0"/>
  </r>
  <r>
    <s v="PC-2026-0802"/>
    <x v="193"/>
    <s v="EMP016"/>
    <x v="18"/>
    <x v="0"/>
    <s v="Petty Cash"/>
    <x v="6"/>
    <n v="225000"/>
    <x v="22"/>
    <n v="25000"/>
    <x v="0"/>
    <x v="0"/>
    <s v="Ok"/>
    <x v="0"/>
    <x v="0"/>
  </r>
  <r>
    <s v="PC-2026-0803"/>
    <x v="193"/>
    <s v="EMP018"/>
    <x v="2"/>
    <x v="2"/>
    <s v="Cash Advance"/>
    <x v="5"/>
    <n v="405000"/>
    <x v="19"/>
    <n v="55000"/>
    <x v="0"/>
    <x v="0"/>
    <s v="Ok"/>
    <x v="0"/>
    <x v="0"/>
  </r>
  <r>
    <s v="PC-2026-0804"/>
    <x v="194"/>
    <s v="EMP001"/>
    <x v="10"/>
    <x v="4"/>
    <s v="Cash Advance"/>
    <x v="7"/>
    <n v="375000"/>
    <x v="1"/>
    <n v="0"/>
    <x v="83"/>
    <x v="1"/>
    <s v="Ok"/>
    <x v="129"/>
    <x v="1"/>
  </r>
  <r>
    <s v="PC-2026-0805"/>
    <x v="194"/>
    <s v="EMP004"/>
    <x v="14"/>
    <x v="2"/>
    <s v="Cash Advance"/>
    <x v="2"/>
    <n v="500000"/>
    <x v="12"/>
    <n v="50000"/>
    <x v="0"/>
    <x v="0"/>
    <s v="Ok"/>
    <x v="0"/>
    <x v="0"/>
  </r>
  <r>
    <s v="PC-2026-0806"/>
    <x v="194"/>
    <s v="EMP007"/>
    <x v="8"/>
    <x v="5"/>
    <s v="Cash Advance"/>
    <x v="5"/>
    <n v="405000"/>
    <x v="5"/>
    <n v="5000"/>
    <x v="0"/>
    <x v="0"/>
    <s v="Ok"/>
    <x v="0"/>
    <x v="0"/>
  </r>
  <r>
    <s v="PC-2026-0807"/>
    <x v="195"/>
    <s v="EMP004"/>
    <x v="14"/>
    <x v="2"/>
    <s v="Petty Cash"/>
    <x v="6"/>
    <n v="875000"/>
    <x v="18"/>
    <n v="75000"/>
    <x v="0"/>
    <x v="0"/>
    <s v="Ok"/>
    <x v="0"/>
    <x v="0"/>
  </r>
  <r>
    <s v="PC-2026-0808"/>
    <x v="195"/>
    <s v="EMP012"/>
    <x v="9"/>
    <x v="5"/>
    <s v="Petty Cash"/>
    <x v="2"/>
    <n v="350000"/>
    <x v="27"/>
    <n v="100000"/>
    <x v="0"/>
    <x v="0"/>
    <s v="Ok"/>
    <x v="0"/>
    <x v="0"/>
  </r>
  <r>
    <s v="PC-2026-0809"/>
    <x v="195"/>
    <s v="EMP016"/>
    <x v="18"/>
    <x v="0"/>
    <s v="Cash Advance"/>
    <x v="5"/>
    <n v="280000"/>
    <x v="1"/>
    <n v="0"/>
    <x v="27"/>
    <x v="1"/>
    <s v="Ok"/>
    <x v="130"/>
    <x v="1"/>
  </r>
  <r>
    <s v="PC-2026-0810"/>
    <x v="195"/>
    <s v="EMP017"/>
    <x v="13"/>
    <x v="5"/>
    <s v="Cash Advance"/>
    <x v="7"/>
    <n v="100000"/>
    <x v="30"/>
    <n v="0"/>
    <x v="0"/>
    <x v="0"/>
    <s v="Ok"/>
    <x v="0"/>
    <x v="0"/>
  </r>
  <r>
    <s v="PC-2026-0811"/>
    <x v="195"/>
    <s v="EMP017"/>
    <x v="13"/>
    <x v="5"/>
    <s v="Petty Cash"/>
    <x v="2"/>
    <n v="1150000"/>
    <x v="75"/>
    <n v="50000"/>
    <x v="0"/>
    <x v="0"/>
    <s v="Ok"/>
    <x v="0"/>
    <x v="0"/>
  </r>
  <r>
    <s v="PC-2026-0812"/>
    <x v="195"/>
    <s v="EMP017"/>
    <x v="13"/>
    <x v="5"/>
    <s v="Petty Cash"/>
    <x v="0"/>
    <n v="625000"/>
    <x v="32"/>
    <n v="75000"/>
    <x v="0"/>
    <x v="0"/>
    <s v="Ok"/>
    <x v="0"/>
    <x v="0"/>
  </r>
  <r>
    <s v="PC-2026-0813"/>
    <x v="195"/>
    <s v="EMP018"/>
    <x v="2"/>
    <x v="2"/>
    <s v="Cash Advance"/>
    <x v="5"/>
    <n v="455000"/>
    <x v="19"/>
    <n v="105000"/>
    <x v="0"/>
    <x v="0"/>
    <s v="Ok"/>
    <x v="0"/>
    <x v="0"/>
  </r>
  <r>
    <s v="PC-2026-0814"/>
    <x v="196"/>
    <s v="EMP004"/>
    <x v="14"/>
    <x v="2"/>
    <s v="Petty Cash"/>
    <x v="6"/>
    <n v="350000"/>
    <x v="27"/>
    <n v="100000"/>
    <x v="0"/>
    <x v="0"/>
    <s v="Ok"/>
    <x v="0"/>
    <x v="0"/>
  </r>
  <r>
    <s v="PC-2026-0815"/>
    <x v="196"/>
    <s v="EMP010"/>
    <x v="7"/>
    <x v="2"/>
    <s v="Cash Advance"/>
    <x v="2"/>
    <n v="1200000"/>
    <x v="75"/>
    <n v="100000"/>
    <x v="0"/>
    <x v="0"/>
    <s v="Ok"/>
    <x v="0"/>
    <x v="0"/>
  </r>
  <r>
    <s v="PC-2026-0816"/>
    <x v="196"/>
    <s v="EMP013"/>
    <x v="1"/>
    <x v="1"/>
    <s v="Petty Cash"/>
    <x v="2"/>
    <n v="1275000"/>
    <x v="59"/>
    <n v="0"/>
    <x v="0"/>
    <x v="0"/>
    <s v="Ok"/>
    <x v="0"/>
    <x v="0"/>
  </r>
  <r>
    <s v="PC-2026-0817"/>
    <x v="196"/>
    <s v="EMP014"/>
    <x v="12"/>
    <x v="6"/>
    <s v="Cash Advance"/>
    <x v="5"/>
    <n v="155000"/>
    <x v="1"/>
    <n v="0"/>
    <x v="82"/>
    <x v="1"/>
    <s v="Ok"/>
    <x v="131"/>
    <x v="1"/>
  </r>
  <r>
    <s v="PC-2026-0818"/>
    <x v="196"/>
    <s v="EMP016"/>
    <x v="18"/>
    <x v="0"/>
    <s v="Petty Cash"/>
    <x v="2"/>
    <n v="325000"/>
    <x v="9"/>
    <n v="100000"/>
    <x v="0"/>
    <x v="0"/>
    <s v="Ok"/>
    <x v="0"/>
    <x v="0"/>
  </r>
  <r>
    <s v="PC-2026-0819"/>
    <x v="197"/>
    <s v="EMP002"/>
    <x v="4"/>
    <x v="0"/>
    <s v="Petty Cash"/>
    <x v="0"/>
    <n v="3625000"/>
    <x v="86"/>
    <n v="225000"/>
    <x v="0"/>
    <x v="0"/>
    <s v="Ok"/>
    <x v="0"/>
    <x v="0"/>
  </r>
  <r>
    <s v="PC-2026-0820"/>
    <x v="197"/>
    <s v="EMP009"/>
    <x v="6"/>
    <x v="4"/>
    <s v="Cash Advance"/>
    <x v="5"/>
    <n v="180000"/>
    <x v="15"/>
    <n v="5000"/>
    <x v="0"/>
    <x v="0"/>
    <s v="Ok"/>
    <x v="0"/>
    <x v="0"/>
  </r>
  <r>
    <s v="PC-2026-0821"/>
    <x v="197"/>
    <s v="EMP010"/>
    <x v="7"/>
    <x v="2"/>
    <s v="Petty Cash"/>
    <x v="6"/>
    <n v="275000"/>
    <x v="27"/>
    <n v="25000"/>
    <x v="0"/>
    <x v="0"/>
    <s v="Ok"/>
    <x v="0"/>
    <x v="0"/>
  </r>
  <r>
    <s v="PC-2026-0822"/>
    <x v="197"/>
    <s v="EMP012"/>
    <x v="9"/>
    <x v="5"/>
    <s v="Cash Advance"/>
    <x v="3"/>
    <n v="175000"/>
    <x v="20"/>
    <n v="25000"/>
    <x v="0"/>
    <x v="0"/>
    <s v="Ok"/>
    <x v="0"/>
    <x v="0"/>
  </r>
  <r>
    <s v="PC-2026-0823"/>
    <x v="197"/>
    <s v="EMP016"/>
    <x v="18"/>
    <x v="0"/>
    <s v="Petty Cash"/>
    <x v="3"/>
    <n v="350000"/>
    <x v="26"/>
    <n v="50000"/>
    <x v="0"/>
    <x v="0"/>
    <s v="Ok"/>
    <x v="0"/>
    <x v="0"/>
  </r>
  <r>
    <s v="PC-2026-0824"/>
    <x v="198"/>
    <s v="EMP003"/>
    <x v="5"/>
    <x v="3"/>
    <s v="Petty Cash"/>
    <x v="4"/>
    <n v="100000"/>
    <x v="30"/>
    <n v="0"/>
    <x v="0"/>
    <x v="0"/>
    <s v="Ok"/>
    <x v="0"/>
    <x v="0"/>
  </r>
  <r>
    <s v="PC-2026-0825"/>
    <x v="198"/>
    <s v="EMP003"/>
    <x v="5"/>
    <x v="3"/>
    <s v="Petty Cash"/>
    <x v="3"/>
    <n v="250000"/>
    <x v="9"/>
    <n v="25000"/>
    <x v="0"/>
    <x v="0"/>
    <s v="Ok"/>
    <x v="0"/>
    <x v="0"/>
  </r>
  <r>
    <s v="PC-2026-0826"/>
    <x v="198"/>
    <s v="EMP004"/>
    <x v="14"/>
    <x v="2"/>
    <s v="Petty Cash"/>
    <x v="0"/>
    <n v="1175000"/>
    <x v="1"/>
    <n v="0"/>
    <x v="54"/>
    <x v="1"/>
    <s v="Ok"/>
    <x v="132"/>
    <x v="1"/>
  </r>
  <r>
    <s v="PC-2026-0827"/>
    <x v="198"/>
    <s v="EMP010"/>
    <x v="7"/>
    <x v="2"/>
    <s v="Cash Advance"/>
    <x v="7"/>
    <n v="175000"/>
    <x v="1"/>
    <n v="0"/>
    <x v="12"/>
    <x v="1"/>
    <s v="Ok"/>
    <x v="132"/>
    <x v="1"/>
  </r>
  <r>
    <s v="PC-2026-0828"/>
    <x v="198"/>
    <s v="EMP013"/>
    <x v="1"/>
    <x v="1"/>
    <s v="Cash Advance"/>
    <x v="4"/>
    <n v="275000"/>
    <x v="9"/>
    <n v="50000"/>
    <x v="0"/>
    <x v="0"/>
    <s v="Ok"/>
    <x v="0"/>
    <x v="0"/>
  </r>
  <r>
    <s v="PC-2026-0829"/>
    <x v="199"/>
    <s v="EMP003"/>
    <x v="5"/>
    <x v="3"/>
    <s v="Petty Cash"/>
    <x v="2"/>
    <n v="375000"/>
    <x v="1"/>
    <n v="0"/>
    <x v="83"/>
    <x v="1"/>
    <s v="Ok"/>
    <x v="133"/>
    <x v="1"/>
  </r>
  <r>
    <s v="PC-2026-0830"/>
    <x v="199"/>
    <s v="EMP005"/>
    <x v="11"/>
    <x v="1"/>
    <s v="Cash Advance"/>
    <x v="2"/>
    <n v="1375000"/>
    <x v="6"/>
    <n v="350000"/>
    <x v="0"/>
    <x v="0"/>
    <s v="Ok"/>
    <x v="0"/>
    <x v="0"/>
  </r>
  <r>
    <s v="PC-2026-0831"/>
    <x v="199"/>
    <s v="EMP011"/>
    <x v="19"/>
    <x v="3"/>
    <s v="Petty Cash"/>
    <x v="2"/>
    <n v="525000"/>
    <x v="5"/>
    <n v="125000"/>
    <x v="0"/>
    <x v="0"/>
    <s v="Ok"/>
    <x v="0"/>
    <x v="0"/>
  </r>
  <r>
    <s v="PC-2026-0832"/>
    <x v="199"/>
    <s v="EMP012"/>
    <x v="9"/>
    <x v="5"/>
    <s v="Cash Advance"/>
    <x v="2"/>
    <n v="225000"/>
    <x v="22"/>
    <n v="25000"/>
    <x v="0"/>
    <x v="0"/>
    <s v="Ok"/>
    <x v="0"/>
    <x v="0"/>
  </r>
  <r>
    <s v="PC-2026-0833"/>
    <x v="199"/>
    <s v="EMP017"/>
    <x v="13"/>
    <x v="5"/>
    <s v="Petty Cash"/>
    <x v="0"/>
    <n v="800000"/>
    <x v="28"/>
    <n v="25000"/>
    <x v="0"/>
    <x v="0"/>
    <s v="Ok"/>
    <x v="0"/>
    <x v="0"/>
  </r>
  <r>
    <s v="PC-2026-0834"/>
    <x v="199"/>
    <s v="EMP018"/>
    <x v="2"/>
    <x v="2"/>
    <s v="Petty Cash"/>
    <x v="6"/>
    <n v="750000"/>
    <x v="38"/>
    <n v="150000"/>
    <x v="0"/>
    <x v="0"/>
    <s v="Ok"/>
    <x v="0"/>
    <x v="0"/>
  </r>
  <r>
    <s v="PC-2026-0835"/>
    <x v="200"/>
    <s v="EMP009"/>
    <x v="6"/>
    <x v="4"/>
    <s v="Petty Cash"/>
    <x v="2"/>
    <n v="775000"/>
    <x v="55"/>
    <n v="200000"/>
    <x v="0"/>
    <x v="0"/>
    <s v="Ok"/>
    <x v="0"/>
    <x v="0"/>
  </r>
  <r>
    <s v="PC-2026-0836"/>
    <x v="200"/>
    <s v="EMP010"/>
    <x v="7"/>
    <x v="2"/>
    <s v="Petty Cash"/>
    <x v="3"/>
    <n v="275000"/>
    <x v="27"/>
    <n v="25000"/>
    <x v="0"/>
    <x v="0"/>
    <s v="Ok"/>
    <x v="0"/>
    <x v="0"/>
  </r>
  <r>
    <s v="PC-2026-0837"/>
    <x v="200"/>
    <s v="EMP013"/>
    <x v="1"/>
    <x v="1"/>
    <s v="Petty Cash"/>
    <x v="0"/>
    <n v="725000"/>
    <x v="46"/>
    <n v="200000"/>
    <x v="0"/>
    <x v="0"/>
    <s v="Ok"/>
    <x v="0"/>
    <x v="0"/>
  </r>
  <r>
    <s v="PC-2026-0838"/>
    <x v="200"/>
    <s v="EMP013"/>
    <x v="1"/>
    <x v="1"/>
    <s v="Petty Cash"/>
    <x v="7"/>
    <n v="375000"/>
    <x v="17"/>
    <n v="100000"/>
    <x v="0"/>
    <x v="0"/>
    <s v="Ok"/>
    <x v="0"/>
    <x v="0"/>
  </r>
  <r>
    <s v="PC-2026-0839"/>
    <x v="200"/>
    <s v="EMP018"/>
    <x v="2"/>
    <x v="2"/>
    <s v="Petty Cash"/>
    <x v="6"/>
    <n v="850000"/>
    <x v="28"/>
    <n v="75000"/>
    <x v="0"/>
    <x v="0"/>
    <s v="Ok"/>
    <x v="0"/>
    <x v="0"/>
  </r>
  <r>
    <s v="PC-2026-0840"/>
    <x v="201"/>
    <s v="EMP010"/>
    <x v="7"/>
    <x v="2"/>
    <s v="Cash Advance"/>
    <x v="4"/>
    <n v="625000"/>
    <x v="32"/>
    <n v="75000"/>
    <x v="0"/>
    <x v="0"/>
    <s v="Ok"/>
    <x v="0"/>
    <x v="0"/>
  </r>
  <r>
    <s v="PC-2026-0841"/>
    <x v="201"/>
    <s v="EMP013"/>
    <x v="1"/>
    <x v="1"/>
    <s v="Petty Cash"/>
    <x v="0"/>
    <n v="1400000"/>
    <x v="1"/>
    <n v="0"/>
    <x v="84"/>
    <x v="1"/>
    <s v="Ok"/>
    <x v="134"/>
    <x v="1"/>
  </r>
  <r>
    <s v="PC-2026-0842"/>
    <x v="202"/>
    <s v="EMP008"/>
    <x v="0"/>
    <x v="0"/>
    <s v="Cash Advance"/>
    <x v="6"/>
    <n v="975000"/>
    <x v="34"/>
    <n v="125000"/>
    <x v="0"/>
    <x v="0"/>
    <s v="Ok"/>
    <x v="0"/>
    <x v="0"/>
  </r>
  <r>
    <s v="PC-2026-0843"/>
    <x v="203"/>
    <s v="EMP009"/>
    <x v="6"/>
    <x v="4"/>
    <s v="Cash Advance"/>
    <x v="7"/>
    <n v="100000"/>
    <x v="1"/>
    <n v="0"/>
    <x v="15"/>
    <x v="1"/>
    <s v="Ok"/>
    <x v="135"/>
    <x v="1"/>
  </r>
  <r>
    <s v="PC-2026-0844"/>
    <x v="203"/>
    <s v="EMP012"/>
    <x v="9"/>
    <x v="5"/>
    <s v="Petty Cash"/>
    <x v="7"/>
    <n v="625000"/>
    <x v="1"/>
    <n v="0"/>
    <x v="39"/>
    <x v="1"/>
    <s v="Ok"/>
    <x v="135"/>
    <x v="1"/>
  </r>
  <r>
    <s v="PC-2026-0845"/>
    <x v="203"/>
    <s v="EMP014"/>
    <x v="12"/>
    <x v="6"/>
    <s v="Cash Advance"/>
    <x v="1"/>
    <n v="355000"/>
    <x v="40"/>
    <n v="30000"/>
    <x v="0"/>
    <x v="0"/>
    <s v="Ok"/>
    <x v="0"/>
    <x v="0"/>
  </r>
  <r>
    <s v="PC-2026-0846"/>
    <x v="203"/>
    <s v="EMP018"/>
    <x v="2"/>
    <x v="2"/>
    <s v="Petty Cash"/>
    <x v="2"/>
    <n v="1300000"/>
    <x v="1"/>
    <n v="0"/>
    <x v="85"/>
    <x v="1"/>
    <s v="Ok"/>
    <x v="135"/>
    <x v="1"/>
  </r>
  <r>
    <s v="PC-2026-0847"/>
    <x v="203"/>
    <s v="EMP019"/>
    <x v="15"/>
    <x v="1"/>
    <s v="Petty Cash"/>
    <x v="3"/>
    <n v="600000"/>
    <x v="13"/>
    <n v="125000"/>
    <x v="0"/>
    <x v="0"/>
    <s v="Ok"/>
    <x v="0"/>
    <x v="0"/>
  </r>
  <r>
    <s v="PC-2026-0848"/>
    <x v="203"/>
    <s v="EMP020"/>
    <x v="3"/>
    <x v="3"/>
    <s v="Cash Advance"/>
    <x v="0"/>
    <n v="2450000"/>
    <x v="87"/>
    <n v="200000"/>
    <x v="0"/>
    <x v="0"/>
    <s v="Ok"/>
    <x v="0"/>
    <x v="0"/>
  </r>
  <r>
    <s v="PC-2026-0849"/>
    <x v="204"/>
    <s v="EMP012"/>
    <x v="9"/>
    <x v="5"/>
    <s v="Cash Advance"/>
    <x v="2"/>
    <n v="875000"/>
    <x v="8"/>
    <n v="200000"/>
    <x v="0"/>
    <x v="0"/>
    <s v="Ok"/>
    <x v="0"/>
    <x v="0"/>
  </r>
  <r>
    <s v="PC-2026-0850"/>
    <x v="204"/>
    <s v="EMP014"/>
    <x v="12"/>
    <x v="6"/>
    <s v="Petty Cash"/>
    <x v="1"/>
    <n v="105000"/>
    <x v="30"/>
    <n v="5000"/>
    <x v="0"/>
    <x v="0"/>
    <s v="Ok"/>
    <x v="0"/>
    <x v="0"/>
  </r>
  <r>
    <s v="PC-2026-0851"/>
    <x v="204"/>
    <s v="EMP016"/>
    <x v="18"/>
    <x v="0"/>
    <s v="Cash Advance"/>
    <x v="6"/>
    <n v="325000"/>
    <x v="17"/>
    <n v="50000"/>
    <x v="0"/>
    <x v="0"/>
    <s v="Ok"/>
    <x v="0"/>
    <x v="0"/>
  </r>
  <r>
    <s v="PC-2026-0852"/>
    <x v="204"/>
    <s v="EMP018"/>
    <x v="2"/>
    <x v="2"/>
    <s v="Cash Advance"/>
    <x v="5"/>
    <n v="205000"/>
    <x v="20"/>
    <n v="55000"/>
    <x v="0"/>
    <x v="0"/>
    <s v="Ok"/>
    <x v="0"/>
    <x v="0"/>
  </r>
  <r>
    <s v="PC-2026-0853"/>
    <x v="204"/>
    <s v="EMP020"/>
    <x v="3"/>
    <x v="3"/>
    <s v="Cash Advance"/>
    <x v="4"/>
    <n v="625000"/>
    <x v="32"/>
    <n v="75000"/>
    <x v="0"/>
    <x v="0"/>
    <s v="Ok"/>
    <x v="0"/>
    <x v="0"/>
  </r>
  <r>
    <s v="PC-2026-0854"/>
    <x v="204"/>
    <s v="EMP020"/>
    <x v="3"/>
    <x v="3"/>
    <s v="Petty Cash"/>
    <x v="0"/>
    <n v="2300000"/>
    <x v="88"/>
    <n v="225000"/>
    <x v="0"/>
    <x v="0"/>
    <s v="Ok"/>
    <x v="0"/>
    <x v="0"/>
  </r>
  <r>
    <s v="PC-2026-0855"/>
    <x v="205"/>
    <s v="EMP003"/>
    <x v="5"/>
    <x v="3"/>
    <s v="Petty Cash"/>
    <x v="6"/>
    <n v="1200000"/>
    <x v="52"/>
    <n v="225000"/>
    <x v="0"/>
    <x v="0"/>
    <s v="Ok"/>
    <x v="0"/>
    <x v="0"/>
  </r>
  <r>
    <s v="PC-2026-0856"/>
    <x v="205"/>
    <s v="EMP015"/>
    <x v="17"/>
    <x v="4"/>
    <s v="Cash Advance"/>
    <x v="6"/>
    <n v="325000"/>
    <x v="27"/>
    <n v="75000"/>
    <x v="0"/>
    <x v="0"/>
    <s v="Ok"/>
    <x v="0"/>
    <x v="0"/>
  </r>
  <r>
    <s v="PC-2026-0857"/>
    <x v="205"/>
    <s v="EMP020"/>
    <x v="3"/>
    <x v="3"/>
    <s v="Petty Cash"/>
    <x v="5"/>
    <n v="55000"/>
    <x v="4"/>
    <n v="5000"/>
    <x v="0"/>
    <x v="0"/>
    <s v="Ok"/>
    <x v="0"/>
    <x v="0"/>
  </r>
  <r>
    <s v="PC-2026-0858"/>
    <x v="206"/>
    <s v="EMP007"/>
    <x v="8"/>
    <x v="5"/>
    <s v="Cash Advance"/>
    <x v="5"/>
    <n v="355000"/>
    <x v="40"/>
    <n v="30000"/>
    <x v="0"/>
    <x v="0"/>
    <s v="Ok"/>
    <x v="0"/>
    <x v="0"/>
  </r>
  <r>
    <s v="PC-2026-0859"/>
    <x v="206"/>
    <s v="EMP014"/>
    <x v="12"/>
    <x v="6"/>
    <s v="Petty Cash"/>
    <x v="1"/>
    <n v="255000"/>
    <x v="1"/>
    <n v="0"/>
    <x v="50"/>
    <x v="1"/>
    <s v="Ok"/>
    <x v="136"/>
    <x v="1"/>
  </r>
  <r>
    <s v="PC-2026-0860"/>
    <x v="206"/>
    <s v="EMP018"/>
    <x v="2"/>
    <x v="2"/>
    <s v="Petty Cash"/>
    <x v="0"/>
    <n v="3325000"/>
    <x v="2"/>
    <n v="25000"/>
    <x v="0"/>
    <x v="0"/>
    <s v="Ok"/>
    <x v="0"/>
    <x v="0"/>
  </r>
  <r>
    <s v="PC-2026-0861"/>
    <x v="206"/>
    <s v="EMP019"/>
    <x v="15"/>
    <x v="1"/>
    <s v="Cash Advance"/>
    <x v="2"/>
    <n v="1175000"/>
    <x v="1"/>
    <n v="0"/>
    <x v="54"/>
    <x v="1"/>
    <s v="Ok"/>
    <x v="136"/>
    <x v="1"/>
  </r>
  <r>
    <s v="PC-2026-0862"/>
    <x v="207"/>
    <s v="EMP003"/>
    <x v="5"/>
    <x v="3"/>
    <s v="Petty Cash"/>
    <x v="7"/>
    <n v="575000"/>
    <x v="53"/>
    <n v="75000"/>
    <x v="0"/>
    <x v="0"/>
    <s v="Ok"/>
    <x v="0"/>
    <x v="0"/>
  </r>
  <r>
    <s v="PC-2026-0863"/>
    <x v="207"/>
    <s v="EMP009"/>
    <x v="6"/>
    <x v="4"/>
    <s v="Petty Cash"/>
    <x v="4"/>
    <n v="700000"/>
    <x v="8"/>
    <n v="25000"/>
    <x v="0"/>
    <x v="0"/>
    <s v="Ok"/>
    <x v="0"/>
    <x v="0"/>
  </r>
  <r>
    <s v="PC-2026-0864"/>
    <x v="207"/>
    <s v="EMP009"/>
    <x v="6"/>
    <x v="4"/>
    <s v="Cash Advance"/>
    <x v="4"/>
    <n v="250000"/>
    <x v="27"/>
    <n v="0"/>
    <x v="0"/>
    <x v="0"/>
    <s v="Ok"/>
    <x v="0"/>
    <x v="0"/>
  </r>
  <r>
    <s v="PC-2026-0865"/>
    <x v="207"/>
    <s v="EMP018"/>
    <x v="2"/>
    <x v="2"/>
    <s v="Cash Advance"/>
    <x v="5"/>
    <n v="455000"/>
    <x v="19"/>
    <n v="105000"/>
    <x v="0"/>
    <x v="0"/>
    <s v="Ok"/>
    <x v="0"/>
    <x v="0"/>
  </r>
  <r>
    <s v="PC-2026-0866"/>
    <x v="207"/>
    <s v="EMP018"/>
    <x v="2"/>
    <x v="2"/>
    <s v="Petty Cash"/>
    <x v="4"/>
    <n v="350000"/>
    <x v="17"/>
    <n v="75000"/>
    <x v="0"/>
    <x v="0"/>
    <s v="Ok"/>
    <x v="0"/>
    <x v="0"/>
  </r>
  <r>
    <s v="PC-2026-0867"/>
    <x v="208"/>
    <s v="EMP004"/>
    <x v="14"/>
    <x v="2"/>
    <s v="Cash Advance"/>
    <x v="5"/>
    <n v="80000"/>
    <x v="10"/>
    <n v="5000"/>
    <x v="0"/>
    <x v="0"/>
    <s v="Ok"/>
    <x v="0"/>
    <x v="0"/>
  </r>
  <r>
    <s v="PC-2026-0868"/>
    <x v="208"/>
    <s v="EMP010"/>
    <x v="7"/>
    <x v="2"/>
    <s v="Petty Cash"/>
    <x v="5"/>
    <n v="155000"/>
    <x v="20"/>
    <n v="5000"/>
    <x v="0"/>
    <x v="0"/>
    <s v="Ok"/>
    <x v="0"/>
    <x v="0"/>
  </r>
  <r>
    <s v="PC-2026-0869"/>
    <x v="208"/>
    <s v="EMP013"/>
    <x v="1"/>
    <x v="1"/>
    <s v="Petty Cash"/>
    <x v="5"/>
    <n v="155000"/>
    <x v="21"/>
    <n v="30000"/>
    <x v="0"/>
    <x v="0"/>
    <s v="Ok"/>
    <x v="0"/>
    <x v="0"/>
  </r>
  <r>
    <s v="PC-2026-0870"/>
    <x v="208"/>
    <s v="EMP018"/>
    <x v="2"/>
    <x v="2"/>
    <s v="Petty Cash"/>
    <x v="4"/>
    <n v="250000"/>
    <x v="9"/>
    <n v="25000"/>
    <x v="0"/>
    <x v="0"/>
    <s v="Ok"/>
    <x v="0"/>
    <x v="0"/>
  </r>
  <r>
    <s v="PC-2026-0871"/>
    <x v="208"/>
    <s v="EMP019"/>
    <x v="15"/>
    <x v="1"/>
    <s v="Petty Cash"/>
    <x v="0"/>
    <n v="1550000"/>
    <x v="89"/>
    <n v="125000"/>
    <x v="0"/>
    <x v="0"/>
    <s v="Ok"/>
    <x v="0"/>
    <x v="0"/>
  </r>
  <r>
    <s v="PC-2026-0872"/>
    <x v="209"/>
    <s v="EMP010"/>
    <x v="7"/>
    <x v="2"/>
    <s v="Petty Cash"/>
    <x v="4"/>
    <n v="400000"/>
    <x v="7"/>
    <n v="25000"/>
    <x v="0"/>
    <x v="0"/>
    <s v="Ok"/>
    <x v="0"/>
    <x v="0"/>
  </r>
  <r>
    <s v="PC-2026-0873"/>
    <x v="209"/>
    <s v="EMP013"/>
    <x v="1"/>
    <x v="1"/>
    <s v="Cash Advance"/>
    <x v="6"/>
    <n v="275000"/>
    <x v="9"/>
    <n v="50000"/>
    <x v="0"/>
    <x v="0"/>
    <s v="Ok"/>
    <x v="0"/>
    <x v="0"/>
  </r>
  <r>
    <s v="PC-2026-0874"/>
    <x v="209"/>
    <s v="EMP014"/>
    <x v="12"/>
    <x v="6"/>
    <s v="Cash Advance"/>
    <x v="0"/>
    <n v="2550000"/>
    <x v="90"/>
    <n v="125000"/>
    <x v="0"/>
    <x v="0"/>
    <s v="Ok"/>
    <x v="0"/>
    <x v="0"/>
  </r>
  <r>
    <s v="PC-2026-0875"/>
    <x v="209"/>
    <s v="EMP017"/>
    <x v="13"/>
    <x v="5"/>
    <s v="Petty Cash"/>
    <x v="3"/>
    <n v="50000"/>
    <x v="4"/>
    <n v="0"/>
    <x v="0"/>
    <x v="0"/>
    <s v="Ok"/>
    <x v="0"/>
    <x v="0"/>
  </r>
  <r>
    <s v="PC-2026-0876"/>
    <x v="210"/>
    <s v="EMP005"/>
    <x v="11"/>
    <x v="1"/>
    <s v="Cash Advance"/>
    <x v="2"/>
    <n v="1400000"/>
    <x v="54"/>
    <n v="225000"/>
    <x v="0"/>
    <x v="0"/>
    <s v="Ok"/>
    <x v="0"/>
    <x v="0"/>
  </r>
  <r>
    <s v="PC-2026-0877"/>
    <x v="210"/>
    <s v="EMP006"/>
    <x v="16"/>
    <x v="6"/>
    <s v="Petty Cash"/>
    <x v="5"/>
    <n v="405000"/>
    <x v="1"/>
    <n v="0"/>
    <x v="46"/>
    <x v="1"/>
    <s v="Ok"/>
    <x v="137"/>
    <x v="2"/>
  </r>
  <r>
    <s v="PC-2026-0878"/>
    <x v="210"/>
    <s v="EMP009"/>
    <x v="6"/>
    <x v="4"/>
    <s v="Petty Cash"/>
    <x v="2"/>
    <n v="650000"/>
    <x v="38"/>
    <n v="50000"/>
    <x v="0"/>
    <x v="0"/>
    <s v="Ok"/>
    <x v="0"/>
    <x v="0"/>
  </r>
  <r>
    <s v="PC-2026-0879"/>
    <x v="210"/>
    <s v="EMP013"/>
    <x v="1"/>
    <x v="1"/>
    <s v="Cash Advance"/>
    <x v="0"/>
    <n v="1000000"/>
    <x v="34"/>
    <n v="150000"/>
    <x v="0"/>
    <x v="0"/>
    <s v="Ok"/>
    <x v="0"/>
    <x v="0"/>
  </r>
  <r>
    <s v="PC-2026-0880"/>
    <x v="210"/>
    <s v="EMP015"/>
    <x v="17"/>
    <x v="4"/>
    <s v="Petty Cash"/>
    <x v="6"/>
    <n v="275000"/>
    <x v="9"/>
    <n v="50000"/>
    <x v="0"/>
    <x v="0"/>
    <s v="Ok"/>
    <x v="0"/>
    <x v="0"/>
  </r>
  <r>
    <s v="PC-2026-0881"/>
    <x v="210"/>
    <s v="EMP015"/>
    <x v="17"/>
    <x v="4"/>
    <s v="Cash Advance"/>
    <x v="6"/>
    <n v="1075000"/>
    <x v="68"/>
    <n v="125000"/>
    <x v="0"/>
    <x v="0"/>
    <s v="Ok"/>
    <x v="0"/>
    <x v="0"/>
  </r>
  <r>
    <s v="PC-2026-0882"/>
    <x v="211"/>
    <s v="EMP006"/>
    <x v="16"/>
    <x v="6"/>
    <s v="Cash Advance"/>
    <x v="5"/>
    <n v="55000"/>
    <x v="4"/>
    <n v="5000"/>
    <x v="0"/>
    <x v="0"/>
    <s v="Ok"/>
    <x v="0"/>
    <x v="0"/>
  </r>
  <r>
    <s v="PC-2026-0883"/>
    <x v="211"/>
    <s v="EMP009"/>
    <x v="6"/>
    <x v="4"/>
    <s v="Cash Advance"/>
    <x v="4"/>
    <n v="150000"/>
    <x v="20"/>
    <n v="0"/>
    <x v="0"/>
    <x v="0"/>
    <s v="Ok"/>
    <x v="0"/>
    <x v="0"/>
  </r>
  <r>
    <s v="PC-2026-0884"/>
    <x v="211"/>
    <s v="EMP014"/>
    <x v="12"/>
    <x v="6"/>
    <s v="Cash Advance"/>
    <x v="7"/>
    <n v="550000"/>
    <x v="46"/>
    <n v="25000"/>
    <x v="0"/>
    <x v="0"/>
    <s v="Ok"/>
    <x v="0"/>
    <x v="0"/>
  </r>
  <r>
    <s v="PC-2026-0885"/>
    <x v="212"/>
    <s v="EMP005"/>
    <x v="11"/>
    <x v="1"/>
    <s v="Cash Advance"/>
    <x v="0"/>
    <n v="1800000"/>
    <x v="91"/>
    <n v="125000"/>
    <x v="0"/>
    <x v="0"/>
    <s v="Ok"/>
    <x v="0"/>
    <x v="0"/>
  </r>
  <r>
    <s v="PC-2026-0886"/>
    <x v="212"/>
    <s v="EMP007"/>
    <x v="8"/>
    <x v="5"/>
    <s v="Petty Cash"/>
    <x v="5"/>
    <n v="455000"/>
    <x v="7"/>
    <n v="80000"/>
    <x v="0"/>
    <x v="0"/>
    <s v="Ok"/>
    <x v="0"/>
    <x v="0"/>
  </r>
  <r>
    <s v="PC-2026-0887"/>
    <x v="212"/>
    <s v="EMP014"/>
    <x v="12"/>
    <x v="6"/>
    <s v="Petty Cash"/>
    <x v="1"/>
    <n v="480000"/>
    <x v="1"/>
    <n v="0"/>
    <x v="18"/>
    <x v="1"/>
    <s v="Ok"/>
    <x v="138"/>
    <x v="2"/>
  </r>
  <r>
    <s v="PC-2026-0888"/>
    <x v="212"/>
    <s v="EMP018"/>
    <x v="2"/>
    <x v="2"/>
    <s v="Cash Advance"/>
    <x v="3"/>
    <n v="225000"/>
    <x v="15"/>
    <n v="50000"/>
    <x v="0"/>
    <x v="0"/>
    <s v="Ok"/>
    <x v="0"/>
    <x v="0"/>
  </r>
  <r>
    <s v="PC-2026-0889"/>
    <x v="213"/>
    <s v="EMP005"/>
    <x v="11"/>
    <x v="1"/>
    <s v="Petty Cash"/>
    <x v="3"/>
    <n v="600000"/>
    <x v="12"/>
    <n v="150000"/>
    <x v="0"/>
    <x v="0"/>
    <s v="Ok"/>
    <x v="0"/>
    <x v="0"/>
  </r>
  <r>
    <s v="PC-2026-0890"/>
    <x v="213"/>
    <s v="EMP012"/>
    <x v="9"/>
    <x v="5"/>
    <s v="Cash Advance"/>
    <x v="0"/>
    <n v="1300000"/>
    <x v="52"/>
    <n v="325000"/>
    <x v="0"/>
    <x v="0"/>
    <s v="Ok"/>
    <x v="0"/>
    <x v="0"/>
  </r>
  <r>
    <s v="PC-2026-0891"/>
    <x v="213"/>
    <s v="EMP018"/>
    <x v="2"/>
    <x v="2"/>
    <s v="Cash Advance"/>
    <x v="7"/>
    <n v="175000"/>
    <x v="1"/>
    <n v="0"/>
    <x v="12"/>
    <x v="1"/>
    <s v="Ok"/>
    <x v="139"/>
    <x v="2"/>
  </r>
  <r>
    <s v="PC-2026-0892"/>
    <x v="214"/>
    <s v="EMP012"/>
    <x v="9"/>
    <x v="5"/>
    <s v="Petty Cash"/>
    <x v="1"/>
    <n v="255000"/>
    <x v="27"/>
    <n v="5000"/>
    <x v="0"/>
    <x v="0"/>
    <s v="Ok"/>
    <x v="0"/>
    <x v="0"/>
  </r>
  <r>
    <s v="PC-2026-0893"/>
    <x v="215"/>
    <s v="EMP004"/>
    <x v="14"/>
    <x v="2"/>
    <s v="Petty Cash"/>
    <x v="3"/>
    <n v="575000"/>
    <x v="12"/>
    <n v="125000"/>
    <x v="0"/>
    <x v="0"/>
    <s v="Ok"/>
    <x v="0"/>
    <x v="0"/>
  </r>
  <r>
    <s v="PC-2026-0894"/>
    <x v="215"/>
    <s v="EMP017"/>
    <x v="13"/>
    <x v="5"/>
    <s v="Cash Advance"/>
    <x v="3"/>
    <n v="175000"/>
    <x v="1"/>
    <n v="0"/>
    <x v="12"/>
    <x v="1"/>
    <s v="Ok"/>
    <x v="140"/>
    <x v="2"/>
  </r>
  <r>
    <s v="PC-2026-0895"/>
    <x v="216"/>
    <s v="EMP016"/>
    <x v="18"/>
    <x v="0"/>
    <s v="Petty Cash"/>
    <x v="1"/>
    <n v="80000"/>
    <x v="10"/>
    <n v="5000"/>
    <x v="0"/>
    <x v="0"/>
    <s v="Ok"/>
    <x v="0"/>
    <x v="0"/>
  </r>
  <r>
    <s v="PC-2026-0896"/>
    <x v="217"/>
    <s v="EMP007"/>
    <x v="8"/>
    <x v="5"/>
    <s v="Cash Advance"/>
    <x v="2"/>
    <n v="1175000"/>
    <x v="1"/>
    <n v="0"/>
    <x v="54"/>
    <x v="1"/>
    <s v="Ok"/>
    <x v="141"/>
    <x v="2"/>
  </r>
  <r>
    <s v="PC-2026-0897"/>
    <x v="217"/>
    <s v="EMP009"/>
    <x v="6"/>
    <x v="4"/>
    <s v="Petty Cash"/>
    <x v="2"/>
    <n v="500000"/>
    <x v="1"/>
    <n v="0"/>
    <x v="32"/>
    <x v="1"/>
    <s v="Ok"/>
    <x v="141"/>
    <x v="2"/>
  </r>
  <r>
    <s v="PC-2026-0898"/>
    <x v="218"/>
    <s v="EMP004"/>
    <x v="14"/>
    <x v="2"/>
    <s v="Cash Advance"/>
    <x v="1"/>
    <n v="405000"/>
    <x v="26"/>
    <n v="105000"/>
    <x v="0"/>
    <x v="0"/>
    <s v="Ok"/>
    <x v="0"/>
    <x v="0"/>
  </r>
  <r>
    <s v="PC-2026-0899"/>
    <x v="218"/>
    <s v="EMP008"/>
    <x v="0"/>
    <x v="0"/>
    <s v="Petty Cash"/>
    <x v="7"/>
    <n v="675000"/>
    <x v="38"/>
    <n v="75000"/>
    <x v="0"/>
    <x v="0"/>
    <s v="Ok"/>
    <x v="0"/>
    <x v="0"/>
  </r>
  <r>
    <s v="PC-2026-0900"/>
    <x v="218"/>
    <s v="EMP018"/>
    <x v="2"/>
    <x v="2"/>
    <s v="Petty Cash"/>
    <x v="3"/>
    <n v="575000"/>
    <x v="1"/>
    <n v="0"/>
    <x v="20"/>
    <x v="1"/>
    <s v="Ok"/>
    <x v="142"/>
    <x v="2"/>
  </r>
  <r>
    <s v="PC-2026-0901"/>
    <x v="219"/>
    <s v="EMP007"/>
    <x v="8"/>
    <x v="5"/>
    <s v="Cash Advance"/>
    <x v="4"/>
    <n v="325000"/>
    <x v="1"/>
    <n v="0"/>
    <x v="13"/>
    <x v="1"/>
    <s v="Ok"/>
    <x v="143"/>
    <x v="2"/>
  </r>
  <r>
    <s v="PC-2026-0902"/>
    <x v="219"/>
    <s v="EMP008"/>
    <x v="0"/>
    <x v="0"/>
    <s v="Cash Advance"/>
    <x v="1"/>
    <n v="355000"/>
    <x v="1"/>
    <n v="0"/>
    <x v="60"/>
    <x v="1"/>
    <s v="Ok"/>
    <x v="143"/>
    <x v="2"/>
  </r>
  <r>
    <s v="PC-2026-0903"/>
    <x v="219"/>
    <s v="EMP011"/>
    <x v="19"/>
    <x v="3"/>
    <s v="Petty Cash"/>
    <x v="6"/>
    <n v="375000"/>
    <x v="40"/>
    <n v="50000"/>
    <x v="0"/>
    <x v="0"/>
    <s v="Ok"/>
    <x v="0"/>
    <x v="0"/>
  </r>
  <r>
    <s v="PC-2026-0904"/>
    <x v="219"/>
    <s v="EMP011"/>
    <x v="19"/>
    <x v="3"/>
    <s v="Petty Cash"/>
    <x v="2"/>
    <n v="775000"/>
    <x v="33"/>
    <n v="125000"/>
    <x v="0"/>
    <x v="0"/>
    <s v="Ok"/>
    <x v="0"/>
    <x v="0"/>
  </r>
  <r>
    <s v="PC-2026-0905"/>
    <x v="219"/>
    <s v="EMP012"/>
    <x v="9"/>
    <x v="5"/>
    <s v="Cash Advance"/>
    <x v="0"/>
    <n v="2950000"/>
    <x v="92"/>
    <n v="625000"/>
    <x v="0"/>
    <x v="0"/>
    <s v="Ok"/>
    <x v="0"/>
    <x v="0"/>
  </r>
  <r>
    <s v="PC-2026-0906"/>
    <x v="219"/>
    <s v="EMP013"/>
    <x v="1"/>
    <x v="1"/>
    <s v="Petty Cash"/>
    <x v="4"/>
    <n v="800000"/>
    <x v="8"/>
    <n v="125000"/>
    <x v="0"/>
    <x v="0"/>
    <s v="Ok"/>
    <x v="0"/>
    <x v="0"/>
  </r>
  <r>
    <s v="PC-2026-0907"/>
    <x v="220"/>
    <s v="EMP004"/>
    <x v="14"/>
    <x v="2"/>
    <s v="Cash Advance"/>
    <x v="0"/>
    <n v="3325000"/>
    <x v="93"/>
    <n v="200000"/>
    <x v="0"/>
    <x v="0"/>
    <s v="Ok"/>
    <x v="0"/>
    <x v="0"/>
  </r>
  <r>
    <s v="PC-2026-0908"/>
    <x v="220"/>
    <s v="EMP005"/>
    <x v="11"/>
    <x v="1"/>
    <s v="Cash Advance"/>
    <x v="6"/>
    <n v="800000"/>
    <x v="58"/>
    <n v="75000"/>
    <x v="0"/>
    <x v="0"/>
    <s v="Ok"/>
    <x v="0"/>
    <x v="0"/>
  </r>
  <r>
    <s v="PC-2026-0909"/>
    <x v="220"/>
    <s v="EMP010"/>
    <x v="7"/>
    <x v="2"/>
    <s v="Petty Cash"/>
    <x v="6"/>
    <n v="800000"/>
    <x v="1"/>
    <n v="0"/>
    <x v="30"/>
    <x v="1"/>
    <s v="Ok"/>
    <x v="144"/>
    <x v="2"/>
  </r>
  <r>
    <s v="PC-2026-0910"/>
    <x v="220"/>
    <s v="EMP014"/>
    <x v="12"/>
    <x v="6"/>
    <s v="Petty Cash"/>
    <x v="4"/>
    <n v="525000"/>
    <x v="13"/>
    <n v="50000"/>
    <x v="0"/>
    <x v="0"/>
    <s v="Ok"/>
    <x v="0"/>
    <x v="0"/>
  </r>
  <r>
    <s v="PC-2026-0911"/>
    <x v="220"/>
    <s v="EMP019"/>
    <x v="15"/>
    <x v="1"/>
    <s v="Cash Advance"/>
    <x v="1"/>
    <n v="430000"/>
    <x v="19"/>
    <n v="80000"/>
    <x v="0"/>
    <x v="0"/>
    <s v="Ok"/>
    <x v="0"/>
    <x v="0"/>
  </r>
  <r>
    <s v="PC-2026-0912"/>
    <x v="221"/>
    <s v="EMP005"/>
    <x v="11"/>
    <x v="1"/>
    <s v="Cash Advance"/>
    <x v="5"/>
    <n v="305000"/>
    <x v="17"/>
    <n v="30000"/>
    <x v="0"/>
    <x v="0"/>
    <s v="Ok"/>
    <x v="0"/>
    <x v="0"/>
  </r>
  <r>
    <s v="PC-2026-0913"/>
    <x v="221"/>
    <s v="EMP008"/>
    <x v="0"/>
    <x v="0"/>
    <s v="Petty Cash"/>
    <x v="5"/>
    <n v="455000"/>
    <x v="1"/>
    <n v="0"/>
    <x v="37"/>
    <x v="1"/>
    <s v="Ok"/>
    <x v="145"/>
    <x v="2"/>
  </r>
  <r>
    <s v="PC-2026-0914"/>
    <x v="221"/>
    <s v="EMP008"/>
    <x v="0"/>
    <x v="0"/>
    <s v="Cash Advance"/>
    <x v="2"/>
    <n v="400000"/>
    <x v="1"/>
    <n v="0"/>
    <x v="3"/>
    <x v="1"/>
    <s v="Ok"/>
    <x v="145"/>
    <x v="2"/>
  </r>
  <r>
    <s v="PC-2026-0915"/>
    <x v="221"/>
    <s v="EMP013"/>
    <x v="1"/>
    <x v="1"/>
    <s v="Cash Advance"/>
    <x v="5"/>
    <n v="205000"/>
    <x v="1"/>
    <n v="0"/>
    <x v="41"/>
    <x v="1"/>
    <s v="Ok"/>
    <x v="145"/>
    <x v="2"/>
  </r>
  <r>
    <s v="PC-2026-0916"/>
    <x v="221"/>
    <s v="EMP015"/>
    <x v="17"/>
    <x v="4"/>
    <s v="Petty Cash"/>
    <x v="2"/>
    <n v="1250000"/>
    <x v="1"/>
    <n v="0"/>
    <x v="66"/>
    <x v="1"/>
    <s v="Ok"/>
    <x v="145"/>
    <x v="2"/>
  </r>
  <r>
    <s v="PC-2026-0917"/>
    <x v="221"/>
    <s v="EMP020"/>
    <x v="3"/>
    <x v="3"/>
    <s v="Cash Advance"/>
    <x v="3"/>
    <n v="500000"/>
    <x v="1"/>
    <n v="0"/>
    <x v="32"/>
    <x v="1"/>
    <s v="Ok"/>
    <x v="145"/>
    <x v="2"/>
  </r>
  <r>
    <s v="PC-2026-0918"/>
    <x v="222"/>
    <s v="EMP002"/>
    <x v="4"/>
    <x v="0"/>
    <s v="Petty Cash"/>
    <x v="7"/>
    <n v="625000"/>
    <x v="12"/>
    <n v="175000"/>
    <x v="0"/>
    <x v="0"/>
    <s v="Ok"/>
    <x v="0"/>
    <x v="0"/>
  </r>
  <r>
    <s v="PC-2026-0919"/>
    <x v="222"/>
    <s v="EMP007"/>
    <x v="8"/>
    <x v="5"/>
    <s v="Petty Cash"/>
    <x v="4"/>
    <n v="450000"/>
    <x v="40"/>
    <n v="125000"/>
    <x v="0"/>
    <x v="0"/>
    <s v="Ok"/>
    <x v="0"/>
    <x v="0"/>
  </r>
  <r>
    <s v="PC-2026-0920"/>
    <x v="222"/>
    <s v="EMP010"/>
    <x v="7"/>
    <x v="2"/>
    <s v="Petty Cash"/>
    <x v="4"/>
    <n v="900000"/>
    <x v="8"/>
    <n v="225000"/>
    <x v="0"/>
    <x v="0"/>
    <s v="Ok"/>
    <x v="0"/>
    <x v="0"/>
  </r>
  <r>
    <s v="PC-2026-0921"/>
    <x v="223"/>
    <s v="EMP007"/>
    <x v="8"/>
    <x v="5"/>
    <s v="Petty Cash"/>
    <x v="0"/>
    <n v="2550000"/>
    <x v="1"/>
    <n v="0"/>
    <x v="86"/>
    <x v="1"/>
    <s v="Ok"/>
    <x v="146"/>
    <x v="2"/>
  </r>
  <r>
    <s v="PC-2026-0922"/>
    <x v="224"/>
    <s v="EMP006"/>
    <x v="16"/>
    <x v="6"/>
    <s v="Petty Cash"/>
    <x v="0"/>
    <n v="1725000"/>
    <x v="73"/>
    <n v="475000"/>
    <x v="0"/>
    <x v="0"/>
    <s v="Ok"/>
    <x v="0"/>
    <x v="0"/>
  </r>
  <r>
    <s v="PC-2026-0923"/>
    <x v="224"/>
    <s v="EMP007"/>
    <x v="8"/>
    <x v="5"/>
    <s v="Cash Advance"/>
    <x v="0"/>
    <n v="3775000"/>
    <x v="1"/>
    <n v="0"/>
    <x v="87"/>
    <x v="1"/>
    <s v="Ok"/>
    <x v="147"/>
    <x v="2"/>
  </r>
  <r>
    <s v="PC-2026-0924"/>
    <x v="224"/>
    <s v="EMP020"/>
    <x v="3"/>
    <x v="3"/>
    <s v="Petty Cash"/>
    <x v="2"/>
    <n v="1225000"/>
    <x v="1"/>
    <n v="0"/>
    <x v="62"/>
    <x v="1"/>
    <s v="Ok"/>
    <x v="147"/>
    <x v="2"/>
  </r>
  <r>
    <s v="PC-2026-0925"/>
    <x v="224"/>
    <s v="EMP020"/>
    <x v="3"/>
    <x v="3"/>
    <s v="Petty Cash"/>
    <x v="6"/>
    <n v="1125000"/>
    <x v="62"/>
    <n v="250000"/>
    <x v="0"/>
    <x v="0"/>
    <s v="Ok"/>
    <x v="0"/>
    <x v="0"/>
  </r>
  <r>
    <s v="PC-2026-0926"/>
    <x v="225"/>
    <s v="EMP015"/>
    <x v="17"/>
    <x v="4"/>
    <s v="Petty Cash"/>
    <x v="6"/>
    <n v="425000"/>
    <x v="5"/>
    <n v="25000"/>
    <x v="0"/>
    <x v="0"/>
    <s v="Ok"/>
    <x v="0"/>
    <x v="0"/>
  </r>
  <r>
    <s v="PC-2026-0927"/>
    <x v="225"/>
    <s v="EMP016"/>
    <x v="18"/>
    <x v="0"/>
    <s v="Petty Cash"/>
    <x v="5"/>
    <n v="230000"/>
    <x v="15"/>
    <n v="55000"/>
    <x v="0"/>
    <x v="0"/>
    <s v="Ok"/>
    <x v="0"/>
    <x v="0"/>
  </r>
  <r>
    <s v="PC-2026-0928"/>
    <x v="226"/>
    <s v="EMP001"/>
    <x v="10"/>
    <x v="4"/>
    <s v="Petty Cash"/>
    <x v="3"/>
    <n v="375000"/>
    <x v="1"/>
    <n v="0"/>
    <x v="83"/>
    <x v="1"/>
    <s v="Ok"/>
    <x v="148"/>
    <x v="3"/>
  </r>
  <r>
    <s v="PC-2026-0929"/>
    <x v="226"/>
    <s v="EMP003"/>
    <x v="5"/>
    <x v="3"/>
    <s v="Cash Advance"/>
    <x v="4"/>
    <n v="700000"/>
    <x v="33"/>
    <n v="50000"/>
    <x v="0"/>
    <x v="0"/>
    <s v="Ok"/>
    <x v="0"/>
    <x v="0"/>
  </r>
  <r>
    <s v="PC-2026-0930"/>
    <x v="227"/>
    <s v="EMP002"/>
    <x v="4"/>
    <x v="0"/>
    <s v="Cash Advance"/>
    <x v="1"/>
    <n v="355000"/>
    <x v="1"/>
    <n v="0"/>
    <x v="60"/>
    <x v="1"/>
    <s v="Ok"/>
    <x v="149"/>
    <x v="3"/>
  </r>
  <r>
    <s v="PC-2026-0931"/>
    <x v="227"/>
    <s v="EMP009"/>
    <x v="6"/>
    <x v="4"/>
    <s v="Cash Advance"/>
    <x v="6"/>
    <n v="625000"/>
    <x v="1"/>
    <n v="0"/>
    <x v="39"/>
    <x v="1"/>
    <s v="Ok"/>
    <x v="149"/>
    <x v="3"/>
  </r>
  <r>
    <s v="PC-2026-0932"/>
    <x v="227"/>
    <s v="EMP012"/>
    <x v="9"/>
    <x v="5"/>
    <s v="Cash Advance"/>
    <x v="7"/>
    <n v="250000"/>
    <x v="15"/>
    <n v="75000"/>
    <x v="0"/>
    <x v="0"/>
    <s v="Ok"/>
    <x v="0"/>
    <x v="0"/>
  </r>
  <r>
    <s v="PC-2026-0933"/>
    <x v="227"/>
    <s v="EMP013"/>
    <x v="1"/>
    <x v="1"/>
    <s v="Petty Cash"/>
    <x v="6"/>
    <n v="375000"/>
    <x v="26"/>
    <n v="75000"/>
    <x v="0"/>
    <x v="0"/>
    <s v="Ok"/>
    <x v="0"/>
    <x v="0"/>
  </r>
  <r>
    <s v="PC-2026-0934"/>
    <x v="227"/>
    <s v="EMP013"/>
    <x v="1"/>
    <x v="1"/>
    <s v="Cash Advance"/>
    <x v="6"/>
    <n v="925000"/>
    <x v="1"/>
    <n v="0"/>
    <x v="70"/>
    <x v="1"/>
    <s v="Ok"/>
    <x v="149"/>
    <x v="3"/>
  </r>
  <r>
    <s v="PC-2026-0935"/>
    <x v="227"/>
    <s v="EMP018"/>
    <x v="2"/>
    <x v="2"/>
    <s v="Cash Advance"/>
    <x v="7"/>
    <n v="625000"/>
    <x v="12"/>
    <n v="175000"/>
    <x v="0"/>
    <x v="0"/>
    <s v="Ok"/>
    <x v="0"/>
    <x v="0"/>
  </r>
  <r>
    <s v="PC-2026-0936"/>
    <x v="227"/>
    <s v="EMP020"/>
    <x v="3"/>
    <x v="3"/>
    <s v="Cash Advance"/>
    <x v="2"/>
    <n v="525000"/>
    <x v="12"/>
    <n v="75000"/>
    <x v="0"/>
    <x v="0"/>
    <s v="Ok"/>
    <x v="0"/>
    <x v="0"/>
  </r>
  <r>
    <s v="PC-2026-0937"/>
    <x v="228"/>
    <s v="EMP005"/>
    <x v="11"/>
    <x v="1"/>
    <s v="Petty Cash"/>
    <x v="4"/>
    <n v="750000"/>
    <x v="33"/>
    <n v="100000"/>
    <x v="0"/>
    <x v="0"/>
    <s v="Ok"/>
    <x v="0"/>
    <x v="0"/>
  </r>
  <r>
    <s v="PC-2026-0938"/>
    <x v="228"/>
    <s v="EMP011"/>
    <x v="19"/>
    <x v="3"/>
    <s v="Petty Cash"/>
    <x v="2"/>
    <n v="350000"/>
    <x v="1"/>
    <n v="0"/>
    <x v="59"/>
    <x v="1"/>
    <s v="Ok"/>
    <x v="150"/>
    <x v="3"/>
  </r>
  <r>
    <s v="PC-2026-0939"/>
    <x v="228"/>
    <s v="EMP015"/>
    <x v="17"/>
    <x v="4"/>
    <s v="Cash Advance"/>
    <x v="1"/>
    <n v="80000"/>
    <x v="10"/>
    <n v="5000"/>
    <x v="0"/>
    <x v="0"/>
    <s v="Ok"/>
    <x v="0"/>
    <x v="0"/>
  </r>
  <r>
    <s v="PC-2026-0940"/>
    <x v="228"/>
    <s v="EMP016"/>
    <x v="18"/>
    <x v="0"/>
    <s v="Petty Cash"/>
    <x v="4"/>
    <n v="875000"/>
    <x v="44"/>
    <n v="50000"/>
    <x v="0"/>
    <x v="0"/>
    <s v="Ok"/>
    <x v="0"/>
    <x v="0"/>
  </r>
  <r>
    <s v="PC-2026-0941"/>
    <x v="228"/>
    <s v="EMP017"/>
    <x v="13"/>
    <x v="5"/>
    <s v="Petty Cash"/>
    <x v="3"/>
    <n v="150000"/>
    <x v="1"/>
    <n v="0"/>
    <x v="7"/>
    <x v="1"/>
    <s v="Ok"/>
    <x v="150"/>
    <x v="3"/>
  </r>
  <r>
    <s v="PC-2026-0942"/>
    <x v="228"/>
    <s v="EMP018"/>
    <x v="2"/>
    <x v="2"/>
    <s v="Cash Advance"/>
    <x v="6"/>
    <n v="250000"/>
    <x v="1"/>
    <n v="0"/>
    <x v="53"/>
    <x v="1"/>
    <s v="Ok"/>
    <x v="150"/>
    <x v="3"/>
  </r>
  <r>
    <s v="PC-2026-0943"/>
    <x v="229"/>
    <s v="EMP004"/>
    <x v="14"/>
    <x v="2"/>
    <s v="Cash Advance"/>
    <x v="3"/>
    <n v="175000"/>
    <x v="1"/>
    <n v="0"/>
    <x v="12"/>
    <x v="1"/>
    <s v="Ok"/>
    <x v="151"/>
    <x v="3"/>
  </r>
  <r>
    <s v="PC-2026-0944"/>
    <x v="229"/>
    <s v="EMP007"/>
    <x v="8"/>
    <x v="5"/>
    <s v="Petty Cash"/>
    <x v="6"/>
    <n v="1175000"/>
    <x v="50"/>
    <n v="50000"/>
    <x v="0"/>
    <x v="0"/>
    <s v="Ok"/>
    <x v="0"/>
    <x v="0"/>
  </r>
  <r>
    <s v="PC-2026-0945"/>
    <x v="229"/>
    <s v="EMP013"/>
    <x v="1"/>
    <x v="1"/>
    <s v="Petty Cash"/>
    <x v="4"/>
    <n v="675000"/>
    <x v="1"/>
    <n v="0"/>
    <x v="65"/>
    <x v="1"/>
    <s v="Ok"/>
    <x v="151"/>
    <x v="3"/>
  </r>
  <r>
    <s v="PC-2026-0946"/>
    <x v="229"/>
    <s v="EMP016"/>
    <x v="18"/>
    <x v="0"/>
    <s v="Petty Cash"/>
    <x v="6"/>
    <n v="1050000"/>
    <x v="47"/>
    <n v="0"/>
    <x v="0"/>
    <x v="0"/>
    <s v="Ok"/>
    <x v="0"/>
    <x v="0"/>
  </r>
  <r>
    <s v="PC-2026-0947"/>
    <x v="229"/>
    <s v="EMP016"/>
    <x v="18"/>
    <x v="0"/>
    <s v="Petty Cash"/>
    <x v="2"/>
    <n v="625000"/>
    <x v="1"/>
    <n v="0"/>
    <x v="39"/>
    <x v="1"/>
    <s v="Ok"/>
    <x v="151"/>
    <x v="3"/>
  </r>
  <r>
    <s v="PC-2026-0948"/>
    <x v="229"/>
    <s v="EMP017"/>
    <x v="13"/>
    <x v="5"/>
    <s v="Petty Cash"/>
    <x v="6"/>
    <n v="800000"/>
    <x v="1"/>
    <n v="0"/>
    <x v="30"/>
    <x v="1"/>
    <s v="Ok"/>
    <x v="151"/>
    <x v="3"/>
  </r>
  <r>
    <s v="PC-2026-0949"/>
    <x v="229"/>
    <s v="EMP018"/>
    <x v="2"/>
    <x v="2"/>
    <s v="Petty Cash"/>
    <x v="1"/>
    <n v="155000"/>
    <x v="21"/>
    <n v="30000"/>
    <x v="0"/>
    <x v="0"/>
    <s v="Ok"/>
    <x v="0"/>
    <x v="0"/>
  </r>
  <r>
    <s v="PC-2026-0950"/>
    <x v="229"/>
    <s v="EMP020"/>
    <x v="3"/>
    <x v="3"/>
    <s v="Cash Advance"/>
    <x v="2"/>
    <n v="225000"/>
    <x v="22"/>
    <n v="25000"/>
    <x v="0"/>
    <x v="0"/>
    <s v="Ok"/>
    <x v="0"/>
    <x v="0"/>
  </r>
  <r>
    <s v="PC-2026-0951"/>
    <x v="230"/>
    <s v="EMP005"/>
    <x v="11"/>
    <x v="1"/>
    <s v="Cash Advance"/>
    <x v="1"/>
    <n v="80000"/>
    <x v="1"/>
    <n v="0"/>
    <x v="5"/>
    <x v="1"/>
    <s v="Ok"/>
    <x v="152"/>
    <x v="3"/>
  </r>
  <r>
    <s v="PC-2026-0952"/>
    <x v="230"/>
    <s v="EMP008"/>
    <x v="0"/>
    <x v="0"/>
    <s v="Petty Cash"/>
    <x v="0"/>
    <n v="3975000"/>
    <x v="94"/>
    <n v="650000"/>
    <x v="0"/>
    <x v="0"/>
    <s v="Ok"/>
    <x v="0"/>
    <x v="0"/>
  </r>
  <r>
    <s v="PC-2026-0953"/>
    <x v="230"/>
    <s v="EMP009"/>
    <x v="6"/>
    <x v="4"/>
    <s v="Cash Advance"/>
    <x v="7"/>
    <n v="625000"/>
    <x v="1"/>
    <n v="0"/>
    <x v="39"/>
    <x v="1"/>
    <s v="Ok"/>
    <x v="152"/>
    <x v="3"/>
  </r>
  <r>
    <s v="PC-2026-0954"/>
    <x v="230"/>
    <s v="EMP010"/>
    <x v="7"/>
    <x v="2"/>
    <s v="Petty Cash"/>
    <x v="5"/>
    <n v="455000"/>
    <x v="1"/>
    <n v="0"/>
    <x v="37"/>
    <x v="1"/>
    <s v="Ok"/>
    <x v="152"/>
    <x v="3"/>
  </r>
  <r>
    <s v="PC-2026-0955"/>
    <x v="230"/>
    <s v="EMP015"/>
    <x v="17"/>
    <x v="4"/>
    <s v="Petty Cash"/>
    <x v="7"/>
    <n v="125000"/>
    <x v="1"/>
    <n v="0"/>
    <x v="76"/>
    <x v="1"/>
    <s v="Ok"/>
    <x v="152"/>
    <x v="3"/>
  </r>
  <r>
    <s v="PC-2026-0956"/>
    <x v="230"/>
    <s v="EMP017"/>
    <x v="13"/>
    <x v="5"/>
    <s v="Cash Advance"/>
    <x v="1"/>
    <n v="480000"/>
    <x v="13"/>
    <n v="5000"/>
    <x v="0"/>
    <x v="0"/>
    <s v="Ok"/>
    <x v="0"/>
    <x v="0"/>
  </r>
  <r>
    <s v="PC-2026-0957"/>
    <x v="231"/>
    <s v="EMP002"/>
    <x v="4"/>
    <x v="0"/>
    <s v="Petty Cash"/>
    <x v="5"/>
    <n v="255000"/>
    <x v="27"/>
    <n v="5000"/>
    <x v="0"/>
    <x v="0"/>
    <s v="Ok"/>
    <x v="0"/>
    <x v="0"/>
  </r>
  <r>
    <s v="PC-2026-0958"/>
    <x v="231"/>
    <s v="EMP002"/>
    <x v="4"/>
    <x v="0"/>
    <s v="Petty Cash"/>
    <x v="7"/>
    <n v="700000"/>
    <x v="1"/>
    <n v="0"/>
    <x v="88"/>
    <x v="1"/>
    <s v="Ok"/>
    <x v="153"/>
    <x v="3"/>
  </r>
  <r>
    <s v="PC-2026-0959"/>
    <x v="231"/>
    <s v="EMP006"/>
    <x v="16"/>
    <x v="6"/>
    <s v="Cash Advance"/>
    <x v="1"/>
    <n v="155000"/>
    <x v="20"/>
    <n v="5000"/>
    <x v="0"/>
    <x v="0"/>
    <s v="Ok"/>
    <x v="0"/>
    <x v="0"/>
  </r>
  <r>
    <s v="PC-2026-0960"/>
    <x v="231"/>
    <s v="EMP012"/>
    <x v="9"/>
    <x v="5"/>
    <s v="Petty Cash"/>
    <x v="6"/>
    <n v="1050000"/>
    <x v="67"/>
    <n v="125000"/>
    <x v="0"/>
    <x v="0"/>
    <s v="Ok"/>
    <x v="0"/>
    <x v="0"/>
  </r>
  <r>
    <s v="PC-2026-0961"/>
    <x v="231"/>
    <s v="EMP015"/>
    <x v="17"/>
    <x v="4"/>
    <s v="Petty Cash"/>
    <x v="6"/>
    <n v="1175000"/>
    <x v="75"/>
    <n v="75000"/>
    <x v="0"/>
    <x v="0"/>
    <s v="Ok"/>
    <x v="0"/>
    <x v="0"/>
  </r>
  <r>
    <s v="PC-2026-0962"/>
    <x v="232"/>
    <s v="EMP012"/>
    <x v="9"/>
    <x v="5"/>
    <s v="Cash Advance"/>
    <x v="7"/>
    <n v="650000"/>
    <x v="46"/>
    <n v="125000"/>
    <x v="0"/>
    <x v="0"/>
    <s v="Ok"/>
    <x v="0"/>
    <x v="0"/>
  </r>
  <r>
    <s v="PC-2026-0963"/>
    <x v="232"/>
    <s v="EMP013"/>
    <x v="1"/>
    <x v="1"/>
    <s v="Cash Advance"/>
    <x v="6"/>
    <n v="600000"/>
    <x v="53"/>
    <n v="100000"/>
    <x v="0"/>
    <x v="0"/>
    <s v="Ok"/>
    <x v="0"/>
    <x v="0"/>
  </r>
  <r>
    <s v="PC-2026-0964"/>
    <x v="232"/>
    <s v="EMP015"/>
    <x v="17"/>
    <x v="4"/>
    <s v="Cash Advance"/>
    <x v="7"/>
    <n v="375000"/>
    <x v="40"/>
    <n v="50000"/>
    <x v="0"/>
    <x v="0"/>
    <s v="Ok"/>
    <x v="0"/>
    <x v="0"/>
  </r>
  <r>
    <s v="PC-2026-0965"/>
    <x v="232"/>
    <s v="EMP015"/>
    <x v="17"/>
    <x v="4"/>
    <s v="Petty Cash"/>
    <x v="7"/>
    <n v="125000"/>
    <x v="30"/>
    <n v="25000"/>
    <x v="0"/>
    <x v="0"/>
    <s v="Ok"/>
    <x v="0"/>
    <x v="0"/>
  </r>
  <r>
    <s v="PC-2026-0966"/>
    <x v="232"/>
    <s v="EMP016"/>
    <x v="18"/>
    <x v="0"/>
    <s v="Petty Cash"/>
    <x v="4"/>
    <n v="275000"/>
    <x v="1"/>
    <n v="0"/>
    <x v="16"/>
    <x v="1"/>
    <s v="Ok"/>
    <x v="154"/>
    <x v="0"/>
  </r>
  <r>
    <s v="PC-2026-0967"/>
    <x v="232"/>
    <s v="EMP018"/>
    <x v="2"/>
    <x v="2"/>
    <s v="Petty Cash"/>
    <x v="6"/>
    <n v="575000"/>
    <x v="1"/>
    <n v="0"/>
    <x v="20"/>
    <x v="1"/>
    <s v="Ok"/>
    <x v="154"/>
    <x v="0"/>
  </r>
  <r>
    <s v="PC-2026-0968"/>
    <x v="232"/>
    <s v="EMP020"/>
    <x v="3"/>
    <x v="3"/>
    <s v="Petty Cash"/>
    <x v="2"/>
    <n v="525000"/>
    <x v="42"/>
    <n v="100000"/>
    <x v="0"/>
    <x v="0"/>
    <s v="Ok"/>
    <x v="0"/>
    <x v="0"/>
  </r>
  <r>
    <s v="PC-2026-0969"/>
    <x v="233"/>
    <s v="EMP007"/>
    <x v="8"/>
    <x v="5"/>
    <s v="Petty Cash"/>
    <x v="1"/>
    <n v="80000"/>
    <x v="1"/>
    <n v="0"/>
    <x v="5"/>
    <x v="1"/>
    <s v="Ok"/>
    <x v="155"/>
    <x v="0"/>
  </r>
  <r>
    <s v="PC-2026-0970"/>
    <x v="233"/>
    <s v="EMP009"/>
    <x v="6"/>
    <x v="4"/>
    <s v="Petty Cash"/>
    <x v="1"/>
    <n v="105000"/>
    <x v="10"/>
    <n v="30000"/>
    <x v="0"/>
    <x v="0"/>
    <s v="Ok"/>
    <x v="0"/>
    <x v="0"/>
  </r>
  <r>
    <s v="PC-2026-0971"/>
    <x v="233"/>
    <s v="EMP010"/>
    <x v="7"/>
    <x v="2"/>
    <s v="Cash Advance"/>
    <x v="4"/>
    <n v="350000"/>
    <x v="40"/>
    <n v="25000"/>
    <x v="0"/>
    <x v="0"/>
    <s v="Ok"/>
    <x v="0"/>
    <x v="0"/>
  </r>
  <r>
    <s v="PC-2026-0972"/>
    <x v="233"/>
    <s v="EMP020"/>
    <x v="3"/>
    <x v="3"/>
    <s v="Petty Cash"/>
    <x v="4"/>
    <n v="575000"/>
    <x v="1"/>
    <n v="0"/>
    <x v="20"/>
    <x v="1"/>
    <s v="Ok"/>
    <x v="155"/>
    <x v="0"/>
  </r>
  <r>
    <s v="PC-2026-0973"/>
    <x v="234"/>
    <s v="EMP005"/>
    <x v="11"/>
    <x v="1"/>
    <s v="Cash Advance"/>
    <x v="6"/>
    <n v="625000"/>
    <x v="55"/>
    <n v="50000"/>
    <x v="0"/>
    <x v="0"/>
    <s v="Ok"/>
    <x v="0"/>
    <x v="0"/>
  </r>
  <r>
    <s v="PC-2026-0974"/>
    <x v="234"/>
    <s v="EMP006"/>
    <x v="16"/>
    <x v="6"/>
    <s v="Petty Cash"/>
    <x v="7"/>
    <n v="425000"/>
    <x v="1"/>
    <n v="0"/>
    <x v="38"/>
    <x v="1"/>
    <s v="Ok"/>
    <x v="156"/>
    <x v="0"/>
  </r>
  <r>
    <s v="PC-2026-0975"/>
    <x v="234"/>
    <s v="EMP017"/>
    <x v="13"/>
    <x v="5"/>
    <s v="Petty Cash"/>
    <x v="2"/>
    <n v="675000"/>
    <x v="1"/>
    <n v="0"/>
    <x v="65"/>
    <x v="1"/>
    <s v="Ok"/>
    <x v="156"/>
    <x v="0"/>
  </r>
  <r>
    <s v="PC-2026-0976"/>
    <x v="235"/>
    <s v="EMP004"/>
    <x v="14"/>
    <x v="2"/>
    <s v="Petty Cash"/>
    <x v="0"/>
    <n v="3400000"/>
    <x v="86"/>
    <n v="0"/>
    <x v="0"/>
    <x v="0"/>
    <s v="Ok"/>
    <x v="0"/>
    <x v="0"/>
  </r>
  <r>
    <s v="PC-2026-0977"/>
    <x v="235"/>
    <s v="EMP009"/>
    <x v="6"/>
    <x v="4"/>
    <s v="Petty Cash"/>
    <x v="5"/>
    <n v="255000"/>
    <x v="1"/>
    <n v="0"/>
    <x v="50"/>
    <x v="1"/>
    <s v="Ok"/>
    <x v="157"/>
    <x v="0"/>
  </r>
  <r>
    <s v="PC-2026-0978"/>
    <x v="235"/>
    <s v="EMP012"/>
    <x v="9"/>
    <x v="5"/>
    <s v="Cash Advance"/>
    <x v="5"/>
    <n v="430000"/>
    <x v="5"/>
    <n v="30000"/>
    <x v="0"/>
    <x v="0"/>
    <s v="Ok"/>
    <x v="0"/>
    <x v="0"/>
  </r>
  <r>
    <s v="PC-2026-0979"/>
    <x v="235"/>
    <s v="EMP013"/>
    <x v="1"/>
    <x v="1"/>
    <s v="Cash Advance"/>
    <x v="1"/>
    <n v="480000"/>
    <x v="1"/>
    <n v="0"/>
    <x v="18"/>
    <x v="1"/>
    <s v="Ok"/>
    <x v="157"/>
    <x v="0"/>
  </r>
  <r>
    <s v="PC-2026-0980"/>
    <x v="235"/>
    <s v="EMP016"/>
    <x v="18"/>
    <x v="0"/>
    <s v="Petty Cash"/>
    <x v="3"/>
    <n v="400000"/>
    <x v="7"/>
    <n v="25000"/>
    <x v="0"/>
    <x v="0"/>
    <s v="Ok"/>
    <x v="0"/>
    <x v="0"/>
  </r>
  <r>
    <s v="PC-2026-0981"/>
    <x v="235"/>
    <s v="EMP018"/>
    <x v="2"/>
    <x v="2"/>
    <s v="Petty Cash"/>
    <x v="4"/>
    <n v="450000"/>
    <x v="12"/>
    <n v="0"/>
    <x v="0"/>
    <x v="0"/>
    <s v="Ok"/>
    <x v="0"/>
    <x v="0"/>
  </r>
  <r>
    <s v="PC-2026-0982"/>
    <x v="236"/>
    <s v="EMP001"/>
    <x v="10"/>
    <x v="4"/>
    <s v="Cash Advance"/>
    <x v="7"/>
    <n v="250000"/>
    <x v="22"/>
    <n v="50000"/>
    <x v="0"/>
    <x v="0"/>
    <s v="Ok"/>
    <x v="0"/>
    <x v="0"/>
  </r>
  <r>
    <s v="PC-2026-0983"/>
    <x v="236"/>
    <s v="EMP005"/>
    <x v="11"/>
    <x v="1"/>
    <s v="Cash Advance"/>
    <x v="3"/>
    <n v="225000"/>
    <x v="15"/>
    <n v="50000"/>
    <x v="0"/>
    <x v="0"/>
    <s v="Ok"/>
    <x v="0"/>
    <x v="0"/>
  </r>
  <r>
    <s v="PC-2026-0984"/>
    <x v="236"/>
    <s v="EMP006"/>
    <x v="16"/>
    <x v="6"/>
    <s v="Petty Cash"/>
    <x v="2"/>
    <n v="925000"/>
    <x v="41"/>
    <n v="225000"/>
    <x v="0"/>
    <x v="0"/>
    <s v="Ok"/>
    <x v="0"/>
    <x v="0"/>
  </r>
  <r>
    <s v="PC-2026-0985"/>
    <x v="236"/>
    <s v="EMP009"/>
    <x v="6"/>
    <x v="4"/>
    <s v="Petty Cash"/>
    <x v="0"/>
    <n v="1375000"/>
    <x v="1"/>
    <n v="0"/>
    <x v="22"/>
    <x v="1"/>
    <s v="Ok"/>
    <x v="158"/>
    <x v="0"/>
  </r>
  <r>
    <s v="PC-2026-0986"/>
    <x v="236"/>
    <s v="EMP012"/>
    <x v="9"/>
    <x v="5"/>
    <s v="Cash Advance"/>
    <x v="0"/>
    <n v="2550000"/>
    <x v="95"/>
    <n v="450000"/>
    <x v="0"/>
    <x v="0"/>
    <s v="Ok"/>
    <x v="0"/>
    <x v="0"/>
  </r>
  <r>
    <s v="PC-2026-0987"/>
    <x v="236"/>
    <s v="EMP013"/>
    <x v="1"/>
    <x v="1"/>
    <s v="Petty Cash"/>
    <x v="0"/>
    <n v="850000"/>
    <x v="1"/>
    <n v="0"/>
    <x v="71"/>
    <x v="1"/>
    <s v="Ok"/>
    <x v="158"/>
    <x v="0"/>
  </r>
  <r>
    <s v="PC-2026-0988"/>
    <x v="236"/>
    <s v="EMP014"/>
    <x v="12"/>
    <x v="6"/>
    <s v="Petty Cash"/>
    <x v="2"/>
    <n v="1275000"/>
    <x v="1"/>
    <n v="0"/>
    <x v="89"/>
    <x v="1"/>
    <s v="Ok"/>
    <x v="158"/>
    <x v="0"/>
  </r>
  <r>
    <s v="PC-2026-0989"/>
    <x v="236"/>
    <s v="EMP015"/>
    <x v="17"/>
    <x v="4"/>
    <s v="Cash Advance"/>
    <x v="4"/>
    <n v="475000"/>
    <x v="7"/>
    <n v="100000"/>
    <x v="0"/>
    <x v="0"/>
    <s v="Ok"/>
    <x v="0"/>
    <x v="0"/>
  </r>
  <r>
    <s v="PC-2026-0990"/>
    <x v="236"/>
    <s v="EMP018"/>
    <x v="2"/>
    <x v="2"/>
    <s v="Cash Advance"/>
    <x v="6"/>
    <n v="700000"/>
    <x v="32"/>
    <n v="150000"/>
    <x v="0"/>
    <x v="0"/>
    <s v="Ok"/>
    <x v="0"/>
    <x v="0"/>
  </r>
  <r>
    <s v="PC-2026-0991"/>
    <x v="237"/>
    <s v="EMP003"/>
    <x v="5"/>
    <x v="3"/>
    <s v="Petty Cash"/>
    <x v="0"/>
    <n v="3100000"/>
    <x v="96"/>
    <n v="700000"/>
    <x v="0"/>
    <x v="0"/>
    <s v="Ok"/>
    <x v="0"/>
    <x v="0"/>
  </r>
  <r>
    <s v="PC-2026-0992"/>
    <x v="237"/>
    <s v="EMP003"/>
    <x v="5"/>
    <x v="3"/>
    <s v="Petty Cash"/>
    <x v="4"/>
    <n v="100000"/>
    <x v="30"/>
    <n v="0"/>
    <x v="0"/>
    <x v="0"/>
    <s v="Ok"/>
    <x v="0"/>
    <x v="0"/>
  </r>
  <r>
    <s v="PC-2026-0993"/>
    <x v="237"/>
    <s v="EMP018"/>
    <x v="2"/>
    <x v="2"/>
    <s v="Cash Advance"/>
    <x v="5"/>
    <n v="130000"/>
    <x v="1"/>
    <n v="0"/>
    <x v="2"/>
    <x v="1"/>
    <s v="Ok"/>
    <x v="159"/>
    <x v="0"/>
  </r>
  <r>
    <s v="PC-2026-0994"/>
    <x v="238"/>
    <s v="EMP012"/>
    <x v="9"/>
    <x v="5"/>
    <s v="Petty Cash"/>
    <x v="0"/>
    <n v="1000000"/>
    <x v="1"/>
    <n v="0"/>
    <x v="67"/>
    <x v="1"/>
    <s v="Ok"/>
    <x v="160"/>
    <x v="0"/>
  </r>
  <r>
    <s v="PC-2026-0995"/>
    <x v="239"/>
    <s v="EMP001"/>
    <x v="10"/>
    <x v="4"/>
    <s v="Cash Advance"/>
    <x v="6"/>
    <n v="575000"/>
    <x v="42"/>
    <n v="150000"/>
    <x v="0"/>
    <x v="0"/>
    <s v="Ok"/>
    <x v="0"/>
    <x v="0"/>
  </r>
  <r>
    <s v="PC-2026-0996"/>
    <x v="239"/>
    <s v="EMP001"/>
    <x v="10"/>
    <x v="4"/>
    <s v="Petty Cash"/>
    <x v="0"/>
    <n v="1925000"/>
    <x v="1"/>
    <n v="0"/>
    <x v="56"/>
    <x v="1"/>
    <s v="Ok"/>
    <x v="0"/>
    <x v="0"/>
  </r>
  <r>
    <s v="PC-2026-0997"/>
    <x v="239"/>
    <s v="EMP003"/>
    <x v="5"/>
    <x v="3"/>
    <s v="Cash Advance"/>
    <x v="5"/>
    <n v="205000"/>
    <x v="20"/>
    <n v="55000"/>
    <x v="0"/>
    <x v="0"/>
    <s v="Ok"/>
    <x v="0"/>
    <x v="0"/>
  </r>
  <r>
    <s v="PC-2026-0998"/>
    <x v="239"/>
    <s v="EMP013"/>
    <x v="1"/>
    <x v="1"/>
    <s v="Cash Advance"/>
    <x v="5"/>
    <n v="380000"/>
    <x v="17"/>
    <n v="105000"/>
    <x v="0"/>
    <x v="0"/>
    <s v="Ok"/>
    <x v="0"/>
    <x v="0"/>
  </r>
  <r>
    <s v="PC-2026-0999"/>
    <x v="239"/>
    <s v="EMP019"/>
    <x v="15"/>
    <x v="1"/>
    <s v="Petty Cash"/>
    <x v="1"/>
    <n v="280000"/>
    <x v="1"/>
    <n v="0"/>
    <x v="27"/>
    <x v="1"/>
    <s v="Ok"/>
    <x v="0"/>
    <x v="0"/>
  </r>
  <r>
    <s v="PC-2026-1000"/>
    <x v="239"/>
    <s v="EMP019"/>
    <x v="15"/>
    <x v="1"/>
    <s v="Petty Cash"/>
    <x v="5"/>
    <n v="180000"/>
    <x v="1"/>
    <n v="0"/>
    <x v="58"/>
    <x v="1"/>
    <s v="Ok"/>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B5A40B-4073-4316-B5C0-3502029432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32" firstHeaderRow="1" firstDataRow="1" firstDataCol="1" rowPageCount="1" colPageCount="1"/>
  <pivotFields count="17">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axis="axisRow" showAll="0" sortType="descending">
      <items count="21">
        <item x="10"/>
        <item x="4"/>
        <item x="5"/>
        <item x="14"/>
        <item x="11"/>
        <item x="16"/>
        <item x="8"/>
        <item x="0"/>
        <item x="6"/>
        <item x="7"/>
        <item x="19"/>
        <item x="9"/>
        <item x="1"/>
        <item x="12"/>
        <item x="17"/>
        <item x="18"/>
        <item x="13"/>
        <item x="2"/>
        <item x="1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dataField="1" numFmtId="164" showAll="0">
      <items count="91">
        <item x="0"/>
        <item x="8"/>
        <item x="28"/>
        <item x="40"/>
        <item x="5"/>
        <item x="15"/>
        <item x="14"/>
        <item x="76"/>
        <item x="2"/>
        <item x="7"/>
        <item x="82"/>
        <item x="12"/>
        <item x="58"/>
        <item x="26"/>
        <item x="41"/>
        <item x="11"/>
        <item x="35"/>
        <item x="53"/>
        <item x="50"/>
        <item x="16"/>
        <item x="27"/>
        <item x="75"/>
        <item x="6"/>
        <item x="13"/>
        <item x="59"/>
        <item x="60"/>
        <item x="83"/>
        <item x="25"/>
        <item x="3"/>
        <item x="46"/>
        <item x="38"/>
        <item x="51"/>
        <item x="34"/>
        <item x="37"/>
        <item x="61"/>
        <item x="18"/>
        <item x="32"/>
        <item x="17"/>
        <item x="10"/>
        <item x="20"/>
        <item x="1"/>
        <item x="39"/>
        <item x="19"/>
        <item x="65"/>
        <item x="88"/>
        <item x="80"/>
        <item x="57"/>
        <item x="21"/>
        <item x="30"/>
        <item x="48"/>
        <item x="71"/>
        <item x="43"/>
        <item x="70"/>
        <item x="9"/>
        <item x="67"/>
        <item x="44"/>
        <item x="24"/>
        <item x="63"/>
        <item x="29"/>
        <item x="54"/>
        <item x="62"/>
        <item x="66"/>
        <item x="89"/>
        <item x="85"/>
        <item x="31"/>
        <item x="22"/>
        <item x="84"/>
        <item x="23"/>
        <item x="42"/>
        <item x="4"/>
        <item x="72"/>
        <item x="33"/>
        <item x="79"/>
        <item x="73"/>
        <item x="56"/>
        <item x="49"/>
        <item x="52"/>
        <item x="36"/>
        <item x="68"/>
        <item x="64"/>
        <item x="86"/>
        <item x="78"/>
        <item x="45"/>
        <item x="74"/>
        <item x="77"/>
        <item x="47"/>
        <item x="69"/>
        <item x="55"/>
        <item x="81"/>
        <item x="87"/>
        <item t="default"/>
      </items>
    </pivotField>
    <pivotField axis="axisPage" showAll="0">
      <items count="3">
        <item x="1"/>
        <item x="0"/>
        <item t="default"/>
      </items>
    </pivotField>
    <pivotField showAll="0"/>
    <pivotField numFmtId="1" showAll="0">
      <items count="162">
        <item x="0"/>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1">
    <i>
      <x v="6"/>
    </i>
    <i>
      <x v="13"/>
    </i>
    <i>
      <x v="17"/>
    </i>
    <i>
      <x v="11"/>
    </i>
    <i>
      <x v="7"/>
    </i>
    <i>
      <x v="8"/>
    </i>
    <i>
      <x v="9"/>
    </i>
    <i>
      <x v="2"/>
    </i>
    <i>
      <x v="19"/>
    </i>
    <i>
      <x v="10"/>
    </i>
    <i>
      <x v="18"/>
    </i>
    <i>
      <x v="12"/>
    </i>
    <i>
      <x v="5"/>
    </i>
    <i>
      <x/>
    </i>
    <i>
      <x v="15"/>
    </i>
    <i>
      <x v="3"/>
    </i>
    <i>
      <x v="16"/>
    </i>
    <i>
      <x v="1"/>
    </i>
    <i>
      <x v="14"/>
    </i>
    <i>
      <x v="4"/>
    </i>
    <i t="grand">
      <x/>
    </i>
  </rowItems>
  <colItems count="1">
    <i/>
  </colItems>
  <pageFields count="1">
    <pageField fld="11" item="0" hier="-1"/>
  </pageFields>
  <dataFields count="1">
    <dataField name="Sum of Outstanding" fld="10" baseField="0" baseItem="0" numFmtId="164"/>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BE3E9A-AE6E-412E-8F03-E89453C52E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F6" firstHeaderRow="0" firstDataRow="1" firstDataCol="0"/>
  <pivotFields count="17">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showAll="0"/>
    <pivotField showAll="0"/>
    <pivotField showAll="0"/>
    <pivotField dataField="1" numFmtId="164" showAll="0"/>
    <pivotField dataField="1" numFmtId="164" showAll="0"/>
    <pivotField dataField="1" numFmtId="164" showAll="0"/>
    <pivotField dataField="1" numFmtId="164"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Advance Amount" fld="7" baseField="0" baseItem="0" numFmtId="164"/>
    <dataField name="Sum of Expense Amount" fld="8" baseField="0" baseItem="0" numFmtId="164"/>
    <dataField name="Sum of Return Amount" fld="9" baseField="0" baseItem="0" numFmtId="164"/>
    <dataField name="Sum of Outstanding"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4F72D9-5004-4A2C-9A76-A4B3E422B9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0:H33" firstHeaderRow="1" firstDataRow="1" firstDataCol="1"/>
  <pivotFields count="17">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showAll="0"/>
    <pivotField showAll="0"/>
    <pivotField showAll="0"/>
    <pivotField numFmtId="164" showAll="0"/>
    <pivotField numFmtId="164" showAll="0"/>
    <pivotField numFmtId="164" showAll="0"/>
    <pivotField dataField="1" numFmtId="164" showAll="0">
      <items count="91">
        <item x="0"/>
        <item x="8"/>
        <item x="28"/>
        <item x="40"/>
        <item x="5"/>
        <item x="15"/>
        <item x="14"/>
        <item x="76"/>
        <item x="2"/>
        <item x="7"/>
        <item x="82"/>
        <item x="12"/>
        <item x="58"/>
        <item x="26"/>
        <item x="41"/>
        <item x="11"/>
        <item x="35"/>
        <item x="53"/>
        <item x="50"/>
        <item x="16"/>
        <item x="27"/>
        <item x="75"/>
        <item x="6"/>
        <item x="13"/>
        <item x="59"/>
        <item x="60"/>
        <item x="83"/>
        <item x="25"/>
        <item x="3"/>
        <item x="46"/>
        <item x="38"/>
        <item x="51"/>
        <item x="34"/>
        <item x="37"/>
        <item x="61"/>
        <item x="18"/>
        <item x="32"/>
        <item x="17"/>
        <item x="10"/>
        <item x="20"/>
        <item x="1"/>
        <item x="39"/>
        <item x="19"/>
        <item x="65"/>
        <item x="88"/>
        <item x="80"/>
        <item x="57"/>
        <item x="21"/>
        <item x="30"/>
        <item x="48"/>
        <item x="71"/>
        <item x="43"/>
        <item x="70"/>
        <item x="9"/>
        <item x="67"/>
        <item x="44"/>
        <item x="24"/>
        <item x="63"/>
        <item x="29"/>
        <item x="54"/>
        <item x="62"/>
        <item x="66"/>
        <item x="89"/>
        <item x="85"/>
        <item x="31"/>
        <item x="22"/>
        <item x="84"/>
        <item x="23"/>
        <item x="42"/>
        <item x="4"/>
        <item x="72"/>
        <item x="33"/>
        <item x="79"/>
        <item x="73"/>
        <item x="56"/>
        <item x="49"/>
        <item x="52"/>
        <item x="36"/>
        <item x="68"/>
        <item x="64"/>
        <item x="86"/>
        <item x="78"/>
        <item x="45"/>
        <item x="74"/>
        <item x="77"/>
        <item x="47"/>
        <item x="69"/>
        <item x="55"/>
        <item x="81"/>
        <item x="87"/>
        <item t="default"/>
      </items>
    </pivotField>
    <pivotField axis="axisRow" showAll="0">
      <items count="3">
        <item x="1"/>
        <item x="0"/>
        <item t="default"/>
      </items>
    </pivotField>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Sum of Outstanding" fld="10" baseField="0" baseItem="0" numFmtId="164"/>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6DDC0-9686-47DC-A5F5-A337B5E70B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2:H27" firstHeaderRow="1" firstDataRow="1" firstDataCol="1"/>
  <pivotFields count="17">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showAll="0"/>
    <pivotField showAll="0"/>
    <pivotField showAll="0"/>
    <pivotField numFmtId="164" showAll="0"/>
    <pivotField numFmtId="164" showAll="0"/>
    <pivotField numFmtId="164" showAll="0"/>
    <pivotField dataField="1" numFmtId="164" showAll="0">
      <items count="91">
        <item x="0"/>
        <item x="8"/>
        <item x="28"/>
        <item x="40"/>
        <item x="5"/>
        <item x="15"/>
        <item x="14"/>
        <item x="76"/>
        <item x="2"/>
        <item x="7"/>
        <item x="82"/>
        <item x="12"/>
        <item x="58"/>
        <item x="26"/>
        <item x="41"/>
        <item x="11"/>
        <item x="35"/>
        <item x="53"/>
        <item x="50"/>
        <item x="16"/>
        <item x="27"/>
        <item x="75"/>
        <item x="6"/>
        <item x="13"/>
        <item x="59"/>
        <item x="60"/>
        <item x="83"/>
        <item x="25"/>
        <item x="3"/>
        <item x="46"/>
        <item x="38"/>
        <item x="51"/>
        <item x="34"/>
        <item x="37"/>
        <item x="61"/>
        <item x="18"/>
        <item x="32"/>
        <item x="17"/>
        <item x="10"/>
        <item x="20"/>
        <item x="1"/>
        <item x="39"/>
        <item x="19"/>
        <item x="65"/>
        <item x="88"/>
        <item x="80"/>
        <item x="57"/>
        <item x="21"/>
        <item x="30"/>
        <item x="48"/>
        <item x="71"/>
        <item x="43"/>
        <item x="70"/>
        <item x="9"/>
        <item x="67"/>
        <item x="44"/>
        <item x="24"/>
        <item x="63"/>
        <item x="29"/>
        <item x="54"/>
        <item x="62"/>
        <item x="66"/>
        <item x="89"/>
        <item x="85"/>
        <item x="31"/>
        <item x="22"/>
        <item x="84"/>
        <item x="23"/>
        <item x="42"/>
        <item x="4"/>
        <item x="72"/>
        <item x="33"/>
        <item x="79"/>
        <item x="73"/>
        <item x="56"/>
        <item x="49"/>
        <item x="52"/>
        <item x="36"/>
        <item x="68"/>
        <item x="64"/>
        <item x="86"/>
        <item x="78"/>
        <item x="45"/>
        <item x="74"/>
        <item x="77"/>
        <item x="47"/>
        <item x="69"/>
        <item x="55"/>
        <item x="81"/>
        <item x="87"/>
        <item t="default"/>
      </items>
    </pivotField>
    <pivotField showAll="0">
      <items count="3">
        <item x="1"/>
        <item x="0"/>
        <item t="default"/>
      </items>
    </pivotField>
    <pivotField showAll="0"/>
    <pivotField numFmtId="1"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v="1"/>
    </i>
    <i>
      <x v="3"/>
    </i>
    <i>
      <x/>
    </i>
    <i>
      <x v="2"/>
    </i>
    <i t="grand">
      <x/>
    </i>
  </rowItems>
  <colItems count="1">
    <i/>
  </colItems>
  <dataFields count="1">
    <dataField name="Sum of Outstanding" fld="10"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F03ACF-757D-4CB7-96EE-484EE64726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9:E18" firstHeaderRow="1" firstDataRow="1" firstDataCol="1"/>
  <pivotFields count="17">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showAll="0"/>
    <pivotField showAll="0"/>
    <pivotField axis="axisRow" showAll="0" sortType="descending">
      <items count="9">
        <item x="1"/>
        <item x="7"/>
        <item x="3"/>
        <item x="5"/>
        <item x="6"/>
        <item x="2"/>
        <item x="0"/>
        <item x="4"/>
        <item t="default"/>
      </items>
      <autoSortScope>
        <pivotArea dataOnly="0" outline="0" fieldPosition="0">
          <references count="1">
            <reference field="4294967294" count="1" selected="0">
              <x v="0"/>
            </reference>
          </references>
        </pivotArea>
      </autoSortScope>
    </pivotField>
    <pivotField numFmtId="164" showAll="0"/>
    <pivotField dataField="1" numFmtId="164" showAll="0">
      <items count="98">
        <item x="1"/>
        <item x="60"/>
        <item x="4"/>
        <item x="10"/>
        <item x="30"/>
        <item x="21"/>
        <item x="20"/>
        <item x="15"/>
        <item x="22"/>
        <item x="9"/>
        <item x="27"/>
        <item x="17"/>
        <item x="26"/>
        <item x="40"/>
        <item x="19"/>
        <item x="7"/>
        <item x="5"/>
        <item x="42"/>
        <item x="12"/>
        <item x="13"/>
        <item x="53"/>
        <item x="46"/>
        <item x="32"/>
        <item x="55"/>
        <item x="38"/>
        <item x="23"/>
        <item x="33"/>
        <item x="8"/>
        <item x="41"/>
        <item x="58"/>
        <item x="48"/>
        <item x="28"/>
        <item x="18"/>
        <item x="44"/>
        <item x="34"/>
        <item x="62"/>
        <item x="71"/>
        <item x="67"/>
        <item x="68"/>
        <item x="52"/>
        <item x="3"/>
        <item x="6"/>
        <item x="47"/>
        <item x="75"/>
        <item x="50"/>
        <item x="43"/>
        <item x="54"/>
        <item x="25"/>
        <item x="83"/>
        <item x="73"/>
        <item x="59"/>
        <item x="78"/>
        <item x="31"/>
        <item x="89"/>
        <item x="29"/>
        <item x="66"/>
        <item x="35"/>
        <item x="70"/>
        <item x="45"/>
        <item x="91"/>
        <item x="36"/>
        <item x="65"/>
        <item x="56"/>
        <item x="37"/>
        <item x="11"/>
        <item x="88"/>
        <item x="95"/>
        <item x="77"/>
        <item x="57"/>
        <item x="79"/>
        <item x="76"/>
        <item x="87"/>
        <item x="39"/>
        <item x="74"/>
        <item x="92"/>
        <item x="96"/>
        <item x="90"/>
        <item x="64"/>
        <item x="84"/>
        <item x="24"/>
        <item x="51"/>
        <item x="69"/>
        <item x="14"/>
        <item x="49"/>
        <item x="72"/>
        <item x="63"/>
        <item x="81"/>
        <item x="61"/>
        <item x="82"/>
        <item x="93"/>
        <item x="85"/>
        <item x="2"/>
        <item x="94"/>
        <item x="86"/>
        <item x="0"/>
        <item x="80"/>
        <item x="16"/>
        <item t="default"/>
      </items>
    </pivotField>
    <pivotField numFmtId="164" showAll="0"/>
    <pivotField numFmtId="164"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9">
    <i>
      <x v="6"/>
    </i>
    <i>
      <x v="5"/>
    </i>
    <i>
      <x v="4"/>
    </i>
    <i>
      <x v="7"/>
    </i>
    <i>
      <x v="1"/>
    </i>
    <i>
      <x v="2"/>
    </i>
    <i>
      <x/>
    </i>
    <i>
      <x v="3"/>
    </i>
    <i t="grand">
      <x/>
    </i>
  </rowItems>
  <colItems count="1">
    <i/>
  </colItems>
  <dataFields count="1">
    <dataField name="Sum of Expense Amount" fld="8" baseField="0" baseItem="0" numFmtId="164"/>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FB9790-A325-4423-B6B2-D43239EE7E0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22:E31" firstHeaderRow="1" firstDataRow="1" firstDataCol="1"/>
  <pivotFields count="17">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showAll="0"/>
    <pivotField showAll="0"/>
    <pivotField showAll="0"/>
    <pivotField dataField="1" numFmtId="164" showAll="0"/>
    <pivotField numFmtId="164" showAll="0"/>
    <pivotField numFmtId="164" showAll="0"/>
    <pivotField numFmtId="164" showAll="0">
      <items count="91">
        <item x="0"/>
        <item x="8"/>
        <item x="28"/>
        <item x="40"/>
        <item x="5"/>
        <item x="15"/>
        <item x="14"/>
        <item x="76"/>
        <item x="2"/>
        <item x="7"/>
        <item x="82"/>
        <item x="12"/>
        <item x="58"/>
        <item x="26"/>
        <item x="41"/>
        <item x="11"/>
        <item x="35"/>
        <item x="53"/>
        <item x="50"/>
        <item x="16"/>
        <item x="27"/>
        <item x="75"/>
        <item x="6"/>
        <item x="13"/>
        <item x="59"/>
        <item x="60"/>
        <item x="83"/>
        <item x="25"/>
        <item x="3"/>
        <item x="46"/>
        <item x="38"/>
        <item x="51"/>
        <item x="34"/>
        <item x="37"/>
        <item x="61"/>
        <item x="18"/>
        <item x="32"/>
        <item x="17"/>
        <item x="10"/>
        <item x="20"/>
        <item x="1"/>
        <item x="39"/>
        <item x="19"/>
        <item x="65"/>
        <item x="88"/>
        <item x="80"/>
        <item x="57"/>
        <item x="21"/>
        <item x="30"/>
        <item x="48"/>
        <item x="71"/>
        <item x="43"/>
        <item x="70"/>
        <item x="9"/>
        <item x="67"/>
        <item x="44"/>
        <item x="24"/>
        <item x="63"/>
        <item x="29"/>
        <item x="54"/>
        <item x="62"/>
        <item x="66"/>
        <item x="89"/>
        <item x="85"/>
        <item x="31"/>
        <item x="22"/>
        <item x="84"/>
        <item x="23"/>
        <item x="42"/>
        <item x="4"/>
        <item x="72"/>
        <item x="33"/>
        <item x="79"/>
        <item x="73"/>
        <item x="56"/>
        <item x="49"/>
        <item x="52"/>
        <item x="36"/>
        <item x="68"/>
        <item x="64"/>
        <item x="86"/>
        <item x="78"/>
        <item x="45"/>
        <item x="74"/>
        <item x="77"/>
        <item x="47"/>
        <item x="69"/>
        <item x="55"/>
        <item x="81"/>
        <item x="87"/>
        <item t="default"/>
      </items>
    </pivotField>
    <pivotField showAll="0">
      <items count="3">
        <item x="1"/>
        <item x="0"/>
        <item t="default"/>
      </items>
    </pivotField>
    <pivotField showAll="0"/>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1">
    <field x="16"/>
  </rowFields>
  <rowItems count="9">
    <i>
      <x/>
    </i>
    <i>
      <x v="1"/>
    </i>
    <i>
      <x v="2"/>
    </i>
    <i>
      <x v="3"/>
    </i>
    <i>
      <x v="4"/>
    </i>
    <i>
      <x v="5"/>
    </i>
    <i>
      <x v="6"/>
    </i>
    <i>
      <x v="7"/>
    </i>
    <i t="grand">
      <x/>
    </i>
  </rowItems>
  <colItems count="1">
    <i/>
  </colItems>
  <dataFields count="1">
    <dataField name="Sum of Advance Amount" fld="7"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6BDDBF-B452-447F-BD42-24C0D1900B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9:H17" firstHeaderRow="1" firstDataRow="1" firstDataCol="1"/>
  <pivotFields count="17">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pivotField showAll="0"/>
    <pivotField axis="axisRow" showAll="0" sortType="descending">
      <items count="8">
        <item x="0"/>
        <item x="3"/>
        <item x="6"/>
        <item x="4"/>
        <item x="2"/>
        <item x="1"/>
        <item x="5"/>
        <item t="default"/>
      </items>
      <autoSortScope>
        <pivotArea dataOnly="0" outline="0" fieldPosition="0">
          <references count="1">
            <reference field="4294967294" count="1" selected="0">
              <x v="0"/>
            </reference>
          </references>
        </pivotArea>
      </autoSortScope>
    </pivotField>
    <pivotField showAll="0"/>
    <pivotField showAll="0">
      <items count="9">
        <item x="1"/>
        <item x="7"/>
        <item x="3"/>
        <item x="5"/>
        <item x="6"/>
        <item x="2"/>
        <item x="0"/>
        <item x="4"/>
        <item t="default"/>
      </items>
    </pivotField>
    <pivotField numFmtId="164" showAll="0"/>
    <pivotField dataField="1" numFmtId="164" showAll="0">
      <items count="98">
        <item x="1"/>
        <item x="60"/>
        <item x="4"/>
        <item x="10"/>
        <item x="30"/>
        <item x="21"/>
        <item x="20"/>
        <item x="15"/>
        <item x="22"/>
        <item x="9"/>
        <item x="27"/>
        <item x="17"/>
        <item x="26"/>
        <item x="40"/>
        <item x="19"/>
        <item x="7"/>
        <item x="5"/>
        <item x="42"/>
        <item x="12"/>
        <item x="13"/>
        <item x="53"/>
        <item x="46"/>
        <item x="32"/>
        <item x="55"/>
        <item x="38"/>
        <item x="23"/>
        <item x="33"/>
        <item x="8"/>
        <item x="41"/>
        <item x="58"/>
        <item x="48"/>
        <item x="28"/>
        <item x="18"/>
        <item x="44"/>
        <item x="34"/>
        <item x="62"/>
        <item x="71"/>
        <item x="67"/>
        <item x="68"/>
        <item x="52"/>
        <item x="3"/>
        <item x="6"/>
        <item x="47"/>
        <item x="75"/>
        <item x="50"/>
        <item x="43"/>
        <item x="54"/>
        <item x="25"/>
        <item x="83"/>
        <item x="73"/>
        <item x="59"/>
        <item x="78"/>
        <item x="31"/>
        <item x="89"/>
        <item x="29"/>
        <item x="66"/>
        <item x="35"/>
        <item x="70"/>
        <item x="45"/>
        <item x="91"/>
        <item x="36"/>
        <item x="65"/>
        <item x="56"/>
        <item x="37"/>
        <item x="11"/>
        <item x="88"/>
        <item x="95"/>
        <item x="77"/>
        <item x="57"/>
        <item x="79"/>
        <item x="76"/>
        <item x="87"/>
        <item x="39"/>
        <item x="74"/>
        <item x="92"/>
        <item x="96"/>
        <item x="90"/>
        <item x="64"/>
        <item x="84"/>
        <item x="24"/>
        <item x="51"/>
        <item x="69"/>
        <item x="14"/>
        <item x="49"/>
        <item x="72"/>
        <item x="63"/>
        <item x="81"/>
        <item x="61"/>
        <item x="82"/>
        <item x="93"/>
        <item x="85"/>
        <item x="2"/>
        <item x="94"/>
        <item x="86"/>
        <item x="0"/>
        <item x="80"/>
        <item x="16"/>
        <item t="default"/>
      </items>
    </pivotField>
    <pivotField numFmtId="164" showAll="0"/>
    <pivotField numFmtId="164" showAll="0">
      <items count="91">
        <item x="0"/>
        <item x="8"/>
        <item x="28"/>
        <item x="40"/>
        <item x="5"/>
        <item x="15"/>
        <item x="14"/>
        <item x="76"/>
        <item x="2"/>
        <item x="7"/>
        <item x="82"/>
        <item x="12"/>
        <item x="58"/>
        <item x="26"/>
        <item x="41"/>
        <item x="11"/>
        <item x="35"/>
        <item x="53"/>
        <item x="50"/>
        <item x="16"/>
        <item x="27"/>
        <item x="75"/>
        <item x="6"/>
        <item x="13"/>
        <item x="59"/>
        <item x="60"/>
        <item x="83"/>
        <item x="25"/>
        <item x="3"/>
        <item x="46"/>
        <item x="38"/>
        <item x="51"/>
        <item x="34"/>
        <item x="37"/>
        <item x="61"/>
        <item x="18"/>
        <item x="32"/>
        <item x="17"/>
        <item x="10"/>
        <item x="20"/>
        <item x="1"/>
        <item x="39"/>
        <item x="19"/>
        <item x="65"/>
        <item x="88"/>
        <item x="80"/>
        <item x="57"/>
        <item x="21"/>
        <item x="30"/>
        <item x="48"/>
        <item x="71"/>
        <item x="43"/>
        <item x="70"/>
        <item x="9"/>
        <item x="67"/>
        <item x="44"/>
        <item x="24"/>
        <item x="63"/>
        <item x="29"/>
        <item x="54"/>
        <item x="62"/>
        <item x="66"/>
        <item x="89"/>
        <item x="85"/>
        <item x="31"/>
        <item x="22"/>
        <item x="84"/>
        <item x="23"/>
        <item x="42"/>
        <item x="4"/>
        <item x="72"/>
        <item x="33"/>
        <item x="79"/>
        <item x="73"/>
        <item x="56"/>
        <item x="49"/>
        <item x="52"/>
        <item x="36"/>
        <item x="68"/>
        <item x="64"/>
        <item x="86"/>
        <item x="78"/>
        <item x="45"/>
        <item x="74"/>
        <item x="77"/>
        <item x="47"/>
        <item x="69"/>
        <item x="55"/>
        <item x="81"/>
        <item x="87"/>
        <item t="default"/>
      </items>
    </pivotField>
    <pivotField showAll="0">
      <items count="3">
        <item x="1"/>
        <item x="0"/>
        <item t="default"/>
      </items>
    </pivotField>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8">
    <i>
      <x v="4"/>
    </i>
    <i>
      <x v="6"/>
    </i>
    <i>
      <x/>
    </i>
    <i>
      <x v="5"/>
    </i>
    <i>
      <x v="1"/>
    </i>
    <i>
      <x v="3"/>
    </i>
    <i>
      <x v="2"/>
    </i>
    <i t="grand">
      <x/>
    </i>
  </rowItems>
  <colItems count="1">
    <i/>
  </colItems>
  <dataFields count="1">
    <dataField name="Sum of Expense Amount" fld="8"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0068D6-286F-4A18-AE83-92D4F1F99D74}" sourceName="Category">
  <pivotTables>
    <pivotTable tabId="4" name="PivotTable7"/>
  </pivotTables>
  <data>
    <tabular pivotCacheId="858578952">
      <items count="8">
        <i x="1" s="1"/>
        <i x="7" s="1"/>
        <i x="3" s="1"/>
        <i x="5" s="1"/>
        <i x="6"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E3A3440A-7C2F-482A-A6CA-9AF1F36D0D6F}" sourceName="Employee">
  <pivotTables>
    <pivotTable tabId="4" name="PivotTable6"/>
  </pivotTables>
  <data>
    <tabular pivotCacheId="858578952">
      <items count="20">
        <i x="10" s="1"/>
        <i x="4" s="1"/>
        <i x="5" s="1"/>
        <i x="14" s="1"/>
        <i x="11" s="1"/>
        <i x="16" s="1"/>
        <i x="8" s="1"/>
        <i x="0" s="1"/>
        <i x="6" s="1"/>
        <i x="7" s="1"/>
        <i x="19" s="1"/>
        <i x="9" s="1"/>
        <i x="1" s="1"/>
        <i x="12" s="1"/>
        <i x="17" s="1"/>
        <i x="18" s="1"/>
        <i x="13" s="1"/>
        <i x="2" s="1"/>
        <i x="1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AA848D7-3811-47A2-AAC7-A695C61640FE}" sourceName="Department">
  <pivotTables>
    <pivotTable tabId="4" name="PivotTable1"/>
  </pivotTables>
  <data>
    <tabular pivotCacheId="858578952">
      <items count="7">
        <i x="0" s="1"/>
        <i x="3" s="1"/>
        <i x="6" s="1"/>
        <i x="4"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ing_Bucket" xr10:uid="{FC860F33-1386-43A6-889C-E97CB60111C2}" sourceName="Aging Bucket">
  <pivotTables>
    <pivotTable tabId="4" name="PivotTable4"/>
  </pivotTables>
  <data>
    <tabular pivotCacheId="858578952">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F15841B-E8B0-4C76-9CB4-7B5DFE18F5FE}" cache="Slicer_Category" caption="Category" rowHeight="234950"/>
  <slicer name="Employee" xr10:uid="{DCBAD78E-9B30-48E9-80C1-1EFA597303EC}" cache="Slicer_Employee" caption="Employee" rowHeight="234950"/>
  <slicer name="Department" xr10:uid="{10DD1A1B-7A32-4850-B25C-07A689BBCA96}" cache="Slicer_Department" caption="Department" rowHeight="234950"/>
  <slicer name="Aging Bucket" xr10:uid="{8E219F73-2FD3-4C23-9C3B-5D899AD9FDA7}" cache="Slicer_Aging_Bucket" caption="Aging Bucke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3953C6-F8CA-4AE8-95B0-AAC540E7C1D1}" name="Table2" displayName="Table2" ref="A1:O1001" totalsRowShown="0" headerRowDxfId="12" headerRowBorderDxfId="11" tableBorderDxfId="10">
  <autoFilter ref="A1:O1001" xr:uid="{DE3953C6-F8CA-4AE8-95B0-AAC540E7C1D1}"/>
  <tableColumns count="15">
    <tableColumn id="1" xr3:uid="{C0CECAD8-77C9-4620-801F-F56CA0711EA8}" name="Transaction ID" dataDxfId="9"/>
    <tableColumn id="2" xr3:uid="{5852A940-B4F7-403B-8949-5282B44BB2C5}" name="Date" dataDxfId="8"/>
    <tableColumn id="3" xr3:uid="{9A75A705-734B-4918-86D3-36F7EC6C51DF}" name="Employee ID"/>
    <tableColumn id="4" xr3:uid="{20AFA752-41E4-45F7-852C-8E469AECE490}" name="Employee"/>
    <tableColumn id="5" xr3:uid="{C28FC73C-08C4-47D5-A903-A110631A77EC}" name="Department"/>
    <tableColumn id="6" xr3:uid="{EAF826B9-5445-4297-9D10-B1B443B9CDB5}" name="Request Type"/>
    <tableColumn id="7" xr3:uid="{F2E463DD-A5FC-464A-892B-79705300685C}" name="Category"/>
    <tableColumn id="8" xr3:uid="{7215F6E7-DF0A-4F5B-8902-BBA75DDC3A71}" name="Advance Amount" dataDxfId="7" dataCellStyle="Currency"/>
    <tableColumn id="9" xr3:uid="{EA2A0EBE-0C90-4532-9235-F5C0273CE87F}" name="Expense Amount" dataDxfId="6" dataCellStyle="Currency"/>
    <tableColumn id="10" xr3:uid="{7332A428-05D9-45A0-A95C-324047D78A35}" name="Return Amount" dataDxfId="5" dataCellStyle="Currency"/>
    <tableColumn id="12" xr3:uid="{302D37A1-4088-46C2-8903-455D64EF9A0A}" name="Outstanding" dataDxfId="4" dataCellStyle="Currency">
      <calculatedColumnFormula>Table2[[#This Row],[Advance Amount]]-Table2[[#This Row],[Expense Amount]]-Table2[[#This Row],[Return Amount]]</calculatedColumnFormula>
    </tableColumn>
    <tableColumn id="15" xr3:uid="{DC079C39-6D52-4E25-8ED8-51A6366D0ADC}" name="Status" dataDxfId="3" dataCellStyle="Currency">
      <calculatedColumnFormula>IF(Table2[[#This Row],[Outstanding]]=0,"Settled",IF(Table2[[#This Row],[Outstanding]]&gt;0,"Outstanding"))</calculatedColumnFormula>
    </tableColumn>
    <tableColumn id="18" xr3:uid="{717B1544-9658-45A4-B0DE-2040817722FD}" name="Reconciliation" dataDxfId="2" dataCellStyle="Currency">
      <calculatedColumnFormula>IF(Table2[[#This Row],[Advance Amount]]=Table2[[#This Row],[Expense Amount]]+Table2[[#This Row],[Return Amount]]+Table2[[#This Row],[Outstanding]],"Ok","Check")</calculatedColumnFormula>
    </tableColumn>
    <tableColumn id="13" xr3:uid="{B018A035-1A43-4700-BC19-388D40411C50}" name="Age Days" dataDxfId="1">
      <calculatedColumnFormula>IF(Table2[[#This Row],[Status]]="Settled",0,$Q$2-Table2[[#This Row],[Date]])</calculatedColumnFormula>
    </tableColumn>
    <tableColumn id="17" xr3:uid="{2400E306-77C4-4DCF-BF7F-9E54B8AB11D3}" name="Aging Bucket" dataDxfId="0" dataCellStyle="Currency">
      <calculatedColumnFormula>IF(Table2[[#This Row],[Age Days]]&lt;=7,"Normal",IF(Table2[[#This Row],[Age Days]]&lt;=14,"Perlu Dipantau",IF(Table2[[#This Row],[Age Days]]&lt;=30,"Perlu Ditindaklanjuti","Overdue")))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D89A632-7F4E-4D5A-B559-FD84076DD399}" sourceName="Date">
  <pivotTables>
    <pivotTable tabId="4" name="PivotTable3"/>
  </pivotTables>
  <state minimalRefreshVersion="6" lastRefreshVersion="6" pivotCacheId="85857895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D65A558-4132-4B4C-A786-8FADE908087D}" cache="NativeTimeline_Date" caption="Date" level="2" selectionLevel="2" scrollPosition="2026-05-28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H14" sqref="H14"/>
    </sheetView>
  </sheetViews>
  <sheetFormatPr defaultRowHeight="14.4" x14ac:dyDescent="0.3"/>
  <cols>
    <col min="1" max="1" width="13.109375" bestFit="1" customWidth="1"/>
    <col min="2" max="2" width="10.5546875" style="3" bestFit="1" customWidth="1"/>
    <col min="3" max="3" width="11.5546875" bestFit="1" customWidth="1"/>
    <col min="4" max="4" width="14.88671875" bestFit="1" customWidth="1"/>
    <col min="5" max="5" width="11.5546875" bestFit="1" customWidth="1"/>
    <col min="6" max="6" width="12.33203125" bestFit="1" customWidth="1"/>
    <col min="7" max="7" width="19.21875" bestFit="1" customWidth="1"/>
    <col min="8" max="8" width="15.77734375" style="5" bestFit="1" customWidth="1"/>
    <col min="9" max="9" width="15.33203125" bestFit="1" customWidth="1"/>
    <col min="10" max="10" width="14.109375" bestFit="1" customWidth="1"/>
  </cols>
  <sheetData>
    <row r="1" spans="1:10" x14ac:dyDescent="0.3">
      <c r="A1" s="1" t="s">
        <v>85</v>
      </c>
      <c r="B1" s="2" t="s">
        <v>0</v>
      </c>
      <c r="C1" s="1" t="s">
        <v>1</v>
      </c>
      <c r="D1" s="1" t="s">
        <v>2</v>
      </c>
      <c r="E1" s="1" t="s">
        <v>3</v>
      </c>
      <c r="F1" s="1" t="s">
        <v>4</v>
      </c>
      <c r="G1" s="1" t="s">
        <v>5</v>
      </c>
      <c r="H1" s="4" t="s">
        <v>6</v>
      </c>
      <c r="I1" s="1" t="s">
        <v>7</v>
      </c>
      <c r="J1" s="1" t="s">
        <v>8</v>
      </c>
    </row>
    <row r="2" spans="1:10" x14ac:dyDescent="0.3">
      <c r="A2" t="s">
        <v>86</v>
      </c>
      <c r="B2" s="3">
        <v>46024</v>
      </c>
      <c r="C2" t="s">
        <v>11</v>
      </c>
      <c r="D2" t="s">
        <v>12</v>
      </c>
      <c r="E2" t="s">
        <v>13</v>
      </c>
      <c r="F2" t="s">
        <v>14</v>
      </c>
      <c r="G2" t="s">
        <v>15</v>
      </c>
      <c r="H2" s="5">
        <v>4000000</v>
      </c>
      <c r="I2">
        <v>3475000</v>
      </c>
      <c r="J2">
        <v>525000</v>
      </c>
    </row>
    <row r="3" spans="1:10" x14ac:dyDescent="0.3">
      <c r="A3" t="s">
        <v>87</v>
      </c>
      <c r="B3" s="3">
        <v>46024</v>
      </c>
      <c r="C3" t="s">
        <v>17</v>
      </c>
      <c r="D3" t="s">
        <v>18</v>
      </c>
      <c r="E3" t="s">
        <v>19</v>
      </c>
      <c r="F3" t="s">
        <v>20</v>
      </c>
      <c r="G3" t="s">
        <v>15</v>
      </c>
      <c r="H3" s="5">
        <v>600000</v>
      </c>
      <c r="I3">
        <v>0</v>
      </c>
      <c r="J3">
        <v>0</v>
      </c>
    </row>
    <row r="4" spans="1:10" x14ac:dyDescent="0.3">
      <c r="A4" t="s">
        <v>88</v>
      </c>
      <c r="B4" s="3">
        <v>46024</v>
      </c>
      <c r="C4" t="s">
        <v>22</v>
      </c>
      <c r="D4" t="s">
        <v>23</v>
      </c>
      <c r="E4" t="s">
        <v>24</v>
      </c>
      <c r="F4" t="s">
        <v>20</v>
      </c>
      <c r="G4" t="s">
        <v>15</v>
      </c>
      <c r="H4" s="5">
        <v>3750000</v>
      </c>
      <c r="I4">
        <v>3300000</v>
      </c>
      <c r="J4">
        <v>450000</v>
      </c>
    </row>
    <row r="5" spans="1:10" x14ac:dyDescent="0.3">
      <c r="A5" t="s">
        <v>89</v>
      </c>
      <c r="B5" s="3">
        <v>46024</v>
      </c>
      <c r="C5" t="s">
        <v>25</v>
      </c>
      <c r="D5" t="s">
        <v>26</v>
      </c>
      <c r="E5" t="s">
        <v>27</v>
      </c>
      <c r="F5" t="s">
        <v>14</v>
      </c>
      <c r="G5" t="s">
        <v>28</v>
      </c>
      <c r="H5" s="5">
        <v>130000</v>
      </c>
      <c r="I5">
        <v>0</v>
      </c>
      <c r="J5">
        <v>0</v>
      </c>
    </row>
    <row r="6" spans="1:10" x14ac:dyDescent="0.3">
      <c r="A6" t="s">
        <v>90</v>
      </c>
      <c r="B6" s="3">
        <v>46025</v>
      </c>
      <c r="C6" t="s">
        <v>29</v>
      </c>
      <c r="D6" t="s">
        <v>30</v>
      </c>
      <c r="E6" t="s">
        <v>13</v>
      </c>
      <c r="F6" t="s">
        <v>14</v>
      </c>
      <c r="G6" t="s">
        <v>31</v>
      </c>
      <c r="H6" s="5">
        <v>1325000</v>
      </c>
      <c r="I6">
        <v>1000000</v>
      </c>
      <c r="J6">
        <v>325000</v>
      </c>
    </row>
    <row r="7" spans="1:10" x14ac:dyDescent="0.3">
      <c r="A7" t="s">
        <v>91</v>
      </c>
      <c r="B7" s="3">
        <v>46025</v>
      </c>
      <c r="C7" t="s">
        <v>32</v>
      </c>
      <c r="D7" t="s">
        <v>33</v>
      </c>
      <c r="E7" t="s">
        <v>27</v>
      </c>
      <c r="F7" t="s">
        <v>14</v>
      </c>
      <c r="G7" t="s">
        <v>34</v>
      </c>
      <c r="H7" s="5">
        <v>600000</v>
      </c>
      <c r="I7">
        <v>0</v>
      </c>
      <c r="J7">
        <v>0</v>
      </c>
    </row>
    <row r="8" spans="1:10" x14ac:dyDescent="0.3">
      <c r="A8" t="s">
        <v>92</v>
      </c>
      <c r="B8" s="3">
        <v>46025</v>
      </c>
      <c r="C8" t="s">
        <v>35</v>
      </c>
      <c r="D8" t="s">
        <v>36</v>
      </c>
      <c r="E8" t="s">
        <v>37</v>
      </c>
      <c r="F8" t="s">
        <v>14</v>
      </c>
      <c r="G8" t="s">
        <v>28</v>
      </c>
      <c r="H8" s="5">
        <v>55000</v>
      </c>
      <c r="I8">
        <v>50000</v>
      </c>
      <c r="J8">
        <v>5000</v>
      </c>
    </row>
    <row r="9" spans="1:10" x14ac:dyDescent="0.3">
      <c r="A9" t="s">
        <v>93</v>
      </c>
      <c r="B9" s="3">
        <v>46025</v>
      </c>
      <c r="C9" t="s">
        <v>38</v>
      </c>
      <c r="D9" t="s">
        <v>39</v>
      </c>
      <c r="E9" t="s">
        <v>24</v>
      </c>
      <c r="F9" t="s">
        <v>14</v>
      </c>
      <c r="G9" t="s">
        <v>31</v>
      </c>
      <c r="H9" s="5">
        <v>425000</v>
      </c>
      <c r="I9">
        <v>400000</v>
      </c>
      <c r="J9">
        <v>25000</v>
      </c>
    </row>
    <row r="10" spans="1:10" x14ac:dyDescent="0.3">
      <c r="A10" t="s">
        <v>94</v>
      </c>
      <c r="B10" s="3">
        <v>46025</v>
      </c>
      <c r="C10" t="s">
        <v>22</v>
      </c>
      <c r="D10" t="s">
        <v>23</v>
      </c>
      <c r="E10" t="s">
        <v>24</v>
      </c>
      <c r="F10" t="s">
        <v>20</v>
      </c>
      <c r="G10" t="s">
        <v>31</v>
      </c>
      <c r="H10" s="5">
        <v>1150000</v>
      </c>
      <c r="I10">
        <v>1025000</v>
      </c>
      <c r="J10">
        <v>125000</v>
      </c>
    </row>
    <row r="11" spans="1:10" x14ac:dyDescent="0.3">
      <c r="A11" t="s">
        <v>95</v>
      </c>
      <c r="B11" s="3">
        <v>46025</v>
      </c>
      <c r="C11" t="s">
        <v>25</v>
      </c>
      <c r="D11" t="s">
        <v>26</v>
      </c>
      <c r="E11" t="s">
        <v>27</v>
      </c>
      <c r="F11" t="s">
        <v>20</v>
      </c>
      <c r="G11" t="s">
        <v>40</v>
      </c>
      <c r="H11" s="5">
        <v>475000</v>
      </c>
      <c r="I11">
        <v>375000</v>
      </c>
      <c r="J11">
        <v>100000</v>
      </c>
    </row>
    <row r="12" spans="1:10" x14ac:dyDescent="0.3">
      <c r="A12" t="s">
        <v>96</v>
      </c>
      <c r="B12" s="3">
        <v>46025</v>
      </c>
      <c r="C12" t="s">
        <v>25</v>
      </c>
      <c r="D12" t="s">
        <v>26</v>
      </c>
      <c r="E12" t="s">
        <v>27</v>
      </c>
      <c r="F12" t="s">
        <v>20</v>
      </c>
      <c r="G12" t="s">
        <v>40</v>
      </c>
      <c r="H12" s="5">
        <v>825000</v>
      </c>
      <c r="I12">
        <v>675000</v>
      </c>
      <c r="J12">
        <v>150000</v>
      </c>
    </row>
    <row r="13" spans="1:10" x14ac:dyDescent="0.3">
      <c r="A13" t="s">
        <v>97</v>
      </c>
      <c r="B13" s="3">
        <v>46026</v>
      </c>
      <c r="C13" t="s">
        <v>29</v>
      </c>
      <c r="D13" t="s">
        <v>30</v>
      </c>
      <c r="E13" t="s">
        <v>13</v>
      </c>
      <c r="F13" t="s">
        <v>20</v>
      </c>
      <c r="G13" t="s">
        <v>28</v>
      </c>
      <c r="H13" s="5">
        <v>280000</v>
      </c>
      <c r="I13">
        <v>225000</v>
      </c>
      <c r="J13">
        <v>55000</v>
      </c>
    </row>
    <row r="14" spans="1:10" x14ac:dyDescent="0.3">
      <c r="A14" t="s">
        <v>98</v>
      </c>
      <c r="B14" s="3">
        <v>46026</v>
      </c>
      <c r="C14" t="s">
        <v>32</v>
      </c>
      <c r="D14" t="s">
        <v>33</v>
      </c>
      <c r="E14" t="s">
        <v>27</v>
      </c>
      <c r="F14" t="s">
        <v>20</v>
      </c>
      <c r="G14" t="s">
        <v>34</v>
      </c>
      <c r="H14" s="5">
        <v>100000</v>
      </c>
      <c r="I14">
        <v>75000</v>
      </c>
      <c r="J14">
        <v>25000</v>
      </c>
    </row>
    <row r="15" spans="1:10" x14ac:dyDescent="0.3">
      <c r="A15" t="s">
        <v>99</v>
      </c>
      <c r="B15" s="3">
        <v>46026</v>
      </c>
      <c r="C15" t="s">
        <v>41</v>
      </c>
      <c r="D15" t="s">
        <v>42</v>
      </c>
      <c r="E15" t="s">
        <v>43</v>
      </c>
      <c r="F15" t="s">
        <v>20</v>
      </c>
      <c r="G15" t="s">
        <v>15</v>
      </c>
      <c r="H15" s="5">
        <v>2125000</v>
      </c>
      <c r="I15">
        <v>2000000</v>
      </c>
      <c r="J15">
        <v>125000</v>
      </c>
    </row>
    <row r="16" spans="1:10" x14ac:dyDescent="0.3">
      <c r="A16" t="s">
        <v>100</v>
      </c>
      <c r="B16" s="3">
        <v>46026</v>
      </c>
      <c r="C16" t="s">
        <v>44</v>
      </c>
      <c r="D16" t="s">
        <v>45</v>
      </c>
      <c r="E16" t="s">
        <v>43</v>
      </c>
      <c r="F16" t="s">
        <v>20</v>
      </c>
      <c r="G16" t="s">
        <v>28</v>
      </c>
      <c r="H16" s="5">
        <v>105000</v>
      </c>
      <c r="I16">
        <v>75000</v>
      </c>
      <c r="J16">
        <v>30000</v>
      </c>
    </row>
    <row r="17" spans="1:10" x14ac:dyDescent="0.3">
      <c r="A17" t="s">
        <v>101</v>
      </c>
      <c r="B17" s="3">
        <v>46027</v>
      </c>
      <c r="C17" t="s">
        <v>46</v>
      </c>
      <c r="D17" t="s">
        <v>47</v>
      </c>
      <c r="E17" t="s">
        <v>37</v>
      </c>
      <c r="F17" t="s">
        <v>20</v>
      </c>
      <c r="G17" t="s">
        <v>34</v>
      </c>
      <c r="H17" s="5">
        <v>500000</v>
      </c>
      <c r="I17">
        <v>450000</v>
      </c>
      <c r="J17">
        <v>50000</v>
      </c>
    </row>
    <row r="18" spans="1:10" x14ac:dyDescent="0.3">
      <c r="A18" t="s">
        <v>102</v>
      </c>
      <c r="B18" s="3">
        <v>46027</v>
      </c>
      <c r="C18" t="s">
        <v>32</v>
      </c>
      <c r="D18" t="s">
        <v>33</v>
      </c>
      <c r="E18" t="s">
        <v>27</v>
      </c>
      <c r="F18" t="s">
        <v>14</v>
      </c>
      <c r="G18" t="s">
        <v>34</v>
      </c>
      <c r="H18" s="5">
        <v>575000</v>
      </c>
      <c r="I18">
        <v>475000</v>
      </c>
      <c r="J18">
        <v>100000</v>
      </c>
    </row>
    <row r="19" spans="1:10" x14ac:dyDescent="0.3">
      <c r="A19" t="s">
        <v>103</v>
      </c>
      <c r="B19" s="3">
        <v>46027</v>
      </c>
      <c r="C19" t="s">
        <v>48</v>
      </c>
      <c r="D19" t="s">
        <v>49</v>
      </c>
      <c r="E19" t="s">
        <v>19</v>
      </c>
      <c r="F19" t="s">
        <v>14</v>
      </c>
      <c r="G19" t="s">
        <v>15</v>
      </c>
      <c r="H19" s="5">
        <v>2875000</v>
      </c>
      <c r="I19">
        <v>2700000</v>
      </c>
      <c r="J19">
        <v>175000</v>
      </c>
    </row>
    <row r="20" spans="1:10" x14ac:dyDescent="0.3">
      <c r="A20" t="s">
        <v>104</v>
      </c>
      <c r="B20" s="3">
        <v>46027</v>
      </c>
      <c r="C20" t="s">
        <v>35</v>
      </c>
      <c r="D20" t="s">
        <v>36</v>
      </c>
      <c r="E20" t="s">
        <v>37</v>
      </c>
      <c r="F20" t="s">
        <v>20</v>
      </c>
      <c r="G20" t="s">
        <v>28</v>
      </c>
      <c r="H20" s="5">
        <v>480000</v>
      </c>
      <c r="I20">
        <v>450000</v>
      </c>
      <c r="J20">
        <v>30000</v>
      </c>
    </row>
    <row r="21" spans="1:10" x14ac:dyDescent="0.3">
      <c r="A21" t="s">
        <v>105</v>
      </c>
      <c r="B21" s="3">
        <v>46027</v>
      </c>
      <c r="C21" t="s">
        <v>38</v>
      </c>
      <c r="D21" t="s">
        <v>39</v>
      </c>
      <c r="E21" t="s">
        <v>24</v>
      </c>
      <c r="F21" t="s">
        <v>20</v>
      </c>
      <c r="G21" t="s">
        <v>28</v>
      </c>
      <c r="H21" s="5">
        <v>230000</v>
      </c>
      <c r="I21">
        <v>175000</v>
      </c>
      <c r="J21">
        <v>55000</v>
      </c>
    </row>
    <row r="22" spans="1:10" x14ac:dyDescent="0.3">
      <c r="A22" t="s">
        <v>106</v>
      </c>
      <c r="B22" s="3">
        <v>46027</v>
      </c>
      <c r="C22" t="s">
        <v>38</v>
      </c>
      <c r="D22" t="s">
        <v>39</v>
      </c>
      <c r="E22" t="s">
        <v>24</v>
      </c>
      <c r="F22" t="s">
        <v>14</v>
      </c>
      <c r="G22" t="s">
        <v>34</v>
      </c>
      <c r="H22" s="5">
        <v>275000</v>
      </c>
      <c r="I22">
        <v>225000</v>
      </c>
      <c r="J22">
        <v>50000</v>
      </c>
    </row>
    <row r="23" spans="1:10" x14ac:dyDescent="0.3">
      <c r="A23" t="s">
        <v>107</v>
      </c>
      <c r="B23" s="3">
        <v>46027</v>
      </c>
      <c r="C23" t="s">
        <v>17</v>
      </c>
      <c r="D23" t="s">
        <v>18</v>
      </c>
      <c r="E23" t="s">
        <v>19</v>
      </c>
      <c r="F23" t="s">
        <v>14</v>
      </c>
      <c r="G23" t="s">
        <v>34</v>
      </c>
      <c r="H23" s="5">
        <v>400000</v>
      </c>
      <c r="I23">
        <v>0</v>
      </c>
      <c r="J23">
        <v>0</v>
      </c>
    </row>
    <row r="24" spans="1:10" x14ac:dyDescent="0.3">
      <c r="A24" t="s">
        <v>108</v>
      </c>
      <c r="B24" s="3">
        <v>46027</v>
      </c>
      <c r="C24" t="s">
        <v>50</v>
      </c>
      <c r="D24" t="s">
        <v>51</v>
      </c>
      <c r="E24" t="s">
        <v>52</v>
      </c>
      <c r="F24" t="s">
        <v>14</v>
      </c>
      <c r="G24" t="s">
        <v>15</v>
      </c>
      <c r="H24" s="5">
        <v>3925000</v>
      </c>
      <c r="I24">
        <v>3900000</v>
      </c>
      <c r="J24">
        <v>25000</v>
      </c>
    </row>
    <row r="25" spans="1:10" x14ac:dyDescent="0.3">
      <c r="A25" t="s">
        <v>109</v>
      </c>
      <c r="B25" s="3">
        <v>46028</v>
      </c>
      <c r="C25" t="s">
        <v>32</v>
      </c>
      <c r="D25" t="s">
        <v>33</v>
      </c>
      <c r="E25" t="s">
        <v>27</v>
      </c>
      <c r="F25" t="s">
        <v>20</v>
      </c>
      <c r="G25" t="s">
        <v>15</v>
      </c>
      <c r="H25" s="5">
        <v>1525000</v>
      </c>
      <c r="I25">
        <v>0</v>
      </c>
      <c r="J25">
        <v>0</v>
      </c>
    </row>
    <row r="26" spans="1:10" x14ac:dyDescent="0.3">
      <c r="A26" t="s">
        <v>110</v>
      </c>
      <c r="B26" s="3">
        <v>46028</v>
      </c>
      <c r="C26" t="s">
        <v>17</v>
      </c>
      <c r="D26" t="s">
        <v>18</v>
      </c>
      <c r="E26" t="s">
        <v>19</v>
      </c>
      <c r="F26" t="s">
        <v>14</v>
      </c>
      <c r="G26" t="s">
        <v>28</v>
      </c>
      <c r="H26" s="5">
        <v>180000</v>
      </c>
      <c r="I26">
        <v>175000</v>
      </c>
      <c r="J26">
        <v>5000</v>
      </c>
    </row>
    <row r="27" spans="1:10" x14ac:dyDescent="0.3">
      <c r="A27" t="s">
        <v>111</v>
      </c>
      <c r="B27" s="3">
        <v>46028</v>
      </c>
      <c r="C27" t="s">
        <v>50</v>
      </c>
      <c r="D27" t="s">
        <v>51</v>
      </c>
      <c r="E27" t="s">
        <v>52</v>
      </c>
      <c r="F27" t="s">
        <v>20</v>
      </c>
      <c r="G27" t="s">
        <v>34</v>
      </c>
      <c r="H27" s="5">
        <v>300000</v>
      </c>
      <c r="I27">
        <v>275000</v>
      </c>
      <c r="J27">
        <v>25000</v>
      </c>
    </row>
    <row r="28" spans="1:10" x14ac:dyDescent="0.3">
      <c r="A28" t="s">
        <v>112</v>
      </c>
      <c r="B28" s="3">
        <v>46029</v>
      </c>
      <c r="C28" t="s">
        <v>53</v>
      </c>
      <c r="D28" t="s">
        <v>54</v>
      </c>
      <c r="E28" t="s">
        <v>43</v>
      </c>
      <c r="F28" t="s">
        <v>20</v>
      </c>
      <c r="G28" t="s">
        <v>40</v>
      </c>
      <c r="H28" s="5">
        <v>825000</v>
      </c>
      <c r="I28">
        <v>800000</v>
      </c>
      <c r="J28">
        <v>25000</v>
      </c>
    </row>
    <row r="29" spans="1:10" x14ac:dyDescent="0.3">
      <c r="A29" t="s">
        <v>113</v>
      </c>
      <c r="B29" s="3">
        <v>46029</v>
      </c>
      <c r="C29" t="s">
        <v>22</v>
      </c>
      <c r="D29" t="s">
        <v>23</v>
      </c>
      <c r="E29" t="s">
        <v>24</v>
      </c>
      <c r="F29" t="s">
        <v>14</v>
      </c>
      <c r="G29" t="s">
        <v>34</v>
      </c>
      <c r="H29" s="5">
        <v>275000</v>
      </c>
      <c r="I29">
        <v>225000</v>
      </c>
      <c r="J29">
        <v>50000</v>
      </c>
    </row>
    <row r="30" spans="1:10" x14ac:dyDescent="0.3">
      <c r="A30" t="s">
        <v>114</v>
      </c>
      <c r="B30" s="3">
        <v>46030</v>
      </c>
      <c r="C30" t="s">
        <v>55</v>
      </c>
      <c r="D30" t="s">
        <v>56</v>
      </c>
      <c r="E30" t="s">
        <v>24</v>
      </c>
      <c r="F30" t="s">
        <v>20</v>
      </c>
      <c r="G30" t="s">
        <v>31</v>
      </c>
      <c r="H30" s="5">
        <v>450000</v>
      </c>
      <c r="I30">
        <v>350000</v>
      </c>
      <c r="J30">
        <v>100000</v>
      </c>
    </row>
    <row r="31" spans="1:10" x14ac:dyDescent="0.3">
      <c r="A31" t="s">
        <v>115</v>
      </c>
      <c r="B31" s="3">
        <v>46030</v>
      </c>
      <c r="C31" t="s">
        <v>55</v>
      </c>
      <c r="D31" t="s">
        <v>56</v>
      </c>
      <c r="E31" t="s">
        <v>24</v>
      </c>
      <c r="F31" t="s">
        <v>20</v>
      </c>
      <c r="G31" t="s">
        <v>57</v>
      </c>
      <c r="H31" s="5">
        <v>430000</v>
      </c>
      <c r="I31">
        <v>350000</v>
      </c>
      <c r="J31">
        <v>80000</v>
      </c>
    </row>
    <row r="32" spans="1:10" x14ac:dyDescent="0.3">
      <c r="A32" t="s">
        <v>116</v>
      </c>
      <c r="B32" s="3">
        <v>46030</v>
      </c>
      <c r="C32" t="s">
        <v>48</v>
      </c>
      <c r="D32" t="s">
        <v>49</v>
      </c>
      <c r="E32" t="s">
        <v>19</v>
      </c>
      <c r="F32" t="s">
        <v>14</v>
      </c>
      <c r="G32" t="s">
        <v>57</v>
      </c>
      <c r="H32" s="5">
        <v>80000</v>
      </c>
      <c r="I32">
        <v>0</v>
      </c>
      <c r="J32">
        <v>0</v>
      </c>
    </row>
    <row r="33" spans="1:10" x14ac:dyDescent="0.3">
      <c r="A33" t="s">
        <v>117</v>
      </c>
      <c r="B33" s="3">
        <v>46030</v>
      </c>
      <c r="C33" t="s">
        <v>48</v>
      </c>
      <c r="D33" t="s">
        <v>49</v>
      </c>
      <c r="E33" t="s">
        <v>19</v>
      </c>
      <c r="F33" t="s">
        <v>20</v>
      </c>
      <c r="G33" t="s">
        <v>58</v>
      </c>
      <c r="H33" s="5">
        <v>200000</v>
      </c>
      <c r="I33">
        <v>150000</v>
      </c>
      <c r="J33">
        <v>50000</v>
      </c>
    </row>
    <row r="34" spans="1:10" x14ac:dyDescent="0.3">
      <c r="A34" t="s">
        <v>118</v>
      </c>
      <c r="B34" s="3">
        <v>46030</v>
      </c>
      <c r="C34" t="s">
        <v>22</v>
      </c>
      <c r="D34" t="s">
        <v>23</v>
      </c>
      <c r="E34" t="s">
        <v>24</v>
      </c>
      <c r="F34" t="s">
        <v>20</v>
      </c>
      <c r="G34" t="s">
        <v>57</v>
      </c>
      <c r="H34" s="5">
        <v>180000</v>
      </c>
      <c r="I34">
        <v>150000</v>
      </c>
      <c r="J34">
        <v>30000</v>
      </c>
    </row>
    <row r="35" spans="1:10" x14ac:dyDescent="0.3">
      <c r="A35" t="s">
        <v>119</v>
      </c>
      <c r="B35" s="3">
        <v>46030</v>
      </c>
      <c r="C35" t="s">
        <v>59</v>
      </c>
      <c r="D35" t="s">
        <v>60</v>
      </c>
      <c r="E35" t="s">
        <v>19</v>
      </c>
      <c r="F35" t="s">
        <v>20</v>
      </c>
      <c r="G35" t="s">
        <v>57</v>
      </c>
      <c r="H35" s="5">
        <v>130000</v>
      </c>
      <c r="I35">
        <v>125000</v>
      </c>
      <c r="J35">
        <v>5000</v>
      </c>
    </row>
    <row r="36" spans="1:10" x14ac:dyDescent="0.3">
      <c r="A36" t="s">
        <v>120</v>
      </c>
      <c r="B36" s="3">
        <v>46030</v>
      </c>
      <c r="C36" t="s">
        <v>25</v>
      </c>
      <c r="D36" t="s">
        <v>26</v>
      </c>
      <c r="E36" t="s">
        <v>27</v>
      </c>
      <c r="F36" t="s">
        <v>20</v>
      </c>
      <c r="G36" t="s">
        <v>61</v>
      </c>
      <c r="H36" s="5">
        <v>225000</v>
      </c>
      <c r="I36">
        <v>200000</v>
      </c>
      <c r="J36">
        <v>25000</v>
      </c>
    </row>
    <row r="37" spans="1:10" x14ac:dyDescent="0.3">
      <c r="A37" t="s">
        <v>121</v>
      </c>
      <c r="B37" s="3">
        <v>46031</v>
      </c>
      <c r="C37" t="s">
        <v>62</v>
      </c>
      <c r="D37" t="s">
        <v>63</v>
      </c>
      <c r="E37" t="s">
        <v>52</v>
      </c>
      <c r="F37" t="s">
        <v>14</v>
      </c>
      <c r="G37" t="s">
        <v>58</v>
      </c>
      <c r="H37" s="5">
        <v>650000</v>
      </c>
      <c r="I37">
        <v>625000</v>
      </c>
      <c r="J37">
        <v>25000</v>
      </c>
    </row>
    <row r="38" spans="1:10" x14ac:dyDescent="0.3">
      <c r="A38" t="s">
        <v>122</v>
      </c>
      <c r="B38" s="3">
        <v>46031</v>
      </c>
      <c r="C38" t="s">
        <v>11</v>
      </c>
      <c r="D38" t="s">
        <v>12</v>
      </c>
      <c r="E38" t="s">
        <v>13</v>
      </c>
      <c r="F38" t="s">
        <v>14</v>
      </c>
      <c r="G38" t="s">
        <v>34</v>
      </c>
      <c r="H38" s="5">
        <v>600000</v>
      </c>
      <c r="I38">
        <v>0</v>
      </c>
      <c r="J38">
        <v>0</v>
      </c>
    </row>
    <row r="39" spans="1:10" x14ac:dyDescent="0.3">
      <c r="A39" t="s">
        <v>123</v>
      </c>
      <c r="B39" s="3">
        <v>46032</v>
      </c>
      <c r="C39" t="s">
        <v>38</v>
      </c>
      <c r="D39" t="s">
        <v>39</v>
      </c>
      <c r="E39" t="s">
        <v>24</v>
      </c>
      <c r="F39" t="s">
        <v>14</v>
      </c>
      <c r="G39" t="s">
        <v>15</v>
      </c>
      <c r="H39" s="5">
        <v>3400000</v>
      </c>
      <c r="I39">
        <v>2525000</v>
      </c>
      <c r="J39">
        <v>875000</v>
      </c>
    </row>
    <row r="40" spans="1:10" x14ac:dyDescent="0.3">
      <c r="A40" t="s">
        <v>124</v>
      </c>
      <c r="B40" s="3">
        <v>46032</v>
      </c>
      <c r="C40" t="s">
        <v>64</v>
      </c>
      <c r="D40" t="s">
        <v>65</v>
      </c>
      <c r="E40" t="s">
        <v>37</v>
      </c>
      <c r="F40" t="s">
        <v>14</v>
      </c>
      <c r="G40" t="s">
        <v>31</v>
      </c>
      <c r="H40" s="5">
        <v>1325000</v>
      </c>
      <c r="I40">
        <v>1200000</v>
      </c>
      <c r="J40">
        <v>125000</v>
      </c>
    </row>
    <row r="41" spans="1:10" x14ac:dyDescent="0.3">
      <c r="A41" t="s">
        <v>125</v>
      </c>
      <c r="B41" s="3">
        <v>46032</v>
      </c>
      <c r="C41" t="s">
        <v>53</v>
      </c>
      <c r="D41" t="s">
        <v>54</v>
      </c>
      <c r="E41" t="s">
        <v>43</v>
      </c>
      <c r="F41" t="s">
        <v>14</v>
      </c>
      <c r="G41" t="s">
        <v>15</v>
      </c>
      <c r="H41" s="5">
        <v>3950000</v>
      </c>
      <c r="I41">
        <v>3475000</v>
      </c>
      <c r="J41">
        <v>475000</v>
      </c>
    </row>
    <row r="42" spans="1:10" x14ac:dyDescent="0.3">
      <c r="A42" t="s">
        <v>126</v>
      </c>
      <c r="B42" s="3">
        <v>46032</v>
      </c>
      <c r="C42" t="s">
        <v>59</v>
      </c>
      <c r="D42" t="s">
        <v>60</v>
      </c>
      <c r="E42" t="s">
        <v>19</v>
      </c>
      <c r="F42" t="s">
        <v>20</v>
      </c>
      <c r="G42" t="s">
        <v>57</v>
      </c>
      <c r="H42" s="5">
        <v>305000</v>
      </c>
      <c r="I42">
        <v>0</v>
      </c>
      <c r="J42">
        <v>0</v>
      </c>
    </row>
    <row r="43" spans="1:10" x14ac:dyDescent="0.3">
      <c r="A43" t="s">
        <v>127</v>
      </c>
      <c r="B43" s="3">
        <v>46033</v>
      </c>
      <c r="C43" t="s">
        <v>46</v>
      </c>
      <c r="D43" t="s">
        <v>47</v>
      </c>
      <c r="E43" t="s">
        <v>37</v>
      </c>
      <c r="F43" t="s">
        <v>20</v>
      </c>
      <c r="G43" t="s">
        <v>58</v>
      </c>
      <c r="H43" s="5">
        <v>150000</v>
      </c>
      <c r="I43">
        <v>0</v>
      </c>
      <c r="J43">
        <v>0</v>
      </c>
    </row>
    <row r="44" spans="1:10" x14ac:dyDescent="0.3">
      <c r="A44" t="s">
        <v>128</v>
      </c>
      <c r="B44" s="3">
        <v>46033</v>
      </c>
      <c r="C44" t="s">
        <v>32</v>
      </c>
      <c r="D44" t="s">
        <v>33</v>
      </c>
      <c r="E44" t="s">
        <v>27</v>
      </c>
      <c r="F44" t="s">
        <v>20</v>
      </c>
      <c r="G44" t="s">
        <v>57</v>
      </c>
      <c r="H44" s="5">
        <v>30000</v>
      </c>
      <c r="I44">
        <v>0</v>
      </c>
      <c r="J44">
        <v>0</v>
      </c>
    </row>
    <row r="45" spans="1:10" x14ac:dyDescent="0.3">
      <c r="A45" t="s">
        <v>129</v>
      </c>
      <c r="B45" s="3">
        <v>46033</v>
      </c>
      <c r="C45" t="s">
        <v>48</v>
      </c>
      <c r="D45" t="s">
        <v>49</v>
      </c>
      <c r="E45" t="s">
        <v>19</v>
      </c>
      <c r="F45" t="s">
        <v>14</v>
      </c>
      <c r="G45" t="s">
        <v>57</v>
      </c>
      <c r="H45" s="5">
        <v>130000</v>
      </c>
      <c r="I45">
        <v>125000</v>
      </c>
      <c r="J45">
        <v>5000</v>
      </c>
    </row>
    <row r="46" spans="1:10" x14ac:dyDescent="0.3">
      <c r="A46" t="s">
        <v>130</v>
      </c>
      <c r="B46" s="3">
        <v>46033</v>
      </c>
      <c r="C46" t="s">
        <v>35</v>
      </c>
      <c r="D46" t="s">
        <v>36</v>
      </c>
      <c r="E46" t="s">
        <v>37</v>
      </c>
      <c r="F46" t="s">
        <v>14</v>
      </c>
      <c r="G46" t="s">
        <v>61</v>
      </c>
      <c r="H46" s="5">
        <v>325000</v>
      </c>
      <c r="I46">
        <v>300000</v>
      </c>
      <c r="J46">
        <v>25000</v>
      </c>
    </row>
    <row r="47" spans="1:10" x14ac:dyDescent="0.3">
      <c r="A47" t="s">
        <v>131</v>
      </c>
      <c r="B47" s="3">
        <v>46033</v>
      </c>
      <c r="C47" t="s">
        <v>17</v>
      </c>
      <c r="D47" t="s">
        <v>18</v>
      </c>
      <c r="E47" t="s">
        <v>19</v>
      </c>
      <c r="F47" t="s">
        <v>14</v>
      </c>
      <c r="G47" t="s">
        <v>58</v>
      </c>
      <c r="H47" s="5">
        <v>525000</v>
      </c>
      <c r="I47">
        <v>375000</v>
      </c>
      <c r="J47">
        <v>150000</v>
      </c>
    </row>
    <row r="48" spans="1:10" x14ac:dyDescent="0.3">
      <c r="A48" t="s">
        <v>132</v>
      </c>
      <c r="B48" s="3">
        <v>46033</v>
      </c>
      <c r="C48" t="s">
        <v>64</v>
      </c>
      <c r="D48" t="s">
        <v>65</v>
      </c>
      <c r="E48" t="s">
        <v>37</v>
      </c>
      <c r="F48" t="s">
        <v>14</v>
      </c>
      <c r="G48" t="s">
        <v>15</v>
      </c>
      <c r="H48" s="5">
        <v>975000</v>
      </c>
      <c r="I48">
        <v>0</v>
      </c>
      <c r="J48">
        <v>0</v>
      </c>
    </row>
    <row r="49" spans="1:10" x14ac:dyDescent="0.3">
      <c r="A49" t="s">
        <v>133</v>
      </c>
      <c r="B49" s="3">
        <v>46033</v>
      </c>
      <c r="C49" t="s">
        <v>53</v>
      </c>
      <c r="D49" t="s">
        <v>54</v>
      </c>
      <c r="E49" t="s">
        <v>43</v>
      </c>
      <c r="F49" t="s">
        <v>20</v>
      </c>
      <c r="G49" t="s">
        <v>28</v>
      </c>
      <c r="H49" s="5">
        <v>330000</v>
      </c>
      <c r="I49">
        <v>250000</v>
      </c>
      <c r="J49">
        <v>80000</v>
      </c>
    </row>
    <row r="50" spans="1:10" x14ac:dyDescent="0.3">
      <c r="A50" t="s">
        <v>134</v>
      </c>
      <c r="B50" s="3">
        <v>46033</v>
      </c>
      <c r="C50" t="s">
        <v>22</v>
      </c>
      <c r="D50" t="s">
        <v>23</v>
      </c>
      <c r="E50" t="s">
        <v>24</v>
      </c>
      <c r="F50" t="s">
        <v>20</v>
      </c>
      <c r="G50" t="s">
        <v>58</v>
      </c>
      <c r="H50" s="5">
        <v>550000</v>
      </c>
      <c r="I50">
        <v>0</v>
      </c>
      <c r="J50">
        <v>0</v>
      </c>
    </row>
    <row r="51" spans="1:10" x14ac:dyDescent="0.3">
      <c r="A51" t="s">
        <v>135</v>
      </c>
      <c r="B51" s="3">
        <v>46034</v>
      </c>
      <c r="C51" t="s">
        <v>50</v>
      </c>
      <c r="D51" t="s">
        <v>51</v>
      </c>
      <c r="E51" t="s">
        <v>52</v>
      </c>
      <c r="F51" t="s">
        <v>14</v>
      </c>
      <c r="G51" t="s">
        <v>40</v>
      </c>
      <c r="H51" s="5">
        <v>875000</v>
      </c>
      <c r="I51">
        <v>775000</v>
      </c>
      <c r="J51">
        <v>100000</v>
      </c>
    </row>
    <row r="52" spans="1:10" x14ac:dyDescent="0.3">
      <c r="A52" t="s">
        <v>136</v>
      </c>
      <c r="B52" s="3">
        <v>46035</v>
      </c>
      <c r="C52" t="s">
        <v>29</v>
      </c>
      <c r="D52" t="s">
        <v>30</v>
      </c>
      <c r="E52" t="s">
        <v>13</v>
      </c>
      <c r="F52" t="s">
        <v>14</v>
      </c>
      <c r="G52" t="s">
        <v>58</v>
      </c>
      <c r="H52" s="5">
        <v>900000</v>
      </c>
      <c r="I52">
        <v>775000</v>
      </c>
      <c r="J52">
        <v>125000</v>
      </c>
    </row>
    <row r="53" spans="1:10" x14ac:dyDescent="0.3">
      <c r="A53" t="s">
        <v>137</v>
      </c>
      <c r="B53" s="3">
        <v>46035</v>
      </c>
      <c r="C53" t="s">
        <v>35</v>
      </c>
      <c r="D53" t="s">
        <v>36</v>
      </c>
      <c r="E53" t="s">
        <v>37</v>
      </c>
      <c r="F53" t="s">
        <v>14</v>
      </c>
      <c r="G53" t="s">
        <v>40</v>
      </c>
      <c r="H53" s="5">
        <v>225000</v>
      </c>
      <c r="I53">
        <v>0</v>
      </c>
      <c r="J53">
        <v>0</v>
      </c>
    </row>
    <row r="54" spans="1:10" x14ac:dyDescent="0.3">
      <c r="A54" t="s">
        <v>138</v>
      </c>
      <c r="B54" s="3">
        <v>46035</v>
      </c>
      <c r="C54" t="s">
        <v>64</v>
      </c>
      <c r="D54" t="s">
        <v>65</v>
      </c>
      <c r="E54" t="s">
        <v>37</v>
      </c>
      <c r="F54" t="s">
        <v>14</v>
      </c>
      <c r="G54" t="s">
        <v>40</v>
      </c>
      <c r="H54" s="5">
        <v>350000</v>
      </c>
      <c r="I54">
        <v>275000</v>
      </c>
      <c r="J54">
        <v>75000</v>
      </c>
    </row>
    <row r="55" spans="1:10" x14ac:dyDescent="0.3">
      <c r="A55" t="s">
        <v>139</v>
      </c>
      <c r="B55" s="3">
        <v>46035</v>
      </c>
      <c r="C55" t="s">
        <v>53</v>
      </c>
      <c r="D55" t="s">
        <v>54</v>
      </c>
      <c r="E55" t="s">
        <v>43</v>
      </c>
      <c r="F55" t="s">
        <v>14</v>
      </c>
      <c r="G55" t="s">
        <v>40</v>
      </c>
      <c r="H55" s="5">
        <v>525000</v>
      </c>
      <c r="I55">
        <v>400000</v>
      </c>
      <c r="J55">
        <v>125000</v>
      </c>
    </row>
    <row r="56" spans="1:10" x14ac:dyDescent="0.3">
      <c r="A56" t="s">
        <v>140</v>
      </c>
      <c r="B56" s="3">
        <v>46036</v>
      </c>
      <c r="C56" t="s">
        <v>46</v>
      </c>
      <c r="D56" t="s">
        <v>47</v>
      </c>
      <c r="E56" t="s">
        <v>37</v>
      </c>
      <c r="F56" t="s">
        <v>20</v>
      </c>
      <c r="G56" t="s">
        <v>31</v>
      </c>
      <c r="H56" s="5">
        <v>300000</v>
      </c>
      <c r="I56">
        <v>275000</v>
      </c>
      <c r="J56">
        <v>25000</v>
      </c>
    </row>
    <row r="57" spans="1:10" x14ac:dyDescent="0.3">
      <c r="A57" t="s">
        <v>141</v>
      </c>
      <c r="B57" s="3">
        <v>46036</v>
      </c>
      <c r="C57" t="s">
        <v>64</v>
      </c>
      <c r="D57" t="s">
        <v>65</v>
      </c>
      <c r="E57" t="s">
        <v>37</v>
      </c>
      <c r="F57" t="s">
        <v>14</v>
      </c>
      <c r="G57" t="s">
        <v>57</v>
      </c>
      <c r="H57" s="5">
        <v>55000</v>
      </c>
      <c r="I57">
        <v>50000</v>
      </c>
      <c r="J57">
        <v>5000</v>
      </c>
    </row>
    <row r="58" spans="1:10" x14ac:dyDescent="0.3">
      <c r="A58" t="s">
        <v>142</v>
      </c>
      <c r="B58" s="3">
        <v>46036</v>
      </c>
      <c r="C58" t="s">
        <v>59</v>
      </c>
      <c r="D58" t="s">
        <v>60</v>
      </c>
      <c r="E58" t="s">
        <v>19</v>
      </c>
      <c r="F58" t="s">
        <v>14</v>
      </c>
      <c r="G58" t="s">
        <v>28</v>
      </c>
      <c r="H58" s="5">
        <v>55000</v>
      </c>
      <c r="I58">
        <v>50000</v>
      </c>
      <c r="J58">
        <v>5000</v>
      </c>
    </row>
    <row r="59" spans="1:10" x14ac:dyDescent="0.3">
      <c r="A59" t="s">
        <v>143</v>
      </c>
      <c r="B59" s="3">
        <v>46037</v>
      </c>
      <c r="C59" t="s">
        <v>29</v>
      </c>
      <c r="D59" t="s">
        <v>30</v>
      </c>
      <c r="E59" t="s">
        <v>13</v>
      </c>
      <c r="F59" t="s">
        <v>20</v>
      </c>
      <c r="G59" t="s">
        <v>15</v>
      </c>
      <c r="H59" s="5">
        <v>1825000</v>
      </c>
      <c r="I59">
        <v>1525000</v>
      </c>
      <c r="J59">
        <v>300000</v>
      </c>
    </row>
    <row r="60" spans="1:10" x14ac:dyDescent="0.3">
      <c r="A60" t="s">
        <v>144</v>
      </c>
      <c r="B60" s="3">
        <v>46037</v>
      </c>
      <c r="C60" t="s">
        <v>41</v>
      </c>
      <c r="D60" t="s">
        <v>42</v>
      </c>
      <c r="E60" t="s">
        <v>43</v>
      </c>
      <c r="F60" t="s">
        <v>14</v>
      </c>
      <c r="G60" t="s">
        <v>40</v>
      </c>
      <c r="H60" s="5">
        <v>175000</v>
      </c>
      <c r="I60">
        <v>0</v>
      </c>
      <c r="J60">
        <v>0</v>
      </c>
    </row>
    <row r="61" spans="1:10" x14ac:dyDescent="0.3">
      <c r="A61" t="s">
        <v>145</v>
      </c>
      <c r="B61" s="3">
        <v>46037</v>
      </c>
      <c r="C61" t="s">
        <v>35</v>
      </c>
      <c r="D61" t="s">
        <v>36</v>
      </c>
      <c r="E61" t="s">
        <v>37</v>
      </c>
      <c r="F61" t="s">
        <v>20</v>
      </c>
      <c r="G61" t="s">
        <v>40</v>
      </c>
      <c r="H61" s="5">
        <v>175000</v>
      </c>
      <c r="I61">
        <v>150000</v>
      </c>
      <c r="J61">
        <v>25000</v>
      </c>
    </row>
    <row r="62" spans="1:10" x14ac:dyDescent="0.3">
      <c r="A62" t="s">
        <v>146</v>
      </c>
      <c r="B62" s="3">
        <v>46037</v>
      </c>
      <c r="C62" t="s">
        <v>44</v>
      </c>
      <c r="D62" t="s">
        <v>45</v>
      </c>
      <c r="E62" t="s">
        <v>43</v>
      </c>
      <c r="F62" t="s">
        <v>20</v>
      </c>
      <c r="G62" t="s">
        <v>34</v>
      </c>
      <c r="H62" s="5">
        <v>75000</v>
      </c>
      <c r="I62">
        <v>50000</v>
      </c>
      <c r="J62">
        <v>25000</v>
      </c>
    </row>
    <row r="63" spans="1:10" x14ac:dyDescent="0.3">
      <c r="A63" t="s">
        <v>147</v>
      </c>
      <c r="B63" s="3">
        <v>46037</v>
      </c>
      <c r="C63" t="s">
        <v>22</v>
      </c>
      <c r="D63" t="s">
        <v>23</v>
      </c>
      <c r="E63" t="s">
        <v>24</v>
      </c>
      <c r="F63" t="s">
        <v>14</v>
      </c>
      <c r="G63" t="s">
        <v>58</v>
      </c>
      <c r="H63" s="5">
        <v>325000</v>
      </c>
      <c r="I63">
        <v>0</v>
      </c>
      <c r="J63">
        <v>0</v>
      </c>
    </row>
    <row r="64" spans="1:10" x14ac:dyDescent="0.3">
      <c r="A64" t="s">
        <v>148</v>
      </c>
      <c r="B64" s="3">
        <v>46038</v>
      </c>
      <c r="C64" t="s">
        <v>32</v>
      </c>
      <c r="D64" t="s">
        <v>33</v>
      </c>
      <c r="E64" t="s">
        <v>27</v>
      </c>
      <c r="F64" t="s">
        <v>14</v>
      </c>
      <c r="G64" t="s">
        <v>31</v>
      </c>
      <c r="H64" s="5">
        <v>125000</v>
      </c>
      <c r="I64">
        <v>100000</v>
      </c>
      <c r="J64">
        <v>25000</v>
      </c>
    </row>
    <row r="65" spans="1:10" x14ac:dyDescent="0.3">
      <c r="A65" t="s">
        <v>149</v>
      </c>
      <c r="B65" s="3">
        <v>46038</v>
      </c>
      <c r="C65" t="s">
        <v>48</v>
      </c>
      <c r="D65" t="s">
        <v>49</v>
      </c>
      <c r="E65" t="s">
        <v>19</v>
      </c>
      <c r="F65" t="s">
        <v>14</v>
      </c>
      <c r="G65" t="s">
        <v>61</v>
      </c>
      <c r="H65" s="5">
        <v>100000</v>
      </c>
      <c r="I65">
        <v>75000</v>
      </c>
      <c r="J65">
        <v>25000</v>
      </c>
    </row>
    <row r="66" spans="1:10" x14ac:dyDescent="0.3">
      <c r="A66" t="s">
        <v>150</v>
      </c>
      <c r="B66" s="3">
        <v>46038</v>
      </c>
      <c r="C66" t="s">
        <v>11</v>
      </c>
      <c r="D66" t="s">
        <v>12</v>
      </c>
      <c r="E66" t="s">
        <v>13</v>
      </c>
      <c r="F66" t="s">
        <v>14</v>
      </c>
      <c r="G66" t="s">
        <v>61</v>
      </c>
      <c r="H66" s="5">
        <v>125000</v>
      </c>
      <c r="I66">
        <v>100000</v>
      </c>
      <c r="J66">
        <v>25000</v>
      </c>
    </row>
    <row r="67" spans="1:10" x14ac:dyDescent="0.3">
      <c r="A67" t="s">
        <v>151</v>
      </c>
      <c r="B67" s="3">
        <v>46038</v>
      </c>
      <c r="C67" t="s">
        <v>66</v>
      </c>
      <c r="D67" t="s">
        <v>67</v>
      </c>
      <c r="E67" t="s">
        <v>13</v>
      </c>
      <c r="F67" t="s">
        <v>20</v>
      </c>
      <c r="G67" t="s">
        <v>28</v>
      </c>
      <c r="H67" s="5">
        <v>80000</v>
      </c>
      <c r="I67">
        <v>75000</v>
      </c>
      <c r="J67">
        <v>5000</v>
      </c>
    </row>
    <row r="68" spans="1:10" x14ac:dyDescent="0.3">
      <c r="A68" t="s">
        <v>152</v>
      </c>
      <c r="B68" s="3">
        <v>46039</v>
      </c>
      <c r="C68" t="s">
        <v>46</v>
      </c>
      <c r="D68" t="s">
        <v>47</v>
      </c>
      <c r="E68" t="s">
        <v>37</v>
      </c>
      <c r="F68" t="s">
        <v>20</v>
      </c>
      <c r="G68" t="s">
        <v>61</v>
      </c>
      <c r="H68" s="5">
        <v>375000</v>
      </c>
      <c r="I68">
        <v>350000</v>
      </c>
      <c r="J68">
        <v>25000</v>
      </c>
    </row>
    <row r="69" spans="1:10" x14ac:dyDescent="0.3">
      <c r="A69" t="s">
        <v>153</v>
      </c>
      <c r="B69" s="3">
        <v>46039</v>
      </c>
      <c r="C69" t="s">
        <v>68</v>
      </c>
      <c r="D69" t="s">
        <v>69</v>
      </c>
      <c r="E69" t="s">
        <v>27</v>
      </c>
      <c r="F69" t="s">
        <v>14</v>
      </c>
      <c r="G69" t="s">
        <v>28</v>
      </c>
      <c r="H69" s="5">
        <v>105000</v>
      </c>
      <c r="I69">
        <v>0</v>
      </c>
      <c r="J69">
        <v>0</v>
      </c>
    </row>
    <row r="70" spans="1:10" x14ac:dyDescent="0.3">
      <c r="A70" t="s">
        <v>154</v>
      </c>
      <c r="B70" s="3">
        <v>46039</v>
      </c>
      <c r="C70" t="s">
        <v>68</v>
      </c>
      <c r="D70" t="s">
        <v>69</v>
      </c>
      <c r="E70" t="s">
        <v>27</v>
      </c>
      <c r="F70" t="s">
        <v>14</v>
      </c>
      <c r="G70" t="s">
        <v>15</v>
      </c>
      <c r="H70" s="5">
        <v>1625000</v>
      </c>
      <c r="I70">
        <v>1375000</v>
      </c>
      <c r="J70">
        <v>250000</v>
      </c>
    </row>
    <row r="71" spans="1:10" x14ac:dyDescent="0.3">
      <c r="A71" t="s">
        <v>155</v>
      </c>
      <c r="B71" s="3">
        <v>46039</v>
      </c>
      <c r="C71" t="s">
        <v>59</v>
      </c>
      <c r="D71" t="s">
        <v>60</v>
      </c>
      <c r="E71" t="s">
        <v>19</v>
      </c>
      <c r="F71" t="s">
        <v>14</v>
      </c>
      <c r="G71" t="s">
        <v>34</v>
      </c>
      <c r="H71" s="5">
        <v>100000</v>
      </c>
      <c r="I71">
        <v>0</v>
      </c>
      <c r="J71">
        <v>0</v>
      </c>
    </row>
    <row r="72" spans="1:10" x14ac:dyDescent="0.3">
      <c r="A72" t="s">
        <v>156</v>
      </c>
      <c r="B72" s="3">
        <v>46040</v>
      </c>
      <c r="C72" t="s">
        <v>68</v>
      </c>
      <c r="D72" t="s">
        <v>69</v>
      </c>
      <c r="E72" t="s">
        <v>27</v>
      </c>
      <c r="F72" t="s">
        <v>14</v>
      </c>
      <c r="G72" t="s">
        <v>61</v>
      </c>
      <c r="H72" s="5">
        <v>275000</v>
      </c>
      <c r="I72">
        <v>0</v>
      </c>
      <c r="J72">
        <v>0</v>
      </c>
    </row>
    <row r="73" spans="1:10" x14ac:dyDescent="0.3">
      <c r="A73" t="s">
        <v>157</v>
      </c>
      <c r="B73" s="3">
        <v>46040</v>
      </c>
      <c r="C73" t="s">
        <v>68</v>
      </c>
      <c r="D73" t="s">
        <v>69</v>
      </c>
      <c r="E73" t="s">
        <v>27</v>
      </c>
      <c r="F73" t="s">
        <v>20</v>
      </c>
      <c r="G73" t="s">
        <v>61</v>
      </c>
      <c r="H73" s="5">
        <v>100000</v>
      </c>
      <c r="I73">
        <v>75000</v>
      </c>
      <c r="J73">
        <v>25000</v>
      </c>
    </row>
    <row r="74" spans="1:10" x14ac:dyDescent="0.3">
      <c r="A74" t="s">
        <v>158</v>
      </c>
      <c r="B74" s="3">
        <v>46040</v>
      </c>
      <c r="C74" t="s">
        <v>44</v>
      </c>
      <c r="D74" t="s">
        <v>45</v>
      </c>
      <c r="E74" t="s">
        <v>43</v>
      </c>
      <c r="F74" t="s">
        <v>20</v>
      </c>
      <c r="G74" t="s">
        <v>15</v>
      </c>
      <c r="H74" s="5">
        <v>675000</v>
      </c>
      <c r="I74">
        <v>550000</v>
      </c>
      <c r="J74">
        <v>125000</v>
      </c>
    </row>
    <row r="75" spans="1:10" x14ac:dyDescent="0.3">
      <c r="A75" t="s">
        <v>159</v>
      </c>
      <c r="B75" s="3">
        <v>46040</v>
      </c>
      <c r="C75" t="s">
        <v>25</v>
      </c>
      <c r="D75" t="s">
        <v>26</v>
      </c>
      <c r="E75" t="s">
        <v>27</v>
      </c>
      <c r="F75" t="s">
        <v>20</v>
      </c>
      <c r="G75" t="s">
        <v>40</v>
      </c>
      <c r="H75" s="5">
        <v>175000</v>
      </c>
      <c r="I75">
        <v>150000</v>
      </c>
      <c r="J75">
        <v>25000</v>
      </c>
    </row>
    <row r="76" spans="1:10" x14ac:dyDescent="0.3">
      <c r="A76" t="s">
        <v>160</v>
      </c>
      <c r="B76" s="3">
        <v>46041</v>
      </c>
      <c r="C76" t="s">
        <v>11</v>
      </c>
      <c r="D76" t="s">
        <v>12</v>
      </c>
      <c r="E76" t="s">
        <v>13</v>
      </c>
      <c r="F76" t="s">
        <v>20</v>
      </c>
      <c r="G76" t="s">
        <v>58</v>
      </c>
      <c r="H76" s="5">
        <v>250000</v>
      </c>
      <c r="I76">
        <v>225000</v>
      </c>
      <c r="J76">
        <v>25000</v>
      </c>
    </row>
    <row r="77" spans="1:10" x14ac:dyDescent="0.3">
      <c r="A77" t="s">
        <v>161</v>
      </c>
      <c r="B77" s="3">
        <v>46041</v>
      </c>
      <c r="C77" t="s">
        <v>68</v>
      </c>
      <c r="D77" t="s">
        <v>69</v>
      </c>
      <c r="E77" t="s">
        <v>27</v>
      </c>
      <c r="F77" t="s">
        <v>14</v>
      </c>
      <c r="G77" t="s">
        <v>34</v>
      </c>
      <c r="H77" s="5">
        <v>50000</v>
      </c>
      <c r="I77">
        <v>50000</v>
      </c>
      <c r="J77">
        <v>0</v>
      </c>
    </row>
    <row r="78" spans="1:10" x14ac:dyDescent="0.3">
      <c r="A78" t="s">
        <v>162</v>
      </c>
      <c r="B78" s="3">
        <v>46041</v>
      </c>
      <c r="C78" t="s">
        <v>44</v>
      </c>
      <c r="D78" t="s">
        <v>45</v>
      </c>
      <c r="E78" t="s">
        <v>43</v>
      </c>
      <c r="F78" t="s">
        <v>20</v>
      </c>
      <c r="G78" t="s">
        <v>40</v>
      </c>
      <c r="H78" s="5">
        <v>675000</v>
      </c>
      <c r="I78">
        <v>650000</v>
      </c>
      <c r="J78">
        <v>25000</v>
      </c>
    </row>
    <row r="79" spans="1:10" x14ac:dyDescent="0.3">
      <c r="A79" t="s">
        <v>163</v>
      </c>
      <c r="B79" s="3">
        <v>46041</v>
      </c>
      <c r="C79" t="s">
        <v>17</v>
      </c>
      <c r="D79" t="s">
        <v>18</v>
      </c>
      <c r="E79" t="s">
        <v>19</v>
      </c>
      <c r="F79" t="s">
        <v>14</v>
      </c>
      <c r="G79" t="s">
        <v>40</v>
      </c>
      <c r="H79" s="5">
        <v>200000</v>
      </c>
      <c r="I79">
        <v>175000</v>
      </c>
      <c r="J79">
        <v>25000</v>
      </c>
    </row>
    <row r="80" spans="1:10" x14ac:dyDescent="0.3">
      <c r="A80" t="s">
        <v>164</v>
      </c>
      <c r="B80" s="3">
        <v>46042</v>
      </c>
      <c r="C80" t="s">
        <v>64</v>
      </c>
      <c r="D80" t="s">
        <v>65</v>
      </c>
      <c r="E80" t="s">
        <v>37</v>
      </c>
      <c r="F80" t="s">
        <v>20</v>
      </c>
      <c r="G80" t="s">
        <v>58</v>
      </c>
      <c r="H80" s="5">
        <v>1100000</v>
      </c>
      <c r="I80">
        <v>850000</v>
      </c>
      <c r="J80">
        <v>250000</v>
      </c>
    </row>
    <row r="81" spans="1:10" x14ac:dyDescent="0.3">
      <c r="A81" t="s">
        <v>165</v>
      </c>
      <c r="B81" s="3">
        <v>46042</v>
      </c>
      <c r="C81" t="s">
        <v>22</v>
      </c>
      <c r="D81" t="s">
        <v>23</v>
      </c>
      <c r="E81" t="s">
        <v>24</v>
      </c>
      <c r="F81" t="s">
        <v>20</v>
      </c>
      <c r="G81" t="s">
        <v>58</v>
      </c>
      <c r="H81" s="5">
        <v>325000</v>
      </c>
      <c r="I81">
        <v>0</v>
      </c>
      <c r="J81">
        <v>0</v>
      </c>
    </row>
    <row r="82" spans="1:10" x14ac:dyDescent="0.3">
      <c r="A82" t="s">
        <v>166</v>
      </c>
      <c r="B82" s="3">
        <v>46043</v>
      </c>
      <c r="C82" t="s">
        <v>17</v>
      </c>
      <c r="D82" t="s">
        <v>18</v>
      </c>
      <c r="E82" t="s">
        <v>19</v>
      </c>
      <c r="F82" t="s">
        <v>20</v>
      </c>
      <c r="G82" t="s">
        <v>40</v>
      </c>
      <c r="H82" s="5">
        <v>750000</v>
      </c>
      <c r="I82">
        <v>675000</v>
      </c>
      <c r="J82">
        <v>75000</v>
      </c>
    </row>
    <row r="83" spans="1:10" x14ac:dyDescent="0.3">
      <c r="A83" t="s">
        <v>167</v>
      </c>
      <c r="B83" s="3">
        <v>46043</v>
      </c>
      <c r="C83" t="s">
        <v>64</v>
      </c>
      <c r="D83" t="s">
        <v>65</v>
      </c>
      <c r="E83" t="s">
        <v>37</v>
      </c>
      <c r="F83" t="s">
        <v>20</v>
      </c>
      <c r="G83" t="s">
        <v>31</v>
      </c>
      <c r="H83" s="5">
        <v>525000</v>
      </c>
      <c r="I83">
        <v>0</v>
      </c>
      <c r="J83">
        <v>0</v>
      </c>
    </row>
    <row r="84" spans="1:10" x14ac:dyDescent="0.3">
      <c r="A84" t="s">
        <v>168</v>
      </c>
      <c r="B84" s="3">
        <v>46043</v>
      </c>
      <c r="C84" t="s">
        <v>53</v>
      </c>
      <c r="D84" t="s">
        <v>54</v>
      </c>
      <c r="E84" t="s">
        <v>43</v>
      </c>
      <c r="F84" t="s">
        <v>20</v>
      </c>
      <c r="G84" t="s">
        <v>15</v>
      </c>
      <c r="H84" s="5">
        <v>2100000</v>
      </c>
      <c r="I84">
        <v>1600000</v>
      </c>
      <c r="J84">
        <v>500000</v>
      </c>
    </row>
    <row r="85" spans="1:10" x14ac:dyDescent="0.3">
      <c r="A85" t="s">
        <v>169</v>
      </c>
      <c r="B85" s="3">
        <v>46044</v>
      </c>
      <c r="C85" t="s">
        <v>46</v>
      </c>
      <c r="D85" t="s">
        <v>47</v>
      </c>
      <c r="E85" t="s">
        <v>37</v>
      </c>
      <c r="F85" t="s">
        <v>14</v>
      </c>
      <c r="G85" t="s">
        <v>15</v>
      </c>
      <c r="H85" s="5">
        <v>1825000</v>
      </c>
      <c r="I85">
        <v>1700000</v>
      </c>
      <c r="J85">
        <v>125000</v>
      </c>
    </row>
    <row r="86" spans="1:10" x14ac:dyDescent="0.3">
      <c r="A86" t="s">
        <v>170</v>
      </c>
      <c r="B86" s="3">
        <v>46044</v>
      </c>
      <c r="C86" t="s">
        <v>32</v>
      </c>
      <c r="D86" t="s">
        <v>33</v>
      </c>
      <c r="E86" t="s">
        <v>27</v>
      </c>
      <c r="F86" t="s">
        <v>14</v>
      </c>
      <c r="G86" t="s">
        <v>31</v>
      </c>
      <c r="H86" s="5">
        <v>600000</v>
      </c>
      <c r="I86">
        <v>475000</v>
      </c>
      <c r="J86">
        <v>125000</v>
      </c>
    </row>
    <row r="87" spans="1:10" x14ac:dyDescent="0.3">
      <c r="A87" t="s">
        <v>171</v>
      </c>
      <c r="B87" s="3">
        <v>46044</v>
      </c>
      <c r="C87" t="s">
        <v>32</v>
      </c>
      <c r="D87" t="s">
        <v>33</v>
      </c>
      <c r="E87" t="s">
        <v>27</v>
      </c>
      <c r="F87" t="s">
        <v>14</v>
      </c>
      <c r="G87" t="s">
        <v>28</v>
      </c>
      <c r="H87" s="5">
        <v>255000</v>
      </c>
      <c r="I87">
        <v>250000</v>
      </c>
      <c r="J87">
        <v>5000</v>
      </c>
    </row>
    <row r="88" spans="1:10" x14ac:dyDescent="0.3">
      <c r="A88" t="s">
        <v>172</v>
      </c>
      <c r="B88" s="3">
        <v>46044</v>
      </c>
      <c r="C88" t="s">
        <v>11</v>
      </c>
      <c r="D88" t="s">
        <v>12</v>
      </c>
      <c r="E88" t="s">
        <v>13</v>
      </c>
      <c r="F88" t="s">
        <v>20</v>
      </c>
      <c r="G88" t="s">
        <v>57</v>
      </c>
      <c r="H88" s="5">
        <v>80000</v>
      </c>
      <c r="I88">
        <v>75000</v>
      </c>
      <c r="J88">
        <v>5000</v>
      </c>
    </row>
    <row r="89" spans="1:10" x14ac:dyDescent="0.3">
      <c r="A89" t="s">
        <v>173</v>
      </c>
      <c r="B89" s="3">
        <v>46044</v>
      </c>
      <c r="C89" t="s">
        <v>38</v>
      </c>
      <c r="D89" t="s">
        <v>39</v>
      </c>
      <c r="E89" t="s">
        <v>24</v>
      </c>
      <c r="F89" t="s">
        <v>20</v>
      </c>
      <c r="G89" t="s">
        <v>34</v>
      </c>
      <c r="H89" s="5">
        <v>350000</v>
      </c>
      <c r="I89">
        <v>275000</v>
      </c>
      <c r="J89">
        <v>75000</v>
      </c>
    </row>
    <row r="90" spans="1:10" x14ac:dyDescent="0.3">
      <c r="A90" t="s">
        <v>174</v>
      </c>
      <c r="B90" s="3">
        <v>46044</v>
      </c>
      <c r="C90" t="s">
        <v>38</v>
      </c>
      <c r="D90" t="s">
        <v>39</v>
      </c>
      <c r="E90" t="s">
        <v>24</v>
      </c>
      <c r="F90" t="s">
        <v>20</v>
      </c>
      <c r="G90" t="s">
        <v>34</v>
      </c>
      <c r="H90" s="5">
        <v>275000</v>
      </c>
      <c r="I90">
        <v>250000</v>
      </c>
      <c r="J90">
        <v>25000</v>
      </c>
    </row>
    <row r="91" spans="1:10" x14ac:dyDescent="0.3">
      <c r="A91" t="s">
        <v>175</v>
      </c>
      <c r="B91" s="3">
        <v>46044</v>
      </c>
      <c r="C91" t="s">
        <v>44</v>
      </c>
      <c r="D91" t="s">
        <v>45</v>
      </c>
      <c r="E91" t="s">
        <v>43</v>
      </c>
      <c r="F91" t="s">
        <v>20</v>
      </c>
      <c r="G91" t="s">
        <v>57</v>
      </c>
      <c r="H91" s="5">
        <v>130000</v>
      </c>
      <c r="I91">
        <v>100000</v>
      </c>
      <c r="J91">
        <v>30000</v>
      </c>
    </row>
    <row r="92" spans="1:10" x14ac:dyDescent="0.3">
      <c r="A92" t="s">
        <v>176</v>
      </c>
      <c r="B92" s="3">
        <v>46044</v>
      </c>
      <c r="C92" t="s">
        <v>17</v>
      </c>
      <c r="D92" t="s">
        <v>18</v>
      </c>
      <c r="E92" t="s">
        <v>19</v>
      </c>
      <c r="F92" t="s">
        <v>20</v>
      </c>
      <c r="G92" t="s">
        <v>28</v>
      </c>
      <c r="H92" s="5">
        <v>305000</v>
      </c>
      <c r="I92">
        <v>0</v>
      </c>
      <c r="J92">
        <v>0</v>
      </c>
    </row>
    <row r="93" spans="1:10" x14ac:dyDescent="0.3">
      <c r="A93" t="s">
        <v>177</v>
      </c>
      <c r="B93" s="3">
        <v>46044</v>
      </c>
      <c r="C93" t="s">
        <v>22</v>
      </c>
      <c r="D93" t="s">
        <v>23</v>
      </c>
      <c r="E93" t="s">
        <v>24</v>
      </c>
      <c r="F93" t="s">
        <v>20</v>
      </c>
      <c r="G93" t="s">
        <v>57</v>
      </c>
      <c r="H93" s="5">
        <v>480000</v>
      </c>
      <c r="I93">
        <v>0</v>
      </c>
      <c r="J93">
        <v>0</v>
      </c>
    </row>
    <row r="94" spans="1:10" x14ac:dyDescent="0.3">
      <c r="A94" t="s">
        <v>178</v>
      </c>
      <c r="B94" s="3">
        <v>46045</v>
      </c>
      <c r="C94" t="s">
        <v>35</v>
      </c>
      <c r="D94" t="s">
        <v>36</v>
      </c>
      <c r="E94" t="s">
        <v>37</v>
      </c>
      <c r="F94" t="s">
        <v>14</v>
      </c>
      <c r="G94" t="s">
        <v>61</v>
      </c>
      <c r="H94" s="5">
        <v>650000</v>
      </c>
      <c r="I94">
        <v>0</v>
      </c>
      <c r="J94">
        <v>0</v>
      </c>
    </row>
    <row r="95" spans="1:10" x14ac:dyDescent="0.3">
      <c r="A95" t="s">
        <v>179</v>
      </c>
      <c r="B95" s="3">
        <v>46045</v>
      </c>
      <c r="C95" t="s">
        <v>17</v>
      </c>
      <c r="D95" t="s">
        <v>18</v>
      </c>
      <c r="E95" t="s">
        <v>19</v>
      </c>
      <c r="F95" t="s">
        <v>20</v>
      </c>
      <c r="G95" t="s">
        <v>15</v>
      </c>
      <c r="H95" s="5">
        <v>2075000</v>
      </c>
      <c r="I95">
        <v>1900000</v>
      </c>
      <c r="J95">
        <v>175000</v>
      </c>
    </row>
    <row r="96" spans="1:10" x14ac:dyDescent="0.3">
      <c r="A96" t="s">
        <v>180</v>
      </c>
      <c r="B96" s="3">
        <v>46046</v>
      </c>
      <c r="C96" t="s">
        <v>32</v>
      </c>
      <c r="D96" t="s">
        <v>33</v>
      </c>
      <c r="E96" t="s">
        <v>27</v>
      </c>
      <c r="F96" t="s">
        <v>14</v>
      </c>
      <c r="G96" t="s">
        <v>61</v>
      </c>
      <c r="H96" s="5">
        <v>475000</v>
      </c>
      <c r="I96">
        <v>375000</v>
      </c>
      <c r="J96">
        <v>100000</v>
      </c>
    </row>
    <row r="97" spans="1:10" x14ac:dyDescent="0.3">
      <c r="A97" t="s">
        <v>181</v>
      </c>
      <c r="B97" s="3">
        <v>46046</v>
      </c>
      <c r="C97" t="s">
        <v>48</v>
      </c>
      <c r="D97" t="s">
        <v>49</v>
      </c>
      <c r="E97" t="s">
        <v>19</v>
      </c>
      <c r="F97" t="s">
        <v>20</v>
      </c>
      <c r="G97" t="s">
        <v>31</v>
      </c>
      <c r="H97" s="5">
        <v>750000</v>
      </c>
      <c r="I97">
        <v>600000</v>
      </c>
      <c r="J97">
        <v>150000</v>
      </c>
    </row>
    <row r="98" spans="1:10" x14ac:dyDescent="0.3">
      <c r="A98" t="s">
        <v>182</v>
      </c>
      <c r="B98" s="3">
        <v>46046</v>
      </c>
      <c r="C98" t="s">
        <v>62</v>
      </c>
      <c r="D98" t="s">
        <v>63</v>
      </c>
      <c r="E98" t="s">
        <v>52</v>
      </c>
      <c r="F98" t="s">
        <v>20</v>
      </c>
      <c r="G98" t="s">
        <v>61</v>
      </c>
      <c r="H98" s="5">
        <v>325000</v>
      </c>
      <c r="I98">
        <v>300000</v>
      </c>
      <c r="J98">
        <v>25000</v>
      </c>
    </row>
    <row r="99" spans="1:10" x14ac:dyDescent="0.3">
      <c r="A99" t="s">
        <v>183</v>
      </c>
      <c r="B99" s="3">
        <v>46046</v>
      </c>
      <c r="C99" t="s">
        <v>22</v>
      </c>
      <c r="D99" t="s">
        <v>23</v>
      </c>
      <c r="E99" t="s">
        <v>24</v>
      </c>
      <c r="F99" t="s">
        <v>20</v>
      </c>
      <c r="G99" t="s">
        <v>40</v>
      </c>
      <c r="H99" s="5">
        <v>100000</v>
      </c>
      <c r="I99">
        <v>75000</v>
      </c>
      <c r="J99">
        <v>25000</v>
      </c>
    </row>
    <row r="100" spans="1:10" x14ac:dyDescent="0.3">
      <c r="A100" t="s">
        <v>184</v>
      </c>
      <c r="B100" s="3">
        <v>46046</v>
      </c>
      <c r="C100" t="s">
        <v>25</v>
      </c>
      <c r="D100" t="s">
        <v>26</v>
      </c>
      <c r="E100" t="s">
        <v>27</v>
      </c>
      <c r="F100" t="s">
        <v>14</v>
      </c>
      <c r="G100" t="s">
        <v>34</v>
      </c>
      <c r="H100" s="5">
        <v>575000</v>
      </c>
      <c r="I100">
        <v>0</v>
      </c>
      <c r="J100">
        <v>0</v>
      </c>
    </row>
    <row r="101" spans="1:10" x14ac:dyDescent="0.3">
      <c r="A101" t="s">
        <v>185</v>
      </c>
      <c r="B101" s="3">
        <v>46046</v>
      </c>
      <c r="C101" t="s">
        <v>25</v>
      </c>
      <c r="D101" t="s">
        <v>26</v>
      </c>
      <c r="E101" t="s">
        <v>27</v>
      </c>
      <c r="F101" t="s">
        <v>20</v>
      </c>
      <c r="G101" t="s">
        <v>15</v>
      </c>
      <c r="H101" s="5">
        <v>2725000</v>
      </c>
      <c r="I101">
        <v>2275000</v>
      </c>
      <c r="J101">
        <v>450000</v>
      </c>
    </row>
    <row r="102" spans="1:10" x14ac:dyDescent="0.3">
      <c r="A102" t="s">
        <v>186</v>
      </c>
      <c r="B102" s="3">
        <v>46047</v>
      </c>
      <c r="C102" t="s">
        <v>29</v>
      </c>
      <c r="D102" t="s">
        <v>30</v>
      </c>
      <c r="E102" t="s">
        <v>13</v>
      </c>
      <c r="F102" t="s">
        <v>20</v>
      </c>
      <c r="G102" t="s">
        <v>15</v>
      </c>
      <c r="H102" s="5">
        <v>775000</v>
      </c>
      <c r="I102">
        <v>0</v>
      </c>
      <c r="J102">
        <v>0</v>
      </c>
    </row>
    <row r="103" spans="1:10" x14ac:dyDescent="0.3">
      <c r="A103" t="s">
        <v>187</v>
      </c>
      <c r="B103" s="3">
        <v>46047</v>
      </c>
      <c r="C103" t="s">
        <v>35</v>
      </c>
      <c r="D103" t="s">
        <v>36</v>
      </c>
      <c r="E103" t="s">
        <v>37</v>
      </c>
      <c r="F103" t="s">
        <v>20</v>
      </c>
      <c r="G103" t="s">
        <v>61</v>
      </c>
      <c r="H103" s="5">
        <v>175000</v>
      </c>
      <c r="I103">
        <v>150000</v>
      </c>
      <c r="J103">
        <v>25000</v>
      </c>
    </row>
    <row r="104" spans="1:10" x14ac:dyDescent="0.3">
      <c r="A104" t="s">
        <v>188</v>
      </c>
      <c r="B104" s="3">
        <v>46047</v>
      </c>
      <c r="C104" t="s">
        <v>64</v>
      </c>
      <c r="D104" t="s">
        <v>65</v>
      </c>
      <c r="E104" t="s">
        <v>37</v>
      </c>
      <c r="F104" t="s">
        <v>20</v>
      </c>
      <c r="G104" t="s">
        <v>34</v>
      </c>
      <c r="H104" s="5">
        <v>175000</v>
      </c>
      <c r="I104">
        <v>0</v>
      </c>
      <c r="J104">
        <v>0</v>
      </c>
    </row>
    <row r="105" spans="1:10" x14ac:dyDescent="0.3">
      <c r="A105" t="s">
        <v>189</v>
      </c>
      <c r="B105" s="3">
        <v>46047</v>
      </c>
      <c r="C105" t="s">
        <v>66</v>
      </c>
      <c r="D105" t="s">
        <v>67</v>
      </c>
      <c r="E105" t="s">
        <v>13</v>
      </c>
      <c r="F105" t="s">
        <v>20</v>
      </c>
      <c r="G105" t="s">
        <v>61</v>
      </c>
      <c r="H105" s="5">
        <v>300000</v>
      </c>
      <c r="I105">
        <v>250000</v>
      </c>
      <c r="J105">
        <v>50000</v>
      </c>
    </row>
    <row r="106" spans="1:10" x14ac:dyDescent="0.3">
      <c r="A106" t="s">
        <v>190</v>
      </c>
      <c r="B106" s="3">
        <v>46047</v>
      </c>
      <c r="C106" t="s">
        <v>53</v>
      </c>
      <c r="D106" t="s">
        <v>54</v>
      </c>
      <c r="E106" t="s">
        <v>43</v>
      </c>
      <c r="F106" t="s">
        <v>20</v>
      </c>
      <c r="G106" t="s">
        <v>61</v>
      </c>
      <c r="H106" s="5">
        <v>450000</v>
      </c>
      <c r="I106">
        <v>375000</v>
      </c>
      <c r="J106">
        <v>75000</v>
      </c>
    </row>
    <row r="107" spans="1:10" x14ac:dyDescent="0.3">
      <c r="A107" t="s">
        <v>191</v>
      </c>
      <c r="B107" s="3">
        <v>46048</v>
      </c>
      <c r="C107" t="s">
        <v>41</v>
      </c>
      <c r="D107" t="s">
        <v>42</v>
      </c>
      <c r="E107" t="s">
        <v>43</v>
      </c>
      <c r="F107" t="s">
        <v>14</v>
      </c>
      <c r="G107" t="s">
        <v>61</v>
      </c>
      <c r="H107" s="5">
        <v>325000</v>
      </c>
      <c r="I107">
        <v>275000</v>
      </c>
      <c r="J107">
        <v>50000</v>
      </c>
    </row>
    <row r="108" spans="1:10" x14ac:dyDescent="0.3">
      <c r="A108" t="s">
        <v>192</v>
      </c>
      <c r="B108" s="3">
        <v>46048</v>
      </c>
      <c r="C108" t="s">
        <v>50</v>
      </c>
      <c r="D108" t="s">
        <v>51</v>
      </c>
      <c r="E108" t="s">
        <v>52</v>
      </c>
      <c r="F108" t="s">
        <v>20</v>
      </c>
      <c r="G108" t="s">
        <v>58</v>
      </c>
      <c r="H108" s="5">
        <v>350000</v>
      </c>
      <c r="I108">
        <v>300000</v>
      </c>
      <c r="J108">
        <v>50000</v>
      </c>
    </row>
    <row r="109" spans="1:10" x14ac:dyDescent="0.3">
      <c r="A109" t="s">
        <v>193</v>
      </c>
      <c r="B109" s="3">
        <v>46048</v>
      </c>
      <c r="C109" t="s">
        <v>64</v>
      </c>
      <c r="D109" t="s">
        <v>65</v>
      </c>
      <c r="E109" t="s">
        <v>37</v>
      </c>
      <c r="F109" t="s">
        <v>20</v>
      </c>
      <c r="G109" t="s">
        <v>57</v>
      </c>
      <c r="H109" s="5">
        <v>405000</v>
      </c>
      <c r="I109">
        <v>325000</v>
      </c>
      <c r="J109">
        <v>80000</v>
      </c>
    </row>
    <row r="110" spans="1:10" x14ac:dyDescent="0.3">
      <c r="A110" t="s">
        <v>194</v>
      </c>
      <c r="B110" s="3">
        <v>46048</v>
      </c>
      <c r="C110" t="s">
        <v>53</v>
      </c>
      <c r="D110" t="s">
        <v>54</v>
      </c>
      <c r="E110" t="s">
        <v>43</v>
      </c>
      <c r="F110" t="s">
        <v>14</v>
      </c>
      <c r="G110" t="s">
        <v>31</v>
      </c>
      <c r="H110" s="5">
        <v>950000</v>
      </c>
      <c r="I110">
        <v>775000</v>
      </c>
      <c r="J110">
        <v>175000</v>
      </c>
    </row>
    <row r="111" spans="1:10" x14ac:dyDescent="0.3">
      <c r="A111" t="s">
        <v>195</v>
      </c>
      <c r="B111" s="3">
        <v>46048</v>
      </c>
      <c r="C111" t="s">
        <v>25</v>
      </c>
      <c r="D111" t="s">
        <v>26</v>
      </c>
      <c r="E111" t="s">
        <v>27</v>
      </c>
      <c r="F111" t="s">
        <v>14</v>
      </c>
      <c r="G111" t="s">
        <v>31</v>
      </c>
      <c r="H111" s="5">
        <v>850000</v>
      </c>
      <c r="I111">
        <v>700000</v>
      </c>
      <c r="J111">
        <v>150000</v>
      </c>
    </row>
    <row r="112" spans="1:10" x14ac:dyDescent="0.3">
      <c r="A112" t="s">
        <v>196</v>
      </c>
      <c r="B112" s="3">
        <v>46049</v>
      </c>
      <c r="C112" t="s">
        <v>29</v>
      </c>
      <c r="D112" t="s">
        <v>30</v>
      </c>
      <c r="E112" t="s">
        <v>13</v>
      </c>
      <c r="F112" t="s">
        <v>20</v>
      </c>
      <c r="G112" t="s">
        <v>57</v>
      </c>
      <c r="H112" s="5">
        <v>30000</v>
      </c>
      <c r="I112">
        <v>0</v>
      </c>
      <c r="J112">
        <v>0</v>
      </c>
    </row>
    <row r="113" spans="1:10" x14ac:dyDescent="0.3">
      <c r="A113" t="s">
        <v>197</v>
      </c>
      <c r="B113" s="3">
        <v>46049</v>
      </c>
      <c r="C113" t="s">
        <v>48</v>
      </c>
      <c r="D113" t="s">
        <v>49</v>
      </c>
      <c r="E113" t="s">
        <v>19</v>
      </c>
      <c r="F113" t="s">
        <v>20</v>
      </c>
      <c r="G113" t="s">
        <v>61</v>
      </c>
      <c r="H113" s="5">
        <v>650000</v>
      </c>
      <c r="I113">
        <v>0</v>
      </c>
      <c r="J113">
        <v>0</v>
      </c>
    </row>
    <row r="114" spans="1:10" x14ac:dyDescent="0.3">
      <c r="A114" t="s">
        <v>198</v>
      </c>
      <c r="B114" s="3">
        <v>46049</v>
      </c>
      <c r="C114" t="s">
        <v>62</v>
      </c>
      <c r="D114" t="s">
        <v>63</v>
      </c>
      <c r="E114" t="s">
        <v>52</v>
      </c>
      <c r="F114" t="s">
        <v>14</v>
      </c>
      <c r="G114" t="s">
        <v>61</v>
      </c>
      <c r="H114" s="5">
        <v>675000</v>
      </c>
      <c r="I114">
        <v>550000</v>
      </c>
      <c r="J114">
        <v>125000</v>
      </c>
    </row>
    <row r="115" spans="1:10" x14ac:dyDescent="0.3">
      <c r="A115" t="s">
        <v>199</v>
      </c>
      <c r="B115" s="3">
        <v>46049</v>
      </c>
      <c r="C115" t="s">
        <v>11</v>
      </c>
      <c r="D115" t="s">
        <v>12</v>
      </c>
      <c r="E115" t="s">
        <v>13</v>
      </c>
      <c r="F115" t="s">
        <v>14</v>
      </c>
      <c r="G115" t="s">
        <v>34</v>
      </c>
      <c r="H115" s="5">
        <v>200000</v>
      </c>
      <c r="I115">
        <v>150000</v>
      </c>
      <c r="J115">
        <v>50000</v>
      </c>
    </row>
    <row r="116" spans="1:10" x14ac:dyDescent="0.3">
      <c r="A116" t="s">
        <v>200</v>
      </c>
      <c r="B116" s="3">
        <v>46050</v>
      </c>
      <c r="C116" t="s">
        <v>32</v>
      </c>
      <c r="D116" t="s">
        <v>33</v>
      </c>
      <c r="E116" t="s">
        <v>27</v>
      </c>
      <c r="F116" t="s">
        <v>14</v>
      </c>
      <c r="G116" t="s">
        <v>28</v>
      </c>
      <c r="H116" s="5">
        <v>80000</v>
      </c>
      <c r="I116">
        <v>0</v>
      </c>
      <c r="J116">
        <v>0</v>
      </c>
    </row>
    <row r="117" spans="1:10" x14ac:dyDescent="0.3">
      <c r="A117" t="s">
        <v>201</v>
      </c>
      <c r="B117" s="3">
        <v>46050</v>
      </c>
      <c r="C117" t="s">
        <v>55</v>
      </c>
      <c r="D117" t="s">
        <v>56</v>
      </c>
      <c r="E117" t="s">
        <v>24</v>
      </c>
      <c r="F117" t="s">
        <v>14</v>
      </c>
      <c r="G117" t="s">
        <v>15</v>
      </c>
      <c r="H117" s="5">
        <v>1375000</v>
      </c>
      <c r="I117">
        <v>0</v>
      </c>
      <c r="J117">
        <v>0</v>
      </c>
    </row>
    <row r="118" spans="1:10" x14ac:dyDescent="0.3">
      <c r="A118" t="s">
        <v>202</v>
      </c>
      <c r="B118" s="3">
        <v>46050</v>
      </c>
      <c r="C118" t="s">
        <v>62</v>
      </c>
      <c r="D118" t="s">
        <v>63</v>
      </c>
      <c r="E118" t="s">
        <v>52</v>
      </c>
      <c r="F118" t="s">
        <v>14</v>
      </c>
      <c r="G118" t="s">
        <v>57</v>
      </c>
      <c r="H118" s="5">
        <v>480000</v>
      </c>
      <c r="I118">
        <v>425000</v>
      </c>
      <c r="J118">
        <v>55000</v>
      </c>
    </row>
    <row r="119" spans="1:10" x14ac:dyDescent="0.3">
      <c r="A119" t="s">
        <v>203</v>
      </c>
      <c r="B119" s="3">
        <v>46050</v>
      </c>
      <c r="C119" t="s">
        <v>62</v>
      </c>
      <c r="D119" t="s">
        <v>63</v>
      </c>
      <c r="E119" t="s">
        <v>52</v>
      </c>
      <c r="F119" t="s">
        <v>14</v>
      </c>
      <c r="G119" t="s">
        <v>31</v>
      </c>
      <c r="H119" s="5">
        <v>1425000</v>
      </c>
      <c r="I119">
        <v>0</v>
      </c>
      <c r="J119">
        <v>0</v>
      </c>
    </row>
    <row r="120" spans="1:10" x14ac:dyDescent="0.3">
      <c r="A120" t="s">
        <v>204</v>
      </c>
      <c r="B120" s="3">
        <v>46050</v>
      </c>
      <c r="C120" t="s">
        <v>38</v>
      </c>
      <c r="D120" t="s">
        <v>39</v>
      </c>
      <c r="E120" t="s">
        <v>24</v>
      </c>
      <c r="F120" t="s">
        <v>14</v>
      </c>
      <c r="G120" t="s">
        <v>31</v>
      </c>
      <c r="H120" s="5">
        <v>750000</v>
      </c>
      <c r="I120">
        <v>650000</v>
      </c>
      <c r="J120">
        <v>100000</v>
      </c>
    </row>
    <row r="121" spans="1:10" x14ac:dyDescent="0.3">
      <c r="A121" t="s">
        <v>205</v>
      </c>
      <c r="B121" s="3">
        <v>46050</v>
      </c>
      <c r="C121" t="s">
        <v>68</v>
      </c>
      <c r="D121" t="s">
        <v>69</v>
      </c>
      <c r="E121" t="s">
        <v>27</v>
      </c>
      <c r="F121" t="s">
        <v>14</v>
      </c>
      <c r="G121" t="s">
        <v>34</v>
      </c>
      <c r="H121" s="5">
        <v>325000</v>
      </c>
      <c r="I121">
        <v>300000</v>
      </c>
      <c r="J121">
        <v>25000</v>
      </c>
    </row>
    <row r="122" spans="1:10" x14ac:dyDescent="0.3">
      <c r="A122" t="s">
        <v>206</v>
      </c>
      <c r="B122" s="3">
        <v>46050</v>
      </c>
      <c r="C122" t="s">
        <v>64</v>
      </c>
      <c r="D122" t="s">
        <v>65</v>
      </c>
      <c r="E122" t="s">
        <v>37</v>
      </c>
      <c r="F122" t="s">
        <v>20</v>
      </c>
      <c r="G122" t="s">
        <v>31</v>
      </c>
      <c r="H122" s="5">
        <v>1275000</v>
      </c>
      <c r="I122">
        <v>1150000</v>
      </c>
      <c r="J122">
        <v>125000</v>
      </c>
    </row>
    <row r="123" spans="1:10" x14ac:dyDescent="0.3">
      <c r="A123" t="s">
        <v>207</v>
      </c>
      <c r="B123" s="3">
        <v>46050</v>
      </c>
      <c r="C123" t="s">
        <v>53</v>
      </c>
      <c r="D123" t="s">
        <v>54</v>
      </c>
      <c r="E123" t="s">
        <v>43</v>
      </c>
      <c r="F123" t="s">
        <v>14</v>
      </c>
      <c r="G123" t="s">
        <v>58</v>
      </c>
      <c r="H123" s="5">
        <v>1025000</v>
      </c>
      <c r="I123">
        <v>825000</v>
      </c>
      <c r="J123">
        <v>200000</v>
      </c>
    </row>
    <row r="124" spans="1:10" x14ac:dyDescent="0.3">
      <c r="A124" t="s">
        <v>208</v>
      </c>
      <c r="B124" s="3">
        <v>46051</v>
      </c>
      <c r="C124" t="s">
        <v>48</v>
      </c>
      <c r="D124" t="s">
        <v>49</v>
      </c>
      <c r="E124" t="s">
        <v>19</v>
      </c>
      <c r="F124" t="s">
        <v>14</v>
      </c>
      <c r="G124" t="s">
        <v>57</v>
      </c>
      <c r="H124" s="5">
        <v>280000</v>
      </c>
      <c r="I124">
        <v>225000</v>
      </c>
      <c r="J124">
        <v>55000</v>
      </c>
    </row>
    <row r="125" spans="1:10" x14ac:dyDescent="0.3">
      <c r="A125" t="s">
        <v>209</v>
      </c>
      <c r="B125" s="3">
        <v>46051</v>
      </c>
      <c r="C125" t="s">
        <v>68</v>
      </c>
      <c r="D125" t="s">
        <v>69</v>
      </c>
      <c r="E125" t="s">
        <v>27</v>
      </c>
      <c r="F125" t="s">
        <v>20</v>
      </c>
      <c r="G125" t="s">
        <v>40</v>
      </c>
      <c r="H125" s="5">
        <v>250000</v>
      </c>
      <c r="I125">
        <v>225000</v>
      </c>
      <c r="J125">
        <v>25000</v>
      </c>
    </row>
    <row r="126" spans="1:10" x14ac:dyDescent="0.3">
      <c r="A126" t="s">
        <v>210</v>
      </c>
      <c r="B126" s="3">
        <v>46051</v>
      </c>
      <c r="C126" t="s">
        <v>50</v>
      </c>
      <c r="D126" t="s">
        <v>51</v>
      </c>
      <c r="E126" t="s">
        <v>52</v>
      </c>
      <c r="F126" t="s">
        <v>14</v>
      </c>
      <c r="G126" t="s">
        <v>15</v>
      </c>
      <c r="H126" s="5">
        <v>1900000</v>
      </c>
      <c r="I126">
        <v>1650000</v>
      </c>
      <c r="J126">
        <v>250000</v>
      </c>
    </row>
    <row r="127" spans="1:10" x14ac:dyDescent="0.3">
      <c r="A127" t="s">
        <v>211</v>
      </c>
      <c r="B127" s="3">
        <v>46052</v>
      </c>
      <c r="C127" t="s">
        <v>29</v>
      </c>
      <c r="D127" t="s">
        <v>30</v>
      </c>
      <c r="E127" t="s">
        <v>13</v>
      </c>
      <c r="F127" t="s">
        <v>14</v>
      </c>
      <c r="G127" t="s">
        <v>57</v>
      </c>
      <c r="H127" s="5">
        <v>55000</v>
      </c>
      <c r="I127">
        <v>50000</v>
      </c>
      <c r="J127">
        <v>5000</v>
      </c>
    </row>
    <row r="128" spans="1:10" x14ac:dyDescent="0.3">
      <c r="A128" t="s">
        <v>212</v>
      </c>
      <c r="B128" s="3">
        <v>46052</v>
      </c>
      <c r="C128" t="s">
        <v>32</v>
      </c>
      <c r="D128" t="s">
        <v>33</v>
      </c>
      <c r="E128" t="s">
        <v>27</v>
      </c>
      <c r="F128" t="s">
        <v>20</v>
      </c>
      <c r="G128" t="s">
        <v>61</v>
      </c>
      <c r="H128" s="5">
        <v>325000</v>
      </c>
      <c r="I128">
        <v>275000</v>
      </c>
      <c r="J128">
        <v>50000</v>
      </c>
    </row>
    <row r="129" spans="1:10" x14ac:dyDescent="0.3">
      <c r="A129" t="s">
        <v>213</v>
      </c>
      <c r="B129" s="3">
        <v>46052</v>
      </c>
      <c r="C129" t="s">
        <v>32</v>
      </c>
      <c r="D129" t="s">
        <v>33</v>
      </c>
      <c r="E129" t="s">
        <v>27</v>
      </c>
      <c r="F129" t="s">
        <v>20</v>
      </c>
      <c r="G129" t="s">
        <v>31</v>
      </c>
      <c r="H129" s="5">
        <v>1075000</v>
      </c>
      <c r="I129">
        <v>0</v>
      </c>
      <c r="J129">
        <v>0</v>
      </c>
    </row>
    <row r="130" spans="1:10" x14ac:dyDescent="0.3">
      <c r="A130" t="s">
        <v>214</v>
      </c>
      <c r="B130" s="3">
        <v>46052</v>
      </c>
      <c r="C130" t="s">
        <v>68</v>
      </c>
      <c r="D130" t="s">
        <v>69</v>
      </c>
      <c r="E130" t="s">
        <v>27</v>
      </c>
      <c r="F130" t="s">
        <v>14</v>
      </c>
      <c r="G130" t="s">
        <v>28</v>
      </c>
      <c r="H130" s="5">
        <v>380000</v>
      </c>
      <c r="I130">
        <v>0</v>
      </c>
      <c r="J130">
        <v>0</v>
      </c>
    </row>
    <row r="131" spans="1:10" x14ac:dyDescent="0.3">
      <c r="A131" t="s">
        <v>215</v>
      </c>
      <c r="B131" s="3">
        <v>46053</v>
      </c>
      <c r="C131" t="s">
        <v>32</v>
      </c>
      <c r="D131" t="s">
        <v>33</v>
      </c>
      <c r="E131" t="s">
        <v>27</v>
      </c>
      <c r="F131" t="s">
        <v>20</v>
      </c>
      <c r="G131" t="s">
        <v>28</v>
      </c>
      <c r="H131" s="5">
        <v>305000</v>
      </c>
      <c r="I131">
        <v>250000</v>
      </c>
      <c r="J131">
        <v>55000</v>
      </c>
    </row>
    <row r="132" spans="1:10" x14ac:dyDescent="0.3">
      <c r="A132" t="s">
        <v>216</v>
      </c>
      <c r="B132" s="3">
        <v>46053</v>
      </c>
      <c r="C132" t="s">
        <v>55</v>
      </c>
      <c r="D132" t="s">
        <v>56</v>
      </c>
      <c r="E132" t="s">
        <v>24</v>
      </c>
      <c r="F132" t="s">
        <v>20</v>
      </c>
      <c r="G132" t="s">
        <v>31</v>
      </c>
      <c r="H132" s="5">
        <v>200000</v>
      </c>
      <c r="I132">
        <v>200000</v>
      </c>
      <c r="J132">
        <v>0</v>
      </c>
    </row>
    <row r="133" spans="1:10" x14ac:dyDescent="0.3">
      <c r="A133" t="s">
        <v>217</v>
      </c>
      <c r="B133" s="3">
        <v>46053</v>
      </c>
      <c r="C133" t="s">
        <v>44</v>
      </c>
      <c r="D133" t="s">
        <v>45</v>
      </c>
      <c r="E133" t="s">
        <v>43</v>
      </c>
      <c r="F133" t="s">
        <v>20</v>
      </c>
      <c r="G133" t="s">
        <v>31</v>
      </c>
      <c r="H133" s="5">
        <v>1025000</v>
      </c>
      <c r="I133">
        <v>1025000</v>
      </c>
      <c r="J133">
        <v>0</v>
      </c>
    </row>
    <row r="134" spans="1:10" x14ac:dyDescent="0.3">
      <c r="A134" t="s">
        <v>218</v>
      </c>
      <c r="B134" s="3">
        <v>46053</v>
      </c>
      <c r="C134" t="s">
        <v>66</v>
      </c>
      <c r="D134" t="s">
        <v>67</v>
      </c>
      <c r="E134" t="s">
        <v>13</v>
      </c>
      <c r="F134" t="s">
        <v>14</v>
      </c>
      <c r="G134" t="s">
        <v>61</v>
      </c>
      <c r="H134" s="5">
        <v>550000</v>
      </c>
      <c r="I134">
        <v>525000</v>
      </c>
      <c r="J134">
        <v>25000</v>
      </c>
    </row>
    <row r="135" spans="1:10" x14ac:dyDescent="0.3">
      <c r="A135" t="s">
        <v>219</v>
      </c>
      <c r="B135" s="3">
        <v>46053</v>
      </c>
      <c r="C135" t="s">
        <v>53</v>
      </c>
      <c r="D135" t="s">
        <v>54</v>
      </c>
      <c r="E135" t="s">
        <v>43</v>
      </c>
      <c r="F135" t="s">
        <v>14</v>
      </c>
      <c r="G135" t="s">
        <v>31</v>
      </c>
      <c r="H135" s="5">
        <v>1250000</v>
      </c>
      <c r="I135">
        <v>1050000</v>
      </c>
      <c r="J135">
        <v>200000</v>
      </c>
    </row>
    <row r="136" spans="1:10" x14ac:dyDescent="0.3">
      <c r="A136" t="s">
        <v>220</v>
      </c>
      <c r="B136" s="3">
        <v>46054</v>
      </c>
      <c r="C136" t="s">
        <v>41</v>
      </c>
      <c r="D136" t="s">
        <v>42</v>
      </c>
      <c r="E136" t="s">
        <v>43</v>
      </c>
      <c r="F136" t="s">
        <v>20</v>
      </c>
      <c r="G136" t="s">
        <v>61</v>
      </c>
      <c r="H136" s="5">
        <v>200000</v>
      </c>
      <c r="I136">
        <v>0</v>
      </c>
      <c r="J136">
        <v>0</v>
      </c>
    </row>
    <row r="137" spans="1:10" x14ac:dyDescent="0.3">
      <c r="A137" t="s">
        <v>221</v>
      </c>
      <c r="B137" s="3">
        <v>46054</v>
      </c>
      <c r="C137" t="s">
        <v>41</v>
      </c>
      <c r="D137" t="s">
        <v>42</v>
      </c>
      <c r="E137" t="s">
        <v>43</v>
      </c>
      <c r="F137" t="s">
        <v>20</v>
      </c>
      <c r="G137" t="s">
        <v>34</v>
      </c>
      <c r="H137" s="5">
        <v>525000</v>
      </c>
      <c r="I137">
        <v>0</v>
      </c>
      <c r="J137">
        <v>0</v>
      </c>
    </row>
    <row r="138" spans="1:10" x14ac:dyDescent="0.3">
      <c r="A138" t="s">
        <v>222</v>
      </c>
      <c r="B138" s="3">
        <v>46054</v>
      </c>
      <c r="C138" t="s">
        <v>68</v>
      </c>
      <c r="D138" t="s">
        <v>69</v>
      </c>
      <c r="E138" t="s">
        <v>27</v>
      </c>
      <c r="F138" t="s">
        <v>14</v>
      </c>
      <c r="G138" t="s">
        <v>61</v>
      </c>
      <c r="H138" s="5">
        <v>175000</v>
      </c>
      <c r="I138">
        <v>125000</v>
      </c>
      <c r="J138">
        <v>50000</v>
      </c>
    </row>
    <row r="139" spans="1:10" x14ac:dyDescent="0.3">
      <c r="A139" t="s">
        <v>223</v>
      </c>
      <c r="B139" s="3">
        <v>46054</v>
      </c>
      <c r="C139" t="s">
        <v>25</v>
      </c>
      <c r="D139" t="s">
        <v>26</v>
      </c>
      <c r="E139" t="s">
        <v>27</v>
      </c>
      <c r="F139" t="s">
        <v>14</v>
      </c>
      <c r="G139" t="s">
        <v>34</v>
      </c>
      <c r="H139" s="5">
        <v>425000</v>
      </c>
      <c r="I139">
        <v>325000</v>
      </c>
      <c r="J139">
        <v>100000</v>
      </c>
    </row>
    <row r="140" spans="1:10" x14ac:dyDescent="0.3">
      <c r="A140" t="s">
        <v>224</v>
      </c>
      <c r="B140" s="3">
        <v>46055</v>
      </c>
      <c r="C140" t="s">
        <v>62</v>
      </c>
      <c r="D140" t="s">
        <v>63</v>
      </c>
      <c r="E140" t="s">
        <v>52</v>
      </c>
      <c r="F140" t="s">
        <v>14</v>
      </c>
      <c r="G140" t="s">
        <v>40</v>
      </c>
      <c r="H140" s="5">
        <v>675000</v>
      </c>
      <c r="I140">
        <v>650000</v>
      </c>
      <c r="J140">
        <v>25000</v>
      </c>
    </row>
    <row r="141" spans="1:10" x14ac:dyDescent="0.3">
      <c r="A141" t="s">
        <v>225</v>
      </c>
      <c r="B141" s="3">
        <v>46056</v>
      </c>
      <c r="C141" t="s">
        <v>59</v>
      </c>
      <c r="D141" t="s">
        <v>60</v>
      </c>
      <c r="E141" t="s">
        <v>19</v>
      </c>
      <c r="F141" t="s">
        <v>14</v>
      </c>
      <c r="G141" t="s">
        <v>61</v>
      </c>
      <c r="H141" s="5">
        <v>425000</v>
      </c>
      <c r="I141">
        <v>425000</v>
      </c>
      <c r="J141">
        <v>0</v>
      </c>
    </row>
    <row r="142" spans="1:10" x14ac:dyDescent="0.3">
      <c r="A142" t="s">
        <v>226</v>
      </c>
      <c r="B142" s="3">
        <v>46057</v>
      </c>
      <c r="C142" t="s">
        <v>32</v>
      </c>
      <c r="D142" t="s">
        <v>33</v>
      </c>
      <c r="E142" t="s">
        <v>27</v>
      </c>
      <c r="F142" t="s">
        <v>20</v>
      </c>
      <c r="G142" t="s">
        <v>61</v>
      </c>
      <c r="H142" s="5">
        <v>350000</v>
      </c>
      <c r="I142">
        <v>300000</v>
      </c>
      <c r="J142">
        <v>50000</v>
      </c>
    </row>
    <row r="143" spans="1:10" x14ac:dyDescent="0.3">
      <c r="A143" t="s">
        <v>227</v>
      </c>
      <c r="B143" s="3">
        <v>46057</v>
      </c>
      <c r="C143" t="s">
        <v>48</v>
      </c>
      <c r="D143" t="s">
        <v>49</v>
      </c>
      <c r="E143" t="s">
        <v>19</v>
      </c>
      <c r="F143" t="s">
        <v>14</v>
      </c>
      <c r="G143" t="s">
        <v>57</v>
      </c>
      <c r="H143" s="5">
        <v>480000</v>
      </c>
      <c r="I143">
        <v>450000</v>
      </c>
      <c r="J143">
        <v>30000</v>
      </c>
    </row>
    <row r="144" spans="1:10" x14ac:dyDescent="0.3">
      <c r="A144" t="s">
        <v>228</v>
      </c>
      <c r="B144" s="3">
        <v>46057</v>
      </c>
      <c r="C144" t="s">
        <v>11</v>
      </c>
      <c r="D144" t="s">
        <v>12</v>
      </c>
      <c r="E144" t="s">
        <v>13</v>
      </c>
      <c r="F144" t="s">
        <v>14</v>
      </c>
      <c r="G144" t="s">
        <v>61</v>
      </c>
      <c r="H144" s="5">
        <v>325000</v>
      </c>
      <c r="I144">
        <v>0</v>
      </c>
      <c r="J144">
        <v>0</v>
      </c>
    </row>
    <row r="145" spans="1:10" x14ac:dyDescent="0.3">
      <c r="A145" t="s">
        <v>229</v>
      </c>
      <c r="B145" s="3">
        <v>46057</v>
      </c>
      <c r="C145" t="s">
        <v>38</v>
      </c>
      <c r="D145" t="s">
        <v>39</v>
      </c>
      <c r="E145" t="s">
        <v>24</v>
      </c>
      <c r="F145" t="s">
        <v>14</v>
      </c>
      <c r="G145" t="s">
        <v>15</v>
      </c>
      <c r="H145" s="5">
        <v>1550000</v>
      </c>
      <c r="I145">
        <v>1150000</v>
      </c>
      <c r="J145">
        <v>400000</v>
      </c>
    </row>
    <row r="146" spans="1:10" x14ac:dyDescent="0.3">
      <c r="A146" t="s">
        <v>230</v>
      </c>
      <c r="B146" s="3">
        <v>46057</v>
      </c>
      <c r="C146" t="s">
        <v>17</v>
      </c>
      <c r="D146" t="s">
        <v>18</v>
      </c>
      <c r="E146" t="s">
        <v>19</v>
      </c>
      <c r="F146" t="s">
        <v>20</v>
      </c>
      <c r="G146" t="s">
        <v>34</v>
      </c>
      <c r="H146" s="5">
        <v>300000</v>
      </c>
      <c r="I146">
        <v>225000</v>
      </c>
      <c r="J146">
        <v>75000</v>
      </c>
    </row>
    <row r="147" spans="1:10" x14ac:dyDescent="0.3">
      <c r="A147" t="s">
        <v>231</v>
      </c>
      <c r="B147" s="3">
        <v>46057</v>
      </c>
      <c r="C147" t="s">
        <v>59</v>
      </c>
      <c r="D147" t="s">
        <v>60</v>
      </c>
      <c r="E147" t="s">
        <v>19</v>
      </c>
      <c r="F147" t="s">
        <v>20</v>
      </c>
      <c r="G147" t="s">
        <v>57</v>
      </c>
      <c r="H147" s="5">
        <v>280000</v>
      </c>
      <c r="I147">
        <v>0</v>
      </c>
      <c r="J147">
        <v>0</v>
      </c>
    </row>
    <row r="148" spans="1:10" x14ac:dyDescent="0.3">
      <c r="A148" t="s">
        <v>232</v>
      </c>
      <c r="B148" s="3">
        <v>46058</v>
      </c>
      <c r="C148" t="s">
        <v>50</v>
      </c>
      <c r="D148" t="s">
        <v>51</v>
      </c>
      <c r="E148" t="s">
        <v>52</v>
      </c>
      <c r="F148" t="s">
        <v>20</v>
      </c>
      <c r="G148" t="s">
        <v>28</v>
      </c>
      <c r="H148" s="5">
        <v>55000</v>
      </c>
      <c r="I148">
        <v>50000</v>
      </c>
      <c r="J148">
        <v>5000</v>
      </c>
    </row>
    <row r="149" spans="1:10" x14ac:dyDescent="0.3">
      <c r="A149" t="s">
        <v>233</v>
      </c>
      <c r="B149" s="3">
        <v>46058</v>
      </c>
      <c r="C149" t="s">
        <v>50</v>
      </c>
      <c r="D149" t="s">
        <v>51</v>
      </c>
      <c r="E149" t="s">
        <v>52</v>
      </c>
      <c r="F149" t="s">
        <v>20</v>
      </c>
      <c r="G149" t="s">
        <v>58</v>
      </c>
      <c r="H149" s="5">
        <v>775000</v>
      </c>
      <c r="I149">
        <v>625000</v>
      </c>
      <c r="J149">
        <v>150000</v>
      </c>
    </row>
    <row r="150" spans="1:10" x14ac:dyDescent="0.3">
      <c r="A150" t="s">
        <v>234</v>
      </c>
      <c r="B150" s="3">
        <v>46058</v>
      </c>
      <c r="C150" t="s">
        <v>66</v>
      </c>
      <c r="D150" t="s">
        <v>67</v>
      </c>
      <c r="E150" t="s">
        <v>13</v>
      </c>
      <c r="F150" t="s">
        <v>20</v>
      </c>
      <c r="G150" t="s">
        <v>58</v>
      </c>
      <c r="H150" s="5">
        <v>925000</v>
      </c>
      <c r="I150">
        <v>750000</v>
      </c>
      <c r="J150">
        <v>175000</v>
      </c>
    </row>
    <row r="151" spans="1:10" x14ac:dyDescent="0.3">
      <c r="A151" t="s">
        <v>235</v>
      </c>
      <c r="B151" s="3">
        <v>46058</v>
      </c>
      <c r="C151" t="s">
        <v>22</v>
      </c>
      <c r="D151" t="s">
        <v>23</v>
      </c>
      <c r="E151" t="s">
        <v>24</v>
      </c>
      <c r="F151" t="s">
        <v>14</v>
      </c>
      <c r="G151" t="s">
        <v>58</v>
      </c>
      <c r="H151" s="5">
        <v>850000</v>
      </c>
      <c r="I151">
        <v>625000</v>
      </c>
      <c r="J151">
        <v>225000</v>
      </c>
    </row>
    <row r="152" spans="1:10" x14ac:dyDescent="0.3">
      <c r="A152" t="s">
        <v>236</v>
      </c>
      <c r="B152" s="3">
        <v>46059</v>
      </c>
      <c r="C152" t="s">
        <v>29</v>
      </c>
      <c r="D152" t="s">
        <v>30</v>
      </c>
      <c r="E152" t="s">
        <v>13</v>
      </c>
      <c r="F152" t="s">
        <v>20</v>
      </c>
      <c r="G152" t="s">
        <v>34</v>
      </c>
      <c r="H152" s="5">
        <v>275000</v>
      </c>
      <c r="I152">
        <v>200000</v>
      </c>
      <c r="J152">
        <v>75000</v>
      </c>
    </row>
    <row r="153" spans="1:10" x14ac:dyDescent="0.3">
      <c r="A153" t="s">
        <v>237</v>
      </c>
      <c r="B153" s="3">
        <v>46059</v>
      </c>
      <c r="C153" t="s">
        <v>32</v>
      </c>
      <c r="D153" t="s">
        <v>33</v>
      </c>
      <c r="E153" t="s">
        <v>27</v>
      </c>
      <c r="F153" t="s">
        <v>14</v>
      </c>
      <c r="G153" t="s">
        <v>61</v>
      </c>
      <c r="H153" s="5">
        <v>600000</v>
      </c>
      <c r="I153">
        <v>450000</v>
      </c>
      <c r="J153">
        <v>150000</v>
      </c>
    </row>
    <row r="154" spans="1:10" x14ac:dyDescent="0.3">
      <c r="A154" t="s">
        <v>238</v>
      </c>
      <c r="B154" s="3">
        <v>46059</v>
      </c>
      <c r="C154" t="s">
        <v>62</v>
      </c>
      <c r="D154" t="s">
        <v>63</v>
      </c>
      <c r="E154" t="s">
        <v>52</v>
      </c>
      <c r="F154" t="s">
        <v>14</v>
      </c>
      <c r="G154" t="s">
        <v>15</v>
      </c>
      <c r="H154" s="5">
        <v>3650000</v>
      </c>
      <c r="I154">
        <v>2775000</v>
      </c>
      <c r="J154">
        <v>875000</v>
      </c>
    </row>
    <row r="155" spans="1:10" x14ac:dyDescent="0.3">
      <c r="A155" t="s">
        <v>239</v>
      </c>
      <c r="B155" s="3">
        <v>46059</v>
      </c>
      <c r="C155" t="s">
        <v>41</v>
      </c>
      <c r="D155" t="s">
        <v>42</v>
      </c>
      <c r="E155" t="s">
        <v>43</v>
      </c>
      <c r="F155" t="s">
        <v>14</v>
      </c>
      <c r="G155" t="s">
        <v>40</v>
      </c>
      <c r="H155" s="5">
        <v>450000</v>
      </c>
      <c r="I155">
        <v>375000</v>
      </c>
      <c r="J155">
        <v>75000</v>
      </c>
    </row>
    <row r="156" spans="1:10" x14ac:dyDescent="0.3">
      <c r="A156" t="s">
        <v>240</v>
      </c>
      <c r="B156" s="3">
        <v>46059</v>
      </c>
      <c r="C156" t="s">
        <v>53</v>
      </c>
      <c r="D156" t="s">
        <v>54</v>
      </c>
      <c r="E156" t="s">
        <v>43</v>
      </c>
      <c r="F156" t="s">
        <v>14</v>
      </c>
      <c r="G156" t="s">
        <v>58</v>
      </c>
      <c r="H156" s="5">
        <v>400000</v>
      </c>
      <c r="I156">
        <v>325000</v>
      </c>
      <c r="J156">
        <v>75000</v>
      </c>
    </row>
    <row r="157" spans="1:10" x14ac:dyDescent="0.3">
      <c r="A157" t="s">
        <v>241</v>
      </c>
      <c r="B157" s="3">
        <v>46059</v>
      </c>
      <c r="C157" t="s">
        <v>59</v>
      </c>
      <c r="D157" t="s">
        <v>60</v>
      </c>
      <c r="E157" t="s">
        <v>19</v>
      </c>
      <c r="F157" t="s">
        <v>20</v>
      </c>
      <c r="G157" t="s">
        <v>61</v>
      </c>
      <c r="H157" s="5">
        <v>300000</v>
      </c>
      <c r="I157">
        <v>275000</v>
      </c>
      <c r="J157">
        <v>25000</v>
      </c>
    </row>
    <row r="158" spans="1:10" x14ac:dyDescent="0.3">
      <c r="A158" t="s">
        <v>242</v>
      </c>
      <c r="B158" s="3">
        <v>46060</v>
      </c>
      <c r="C158" t="s">
        <v>46</v>
      </c>
      <c r="D158" t="s">
        <v>47</v>
      </c>
      <c r="E158" t="s">
        <v>37</v>
      </c>
      <c r="F158" t="s">
        <v>20</v>
      </c>
      <c r="G158" t="s">
        <v>57</v>
      </c>
      <c r="H158" s="5">
        <v>355000</v>
      </c>
      <c r="I158">
        <v>350000</v>
      </c>
      <c r="J158">
        <v>5000</v>
      </c>
    </row>
    <row r="159" spans="1:10" x14ac:dyDescent="0.3">
      <c r="A159" t="s">
        <v>243</v>
      </c>
      <c r="B159" s="3">
        <v>46060</v>
      </c>
      <c r="C159" t="s">
        <v>64</v>
      </c>
      <c r="D159" t="s">
        <v>65</v>
      </c>
      <c r="E159" t="s">
        <v>37</v>
      </c>
      <c r="F159" t="s">
        <v>14</v>
      </c>
      <c r="G159" t="s">
        <v>31</v>
      </c>
      <c r="H159" s="5">
        <v>1275000</v>
      </c>
      <c r="I159">
        <v>1125000</v>
      </c>
      <c r="J159">
        <v>150000</v>
      </c>
    </row>
    <row r="160" spans="1:10" x14ac:dyDescent="0.3">
      <c r="A160" t="s">
        <v>244</v>
      </c>
      <c r="B160" s="3">
        <v>46060</v>
      </c>
      <c r="C160" t="s">
        <v>59</v>
      </c>
      <c r="D160" t="s">
        <v>60</v>
      </c>
      <c r="E160" t="s">
        <v>19</v>
      </c>
      <c r="F160" t="s">
        <v>14</v>
      </c>
      <c r="G160" t="s">
        <v>15</v>
      </c>
      <c r="H160" s="5">
        <v>3425000</v>
      </c>
      <c r="I160">
        <v>2700000</v>
      </c>
      <c r="J160">
        <v>725000</v>
      </c>
    </row>
    <row r="161" spans="1:10" x14ac:dyDescent="0.3">
      <c r="A161" t="s">
        <v>245</v>
      </c>
      <c r="B161" s="3">
        <v>46061</v>
      </c>
      <c r="C161" t="s">
        <v>29</v>
      </c>
      <c r="D161" t="s">
        <v>30</v>
      </c>
      <c r="E161" t="s">
        <v>13</v>
      </c>
      <c r="F161" t="s">
        <v>20</v>
      </c>
      <c r="G161" t="s">
        <v>15</v>
      </c>
      <c r="H161" s="5">
        <v>2600000</v>
      </c>
      <c r="I161">
        <v>2550000</v>
      </c>
      <c r="J161">
        <v>50000</v>
      </c>
    </row>
    <row r="162" spans="1:10" x14ac:dyDescent="0.3">
      <c r="A162" t="s">
        <v>246</v>
      </c>
      <c r="B162" s="3">
        <v>46061</v>
      </c>
      <c r="C162" t="s">
        <v>35</v>
      </c>
      <c r="D162" t="s">
        <v>36</v>
      </c>
      <c r="E162" t="s">
        <v>37</v>
      </c>
      <c r="F162" t="s">
        <v>20</v>
      </c>
      <c r="G162" t="s">
        <v>61</v>
      </c>
      <c r="H162" s="5">
        <v>50000</v>
      </c>
      <c r="I162">
        <v>0</v>
      </c>
      <c r="J162">
        <v>0</v>
      </c>
    </row>
    <row r="163" spans="1:10" x14ac:dyDescent="0.3">
      <c r="A163" t="s">
        <v>247</v>
      </c>
      <c r="B163" s="3">
        <v>46062</v>
      </c>
      <c r="C163" t="s">
        <v>48</v>
      </c>
      <c r="D163" t="s">
        <v>49</v>
      </c>
      <c r="E163" t="s">
        <v>19</v>
      </c>
      <c r="F163" t="s">
        <v>20</v>
      </c>
      <c r="G163" t="s">
        <v>15</v>
      </c>
      <c r="H163" s="5">
        <v>1025000</v>
      </c>
      <c r="I163">
        <v>1025000</v>
      </c>
      <c r="J163">
        <v>0</v>
      </c>
    </row>
    <row r="164" spans="1:10" x14ac:dyDescent="0.3">
      <c r="A164" t="s">
        <v>248</v>
      </c>
      <c r="B164" s="3">
        <v>46062</v>
      </c>
      <c r="C164" t="s">
        <v>35</v>
      </c>
      <c r="D164" t="s">
        <v>36</v>
      </c>
      <c r="E164" t="s">
        <v>37</v>
      </c>
      <c r="F164" t="s">
        <v>20</v>
      </c>
      <c r="G164" t="s">
        <v>34</v>
      </c>
      <c r="H164" s="5">
        <v>150000</v>
      </c>
      <c r="I164">
        <v>0</v>
      </c>
      <c r="J164">
        <v>0</v>
      </c>
    </row>
    <row r="165" spans="1:10" x14ac:dyDescent="0.3">
      <c r="A165" t="s">
        <v>249</v>
      </c>
      <c r="B165" s="3">
        <v>46062</v>
      </c>
      <c r="C165" t="s">
        <v>17</v>
      </c>
      <c r="D165" t="s">
        <v>18</v>
      </c>
      <c r="E165" t="s">
        <v>19</v>
      </c>
      <c r="F165" t="s">
        <v>20</v>
      </c>
      <c r="G165" t="s">
        <v>40</v>
      </c>
      <c r="H165" s="5">
        <v>75000</v>
      </c>
      <c r="I165">
        <v>75000</v>
      </c>
      <c r="J165">
        <v>0</v>
      </c>
    </row>
    <row r="166" spans="1:10" x14ac:dyDescent="0.3">
      <c r="A166" t="s">
        <v>250</v>
      </c>
      <c r="B166" s="3">
        <v>46063</v>
      </c>
      <c r="C166" t="s">
        <v>44</v>
      </c>
      <c r="D166" t="s">
        <v>45</v>
      </c>
      <c r="E166" t="s">
        <v>43</v>
      </c>
      <c r="F166" t="s">
        <v>20</v>
      </c>
      <c r="G166" t="s">
        <v>57</v>
      </c>
      <c r="H166" s="5">
        <v>80000</v>
      </c>
      <c r="I166">
        <v>50000</v>
      </c>
      <c r="J166">
        <v>30000</v>
      </c>
    </row>
    <row r="167" spans="1:10" x14ac:dyDescent="0.3">
      <c r="A167" t="s">
        <v>251</v>
      </c>
      <c r="B167" s="3">
        <v>46063</v>
      </c>
      <c r="C167" t="s">
        <v>44</v>
      </c>
      <c r="D167" t="s">
        <v>45</v>
      </c>
      <c r="E167" t="s">
        <v>43</v>
      </c>
      <c r="F167" t="s">
        <v>20</v>
      </c>
      <c r="G167" t="s">
        <v>34</v>
      </c>
      <c r="H167" s="5">
        <v>100000</v>
      </c>
      <c r="I167">
        <v>100000</v>
      </c>
      <c r="J167">
        <v>0</v>
      </c>
    </row>
    <row r="168" spans="1:10" x14ac:dyDescent="0.3">
      <c r="A168" t="s">
        <v>252</v>
      </c>
      <c r="B168" s="3">
        <v>46064</v>
      </c>
      <c r="C168" t="s">
        <v>48</v>
      </c>
      <c r="D168" t="s">
        <v>49</v>
      </c>
      <c r="E168" t="s">
        <v>19</v>
      </c>
      <c r="F168" t="s">
        <v>20</v>
      </c>
      <c r="G168" t="s">
        <v>61</v>
      </c>
      <c r="H168" s="5">
        <v>675000</v>
      </c>
      <c r="I168">
        <v>600000</v>
      </c>
      <c r="J168">
        <v>75000</v>
      </c>
    </row>
    <row r="169" spans="1:10" x14ac:dyDescent="0.3">
      <c r="A169" t="s">
        <v>253</v>
      </c>
      <c r="B169" s="3">
        <v>46064</v>
      </c>
      <c r="C169" t="s">
        <v>38</v>
      </c>
      <c r="D169" t="s">
        <v>39</v>
      </c>
      <c r="E169" t="s">
        <v>24</v>
      </c>
      <c r="F169" t="s">
        <v>20</v>
      </c>
      <c r="G169" t="s">
        <v>15</v>
      </c>
      <c r="H169" s="5">
        <v>1075000</v>
      </c>
      <c r="I169">
        <v>975000</v>
      </c>
      <c r="J169">
        <v>100000</v>
      </c>
    </row>
    <row r="170" spans="1:10" x14ac:dyDescent="0.3">
      <c r="A170" t="s">
        <v>254</v>
      </c>
      <c r="B170" s="3">
        <v>46064</v>
      </c>
      <c r="C170" t="s">
        <v>68</v>
      </c>
      <c r="D170" t="s">
        <v>69</v>
      </c>
      <c r="E170" t="s">
        <v>27</v>
      </c>
      <c r="F170" t="s">
        <v>20</v>
      </c>
      <c r="G170" t="s">
        <v>40</v>
      </c>
      <c r="H170" s="5">
        <v>900000</v>
      </c>
      <c r="I170">
        <v>675000</v>
      </c>
      <c r="J170">
        <v>225000</v>
      </c>
    </row>
    <row r="171" spans="1:10" x14ac:dyDescent="0.3">
      <c r="A171" t="s">
        <v>255</v>
      </c>
      <c r="B171" s="3">
        <v>46064</v>
      </c>
      <c r="C171" t="s">
        <v>53</v>
      </c>
      <c r="D171" t="s">
        <v>54</v>
      </c>
      <c r="E171" t="s">
        <v>43</v>
      </c>
      <c r="F171" t="s">
        <v>14</v>
      </c>
      <c r="G171" t="s">
        <v>34</v>
      </c>
      <c r="H171" s="5">
        <v>175000</v>
      </c>
      <c r="I171">
        <v>125000</v>
      </c>
      <c r="J171">
        <v>50000</v>
      </c>
    </row>
    <row r="172" spans="1:10" x14ac:dyDescent="0.3">
      <c r="A172" t="s">
        <v>256</v>
      </c>
      <c r="B172" s="3">
        <v>46065</v>
      </c>
      <c r="C172" t="s">
        <v>46</v>
      </c>
      <c r="D172" t="s">
        <v>47</v>
      </c>
      <c r="E172" t="s">
        <v>37</v>
      </c>
      <c r="F172" t="s">
        <v>20</v>
      </c>
      <c r="G172" t="s">
        <v>58</v>
      </c>
      <c r="H172" s="5">
        <v>975000</v>
      </c>
      <c r="I172">
        <v>0</v>
      </c>
      <c r="J172">
        <v>0</v>
      </c>
    </row>
    <row r="173" spans="1:10" x14ac:dyDescent="0.3">
      <c r="A173" t="s">
        <v>257</v>
      </c>
      <c r="B173" s="3">
        <v>46065</v>
      </c>
      <c r="C173" t="s">
        <v>29</v>
      </c>
      <c r="D173" t="s">
        <v>30</v>
      </c>
      <c r="E173" t="s">
        <v>13</v>
      </c>
      <c r="F173" t="s">
        <v>14</v>
      </c>
      <c r="G173" t="s">
        <v>40</v>
      </c>
      <c r="H173" s="5">
        <v>200000</v>
      </c>
      <c r="I173">
        <v>200000</v>
      </c>
      <c r="J173">
        <v>0</v>
      </c>
    </row>
    <row r="174" spans="1:10" x14ac:dyDescent="0.3">
      <c r="A174" t="s">
        <v>258</v>
      </c>
      <c r="B174" s="3">
        <v>46065</v>
      </c>
      <c r="C174" t="s">
        <v>48</v>
      </c>
      <c r="D174" t="s">
        <v>49</v>
      </c>
      <c r="E174" t="s">
        <v>19</v>
      </c>
      <c r="F174" t="s">
        <v>14</v>
      </c>
      <c r="G174" t="s">
        <v>40</v>
      </c>
      <c r="H174" s="5">
        <v>575000</v>
      </c>
      <c r="I174">
        <v>500000</v>
      </c>
      <c r="J174">
        <v>75000</v>
      </c>
    </row>
    <row r="175" spans="1:10" x14ac:dyDescent="0.3">
      <c r="A175" t="s">
        <v>259</v>
      </c>
      <c r="B175" s="3">
        <v>46065</v>
      </c>
      <c r="C175" t="s">
        <v>35</v>
      </c>
      <c r="D175" t="s">
        <v>36</v>
      </c>
      <c r="E175" t="s">
        <v>37</v>
      </c>
      <c r="F175" t="s">
        <v>20</v>
      </c>
      <c r="G175" t="s">
        <v>61</v>
      </c>
      <c r="H175" s="5">
        <v>475000</v>
      </c>
      <c r="I175">
        <v>350000</v>
      </c>
      <c r="J175">
        <v>125000</v>
      </c>
    </row>
    <row r="176" spans="1:10" x14ac:dyDescent="0.3">
      <c r="A176" t="s">
        <v>260</v>
      </c>
      <c r="B176" s="3">
        <v>46065</v>
      </c>
      <c r="C176" t="s">
        <v>35</v>
      </c>
      <c r="D176" t="s">
        <v>36</v>
      </c>
      <c r="E176" t="s">
        <v>37</v>
      </c>
      <c r="F176" t="s">
        <v>20</v>
      </c>
      <c r="G176" t="s">
        <v>28</v>
      </c>
      <c r="H176" s="5">
        <v>280000</v>
      </c>
      <c r="I176">
        <v>250000</v>
      </c>
      <c r="J176">
        <v>30000</v>
      </c>
    </row>
    <row r="177" spans="1:10" x14ac:dyDescent="0.3">
      <c r="A177" t="s">
        <v>261</v>
      </c>
      <c r="B177" s="3">
        <v>46065</v>
      </c>
      <c r="C177" t="s">
        <v>44</v>
      </c>
      <c r="D177" t="s">
        <v>45</v>
      </c>
      <c r="E177" t="s">
        <v>43</v>
      </c>
      <c r="F177" t="s">
        <v>14</v>
      </c>
      <c r="G177" t="s">
        <v>31</v>
      </c>
      <c r="H177" s="5">
        <v>1150000</v>
      </c>
      <c r="I177">
        <v>0</v>
      </c>
      <c r="J177">
        <v>0</v>
      </c>
    </row>
    <row r="178" spans="1:10" x14ac:dyDescent="0.3">
      <c r="A178" t="s">
        <v>262</v>
      </c>
      <c r="B178" s="3">
        <v>46065</v>
      </c>
      <c r="C178" t="s">
        <v>44</v>
      </c>
      <c r="D178" t="s">
        <v>45</v>
      </c>
      <c r="E178" t="s">
        <v>43</v>
      </c>
      <c r="F178" t="s">
        <v>14</v>
      </c>
      <c r="G178" t="s">
        <v>58</v>
      </c>
      <c r="H178" s="5">
        <v>800000</v>
      </c>
      <c r="I178">
        <v>0</v>
      </c>
      <c r="J178">
        <v>0</v>
      </c>
    </row>
    <row r="179" spans="1:10" x14ac:dyDescent="0.3">
      <c r="A179" t="s">
        <v>263</v>
      </c>
      <c r="B179" s="3">
        <v>46065</v>
      </c>
      <c r="C179" t="s">
        <v>17</v>
      </c>
      <c r="D179" t="s">
        <v>18</v>
      </c>
      <c r="E179" t="s">
        <v>19</v>
      </c>
      <c r="F179" t="s">
        <v>20</v>
      </c>
      <c r="G179" t="s">
        <v>34</v>
      </c>
      <c r="H179" s="5">
        <v>300000</v>
      </c>
      <c r="I179">
        <v>275000</v>
      </c>
      <c r="J179">
        <v>25000</v>
      </c>
    </row>
    <row r="180" spans="1:10" x14ac:dyDescent="0.3">
      <c r="A180" t="s">
        <v>264</v>
      </c>
      <c r="B180" s="3">
        <v>46065</v>
      </c>
      <c r="C180" t="s">
        <v>59</v>
      </c>
      <c r="D180" t="s">
        <v>60</v>
      </c>
      <c r="E180" t="s">
        <v>19</v>
      </c>
      <c r="F180" t="s">
        <v>20</v>
      </c>
      <c r="G180" t="s">
        <v>61</v>
      </c>
      <c r="H180" s="5">
        <v>50000</v>
      </c>
      <c r="I180">
        <v>50000</v>
      </c>
      <c r="J180">
        <v>0</v>
      </c>
    </row>
    <row r="181" spans="1:10" x14ac:dyDescent="0.3">
      <c r="A181" t="s">
        <v>265</v>
      </c>
      <c r="B181" s="3">
        <v>46065</v>
      </c>
      <c r="C181" t="s">
        <v>59</v>
      </c>
      <c r="D181" t="s">
        <v>60</v>
      </c>
      <c r="E181" t="s">
        <v>19</v>
      </c>
      <c r="F181" t="s">
        <v>14</v>
      </c>
      <c r="G181" t="s">
        <v>40</v>
      </c>
      <c r="H181" s="5">
        <v>300000</v>
      </c>
      <c r="I181">
        <v>225000</v>
      </c>
      <c r="J181">
        <v>75000</v>
      </c>
    </row>
    <row r="182" spans="1:10" x14ac:dyDescent="0.3">
      <c r="A182" t="s">
        <v>266</v>
      </c>
      <c r="B182" s="3">
        <v>46066</v>
      </c>
      <c r="C182" t="s">
        <v>55</v>
      </c>
      <c r="D182" t="s">
        <v>56</v>
      </c>
      <c r="E182" t="s">
        <v>24</v>
      </c>
      <c r="F182" t="s">
        <v>20</v>
      </c>
      <c r="G182" t="s">
        <v>61</v>
      </c>
      <c r="H182" s="5">
        <v>450000</v>
      </c>
      <c r="I182">
        <v>375000</v>
      </c>
      <c r="J182">
        <v>75000</v>
      </c>
    </row>
    <row r="183" spans="1:10" x14ac:dyDescent="0.3">
      <c r="A183" t="s">
        <v>267</v>
      </c>
      <c r="B183" s="3">
        <v>46066</v>
      </c>
      <c r="C183" t="s">
        <v>35</v>
      </c>
      <c r="D183" t="s">
        <v>36</v>
      </c>
      <c r="E183" t="s">
        <v>37</v>
      </c>
      <c r="F183" t="s">
        <v>14</v>
      </c>
      <c r="G183" t="s">
        <v>15</v>
      </c>
      <c r="H183" s="5">
        <v>1250000</v>
      </c>
      <c r="I183">
        <v>1175000</v>
      </c>
      <c r="J183">
        <v>75000</v>
      </c>
    </row>
    <row r="184" spans="1:10" x14ac:dyDescent="0.3">
      <c r="A184" t="s">
        <v>268</v>
      </c>
      <c r="B184" s="3">
        <v>46066</v>
      </c>
      <c r="C184" t="s">
        <v>44</v>
      </c>
      <c r="D184" t="s">
        <v>45</v>
      </c>
      <c r="E184" t="s">
        <v>43</v>
      </c>
      <c r="F184" t="s">
        <v>20</v>
      </c>
      <c r="G184" t="s">
        <v>40</v>
      </c>
      <c r="H184" s="5">
        <v>700000</v>
      </c>
      <c r="I184">
        <v>700000</v>
      </c>
      <c r="J184">
        <v>0</v>
      </c>
    </row>
    <row r="185" spans="1:10" x14ac:dyDescent="0.3">
      <c r="A185" t="s">
        <v>269</v>
      </c>
      <c r="B185" s="3">
        <v>46067</v>
      </c>
      <c r="C185" t="s">
        <v>62</v>
      </c>
      <c r="D185" t="s">
        <v>63</v>
      </c>
      <c r="E185" t="s">
        <v>52</v>
      </c>
      <c r="F185" t="s">
        <v>14</v>
      </c>
      <c r="G185" t="s">
        <v>61</v>
      </c>
      <c r="H185" s="5">
        <v>525000</v>
      </c>
      <c r="I185">
        <v>475000</v>
      </c>
      <c r="J185">
        <v>50000</v>
      </c>
    </row>
    <row r="186" spans="1:10" x14ac:dyDescent="0.3">
      <c r="A186" t="s">
        <v>270</v>
      </c>
      <c r="B186" s="3">
        <v>46067</v>
      </c>
      <c r="C186" t="s">
        <v>38</v>
      </c>
      <c r="D186" t="s">
        <v>39</v>
      </c>
      <c r="E186" t="s">
        <v>24</v>
      </c>
      <c r="F186" t="s">
        <v>20</v>
      </c>
      <c r="G186" t="s">
        <v>40</v>
      </c>
      <c r="H186" s="5">
        <v>225000</v>
      </c>
      <c r="I186">
        <v>0</v>
      </c>
      <c r="J186">
        <v>0</v>
      </c>
    </row>
    <row r="187" spans="1:10" x14ac:dyDescent="0.3">
      <c r="A187" t="s">
        <v>271</v>
      </c>
      <c r="B187" s="3">
        <v>46067</v>
      </c>
      <c r="C187" t="s">
        <v>44</v>
      </c>
      <c r="D187" t="s">
        <v>45</v>
      </c>
      <c r="E187" t="s">
        <v>43</v>
      </c>
      <c r="F187" t="s">
        <v>14</v>
      </c>
      <c r="G187" t="s">
        <v>57</v>
      </c>
      <c r="H187" s="5">
        <v>155000</v>
      </c>
      <c r="I187">
        <v>150000</v>
      </c>
      <c r="J187">
        <v>5000</v>
      </c>
    </row>
    <row r="188" spans="1:10" x14ac:dyDescent="0.3">
      <c r="A188" t="s">
        <v>272</v>
      </c>
      <c r="B188" s="3">
        <v>46067</v>
      </c>
      <c r="C188" t="s">
        <v>50</v>
      </c>
      <c r="D188" t="s">
        <v>51</v>
      </c>
      <c r="E188" t="s">
        <v>52</v>
      </c>
      <c r="F188" t="s">
        <v>14</v>
      </c>
      <c r="G188" t="s">
        <v>31</v>
      </c>
      <c r="H188" s="5">
        <v>1350000</v>
      </c>
      <c r="I188">
        <v>0</v>
      </c>
      <c r="J188">
        <v>0</v>
      </c>
    </row>
    <row r="189" spans="1:10" x14ac:dyDescent="0.3">
      <c r="A189" t="s">
        <v>273</v>
      </c>
      <c r="B189" s="3">
        <v>46068</v>
      </c>
      <c r="C189" t="s">
        <v>11</v>
      </c>
      <c r="D189" t="s">
        <v>12</v>
      </c>
      <c r="E189" t="s">
        <v>13</v>
      </c>
      <c r="F189" t="s">
        <v>20</v>
      </c>
      <c r="G189" t="s">
        <v>34</v>
      </c>
      <c r="H189" s="5">
        <v>600000</v>
      </c>
      <c r="I189">
        <v>525000</v>
      </c>
      <c r="J189">
        <v>75000</v>
      </c>
    </row>
    <row r="190" spans="1:10" x14ac:dyDescent="0.3">
      <c r="A190" t="s">
        <v>274</v>
      </c>
      <c r="B190" s="3">
        <v>46068</v>
      </c>
      <c r="C190" t="s">
        <v>68</v>
      </c>
      <c r="D190" t="s">
        <v>69</v>
      </c>
      <c r="E190" t="s">
        <v>27</v>
      </c>
      <c r="F190" t="s">
        <v>20</v>
      </c>
      <c r="G190" t="s">
        <v>58</v>
      </c>
      <c r="H190" s="5">
        <v>500000</v>
      </c>
      <c r="I190">
        <v>0</v>
      </c>
      <c r="J190">
        <v>0</v>
      </c>
    </row>
    <row r="191" spans="1:10" x14ac:dyDescent="0.3">
      <c r="A191" t="s">
        <v>275</v>
      </c>
      <c r="B191" s="3">
        <v>46068</v>
      </c>
      <c r="C191" t="s">
        <v>66</v>
      </c>
      <c r="D191" t="s">
        <v>67</v>
      </c>
      <c r="E191" t="s">
        <v>13</v>
      </c>
      <c r="F191" t="s">
        <v>20</v>
      </c>
      <c r="G191" t="s">
        <v>34</v>
      </c>
      <c r="H191" s="5">
        <v>525000</v>
      </c>
      <c r="I191">
        <v>475000</v>
      </c>
      <c r="J191">
        <v>50000</v>
      </c>
    </row>
    <row r="192" spans="1:10" x14ac:dyDescent="0.3">
      <c r="A192" t="s">
        <v>276</v>
      </c>
      <c r="B192" s="3">
        <v>46069</v>
      </c>
      <c r="C192" t="s">
        <v>48</v>
      </c>
      <c r="D192" t="s">
        <v>49</v>
      </c>
      <c r="E192" t="s">
        <v>19</v>
      </c>
      <c r="F192" t="s">
        <v>20</v>
      </c>
      <c r="G192" t="s">
        <v>31</v>
      </c>
      <c r="H192" s="5">
        <v>250000</v>
      </c>
      <c r="I192">
        <v>225000</v>
      </c>
      <c r="J192">
        <v>25000</v>
      </c>
    </row>
    <row r="193" spans="1:10" x14ac:dyDescent="0.3">
      <c r="A193" t="s">
        <v>277</v>
      </c>
      <c r="B193" s="3">
        <v>46069</v>
      </c>
      <c r="C193" t="s">
        <v>50</v>
      </c>
      <c r="D193" t="s">
        <v>51</v>
      </c>
      <c r="E193" t="s">
        <v>52</v>
      </c>
      <c r="F193" t="s">
        <v>14</v>
      </c>
      <c r="G193" t="s">
        <v>15</v>
      </c>
      <c r="H193" s="5">
        <v>1625000</v>
      </c>
      <c r="I193">
        <v>0</v>
      </c>
      <c r="J193">
        <v>0</v>
      </c>
    </row>
    <row r="194" spans="1:10" x14ac:dyDescent="0.3">
      <c r="A194" t="s">
        <v>278</v>
      </c>
      <c r="B194" s="3">
        <v>46069</v>
      </c>
      <c r="C194" t="s">
        <v>50</v>
      </c>
      <c r="D194" t="s">
        <v>51</v>
      </c>
      <c r="E194" t="s">
        <v>52</v>
      </c>
      <c r="F194" t="s">
        <v>20</v>
      </c>
      <c r="G194" t="s">
        <v>31</v>
      </c>
      <c r="H194" s="5">
        <v>125000</v>
      </c>
      <c r="I194">
        <v>100000</v>
      </c>
      <c r="J194">
        <v>25000</v>
      </c>
    </row>
    <row r="195" spans="1:10" x14ac:dyDescent="0.3">
      <c r="A195" t="s">
        <v>279</v>
      </c>
      <c r="B195" s="3">
        <v>46071</v>
      </c>
      <c r="C195" t="s">
        <v>44</v>
      </c>
      <c r="D195" t="s">
        <v>45</v>
      </c>
      <c r="E195" t="s">
        <v>43</v>
      </c>
      <c r="F195" t="s">
        <v>20</v>
      </c>
      <c r="G195" t="s">
        <v>57</v>
      </c>
      <c r="H195" s="5">
        <v>405000</v>
      </c>
      <c r="I195">
        <v>300000</v>
      </c>
      <c r="J195">
        <v>105000</v>
      </c>
    </row>
    <row r="196" spans="1:10" x14ac:dyDescent="0.3">
      <c r="A196" t="s">
        <v>280</v>
      </c>
      <c r="B196" s="3">
        <v>46071</v>
      </c>
      <c r="C196" t="s">
        <v>44</v>
      </c>
      <c r="D196" t="s">
        <v>45</v>
      </c>
      <c r="E196" t="s">
        <v>43</v>
      </c>
      <c r="F196" t="s">
        <v>14</v>
      </c>
      <c r="G196" t="s">
        <v>40</v>
      </c>
      <c r="H196" s="5">
        <v>575000</v>
      </c>
      <c r="I196">
        <v>575000</v>
      </c>
      <c r="J196">
        <v>0</v>
      </c>
    </row>
    <row r="197" spans="1:10" x14ac:dyDescent="0.3">
      <c r="A197" t="s">
        <v>281</v>
      </c>
      <c r="B197" s="3">
        <v>46072</v>
      </c>
      <c r="C197" t="s">
        <v>29</v>
      </c>
      <c r="D197" t="s">
        <v>30</v>
      </c>
      <c r="E197" t="s">
        <v>13</v>
      </c>
      <c r="F197" t="s">
        <v>14</v>
      </c>
      <c r="G197" t="s">
        <v>61</v>
      </c>
      <c r="H197" s="5">
        <v>275000</v>
      </c>
      <c r="I197">
        <v>250000</v>
      </c>
      <c r="J197">
        <v>25000</v>
      </c>
    </row>
    <row r="198" spans="1:10" x14ac:dyDescent="0.3">
      <c r="A198" t="s">
        <v>282</v>
      </c>
      <c r="B198" s="3">
        <v>46072</v>
      </c>
      <c r="C198" t="s">
        <v>41</v>
      </c>
      <c r="D198" t="s">
        <v>42</v>
      </c>
      <c r="E198" t="s">
        <v>43</v>
      </c>
      <c r="F198" t="s">
        <v>14</v>
      </c>
      <c r="G198" t="s">
        <v>15</v>
      </c>
      <c r="H198" s="5">
        <v>2300000</v>
      </c>
      <c r="I198">
        <v>1850000</v>
      </c>
      <c r="J198">
        <v>450000</v>
      </c>
    </row>
    <row r="199" spans="1:10" x14ac:dyDescent="0.3">
      <c r="A199" t="s">
        <v>283</v>
      </c>
      <c r="B199" s="3">
        <v>46072</v>
      </c>
      <c r="C199" t="s">
        <v>38</v>
      </c>
      <c r="D199" t="s">
        <v>39</v>
      </c>
      <c r="E199" t="s">
        <v>24</v>
      </c>
      <c r="F199" t="s">
        <v>14</v>
      </c>
      <c r="G199" t="s">
        <v>31</v>
      </c>
      <c r="H199" s="5">
        <v>175000</v>
      </c>
      <c r="I199">
        <v>0</v>
      </c>
      <c r="J199">
        <v>0</v>
      </c>
    </row>
    <row r="200" spans="1:10" x14ac:dyDescent="0.3">
      <c r="A200" t="s">
        <v>284</v>
      </c>
      <c r="B200" s="3">
        <v>46072</v>
      </c>
      <c r="C200" t="s">
        <v>53</v>
      </c>
      <c r="D200" t="s">
        <v>54</v>
      </c>
      <c r="E200" t="s">
        <v>43</v>
      </c>
      <c r="F200" t="s">
        <v>14</v>
      </c>
      <c r="G200" t="s">
        <v>40</v>
      </c>
      <c r="H200" s="5">
        <v>450000</v>
      </c>
      <c r="I200">
        <v>0</v>
      </c>
      <c r="J200">
        <v>0</v>
      </c>
    </row>
    <row r="201" spans="1:10" x14ac:dyDescent="0.3">
      <c r="A201" t="s">
        <v>285</v>
      </c>
      <c r="B201" s="3">
        <v>46073</v>
      </c>
      <c r="C201" t="s">
        <v>62</v>
      </c>
      <c r="D201" t="s">
        <v>63</v>
      </c>
      <c r="E201" t="s">
        <v>52</v>
      </c>
      <c r="F201" t="s">
        <v>14</v>
      </c>
      <c r="G201" t="s">
        <v>57</v>
      </c>
      <c r="H201" s="5">
        <v>230000</v>
      </c>
      <c r="I201">
        <v>0</v>
      </c>
      <c r="J201">
        <v>0</v>
      </c>
    </row>
    <row r="202" spans="1:10" x14ac:dyDescent="0.3">
      <c r="A202" t="s">
        <v>286</v>
      </c>
      <c r="B202" s="3">
        <v>46073</v>
      </c>
      <c r="C202" t="s">
        <v>11</v>
      </c>
      <c r="D202" t="s">
        <v>12</v>
      </c>
      <c r="E202" t="s">
        <v>13</v>
      </c>
      <c r="F202" t="s">
        <v>20</v>
      </c>
      <c r="G202" t="s">
        <v>15</v>
      </c>
      <c r="H202" s="5">
        <v>2750000</v>
      </c>
      <c r="I202">
        <v>2175000</v>
      </c>
      <c r="J202">
        <v>575000</v>
      </c>
    </row>
    <row r="203" spans="1:10" x14ac:dyDescent="0.3">
      <c r="A203" t="s">
        <v>287</v>
      </c>
      <c r="B203" s="3">
        <v>46073</v>
      </c>
      <c r="C203" t="s">
        <v>35</v>
      </c>
      <c r="D203" t="s">
        <v>36</v>
      </c>
      <c r="E203" t="s">
        <v>37</v>
      </c>
      <c r="F203" t="s">
        <v>14</v>
      </c>
      <c r="G203" t="s">
        <v>40</v>
      </c>
      <c r="H203" s="5">
        <v>800000</v>
      </c>
      <c r="I203">
        <v>725000</v>
      </c>
      <c r="J203">
        <v>75000</v>
      </c>
    </row>
    <row r="204" spans="1:10" x14ac:dyDescent="0.3">
      <c r="A204" t="s">
        <v>288</v>
      </c>
      <c r="B204" s="3">
        <v>46073</v>
      </c>
      <c r="C204" t="s">
        <v>66</v>
      </c>
      <c r="D204" t="s">
        <v>67</v>
      </c>
      <c r="E204" t="s">
        <v>13</v>
      </c>
      <c r="F204" t="s">
        <v>20</v>
      </c>
      <c r="G204" t="s">
        <v>15</v>
      </c>
      <c r="H204" s="5">
        <v>2400000</v>
      </c>
      <c r="I204">
        <v>0</v>
      </c>
      <c r="J204">
        <v>0</v>
      </c>
    </row>
    <row r="205" spans="1:10" x14ac:dyDescent="0.3">
      <c r="A205" t="s">
        <v>289</v>
      </c>
      <c r="B205" s="3">
        <v>46073</v>
      </c>
      <c r="C205" t="s">
        <v>59</v>
      </c>
      <c r="D205" t="s">
        <v>60</v>
      </c>
      <c r="E205" t="s">
        <v>19</v>
      </c>
      <c r="F205" t="s">
        <v>20</v>
      </c>
      <c r="G205" t="s">
        <v>61</v>
      </c>
      <c r="H205" s="5">
        <v>425000</v>
      </c>
      <c r="I205">
        <v>350000</v>
      </c>
      <c r="J205">
        <v>75000</v>
      </c>
    </row>
    <row r="206" spans="1:10" x14ac:dyDescent="0.3">
      <c r="A206" t="s">
        <v>290</v>
      </c>
      <c r="B206" s="3">
        <v>46074</v>
      </c>
      <c r="C206" t="s">
        <v>38</v>
      </c>
      <c r="D206" t="s">
        <v>39</v>
      </c>
      <c r="E206" t="s">
        <v>24</v>
      </c>
      <c r="F206" t="s">
        <v>14</v>
      </c>
      <c r="G206" t="s">
        <v>40</v>
      </c>
      <c r="H206" s="5">
        <v>400000</v>
      </c>
      <c r="I206">
        <v>400000</v>
      </c>
      <c r="J206">
        <v>0</v>
      </c>
    </row>
    <row r="207" spans="1:10" x14ac:dyDescent="0.3">
      <c r="A207" t="s">
        <v>291</v>
      </c>
      <c r="B207" s="3">
        <v>46074</v>
      </c>
      <c r="C207" t="s">
        <v>17</v>
      </c>
      <c r="D207" t="s">
        <v>18</v>
      </c>
      <c r="E207" t="s">
        <v>19</v>
      </c>
      <c r="F207" t="s">
        <v>14</v>
      </c>
      <c r="G207" t="s">
        <v>28</v>
      </c>
      <c r="H207" s="5">
        <v>405000</v>
      </c>
      <c r="I207">
        <v>375000</v>
      </c>
      <c r="J207">
        <v>30000</v>
      </c>
    </row>
    <row r="208" spans="1:10" x14ac:dyDescent="0.3">
      <c r="A208" t="s">
        <v>292</v>
      </c>
      <c r="B208" s="3">
        <v>46074</v>
      </c>
      <c r="C208" t="s">
        <v>50</v>
      </c>
      <c r="D208" t="s">
        <v>51</v>
      </c>
      <c r="E208" t="s">
        <v>52</v>
      </c>
      <c r="F208" t="s">
        <v>20</v>
      </c>
      <c r="G208" t="s">
        <v>58</v>
      </c>
      <c r="H208" s="5">
        <v>500000</v>
      </c>
      <c r="I208">
        <v>475000</v>
      </c>
      <c r="J208">
        <v>25000</v>
      </c>
    </row>
    <row r="209" spans="1:10" x14ac:dyDescent="0.3">
      <c r="A209" t="s">
        <v>293</v>
      </c>
      <c r="B209" s="3">
        <v>46074</v>
      </c>
      <c r="C209" t="s">
        <v>25</v>
      </c>
      <c r="D209" t="s">
        <v>26</v>
      </c>
      <c r="E209" t="s">
        <v>27</v>
      </c>
      <c r="F209" t="s">
        <v>14</v>
      </c>
      <c r="G209" t="s">
        <v>28</v>
      </c>
      <c r="H209" s="5">
        <v>455000</v>
      </c>
      <c r="I209">
        <v>0</v>
      </c>
      <c r="J209">
        <v>0</v>
      </c>
    </row>
    <row r="210" spans="1:10" x14ac:dyDescent="0.3">
      <c r="A210" t="s">
        <v>294</v>
      </c>
      <c r="B210" s="3">
        <v>46075</v>
      </c>
      <c r="C210" t="s">
        <v>55</v>
      </c>
      <c r="D210" t="s">
        <v>56</v>
      </c>
      <c r="E210" t="s">
        <v>24</v>
      </c>
      <c r="F210" t="s">
        <v>20</v>
      </c>
      <c r="G210" t="s">
        <v>31</v>
      </c>
      <c r="H210" s="5">
        <v>1350000</v>
      </c>
      <c r="I210">
        <v>1150000</v>
      </c>
      <c r="J210">
        <v>200000</v>
      </c>
    </row>
    <row r="211" spans="1:10" x14ac:dyDescent="0.3">
      <c r="A211" t="s">
        <v>295</v>
      </c>
      <c r="B211" s="3">
        <v>46075</v>
      </c>
      <c r="C211" t="s">
        <v>48</v>
      </c>
      <c r="D211" t="s">
        <v>49</v>
      </c>
      <c r="E211" t="s">
        <v>19</v>
      </c>
      <c r="F211" t="s">
        <v>14</v>
      </c>
      <c r="G211" t="s">
        <v>15</v>
      </c>
      <c r="H211" s="5">
        <v>575000</v>
      </c>
      <c r="I211">
        <v>0</v>
      </c>
      <c r="J211">
        <v>0</v>
      </c>
    </row>
    <row r="212" spans="1:10" x14ac:dyDescent="0.3">
      <c r="A212" t="s">
        <v>296</v>
      </c>
      <c r="B212" s="3">
        <v>46075</v>
      </c>
      <c r="C212" t="s">
        <v>50</v>
      </c>
      <c r="D212" t="s">
        <v>51</v>
      </c>
      <c r="E212" t="s">
        <v>52</v>
      </c>
      <c r="F212" t="s">
        <v>20</v>
      </c>
      <c r="G212" t="s">
        <v>28</v>
      </c>
      <c r="H212" s="5">
        <v>230000</v>
      </c>
      <c r="I212">
        <v>0</v>
      </c>
      <c r="J212">
        <v>0</v>
      </c>
    </row>
    <row r="213" spans="1:10" x14ac:dyDescent="0.3">
      <c r="A213" t="s">
        <v>297</v>
      </c>
      <c r="B213" s="3">
        <v>46075</v>
      </c>
      <c r="C213" t="s">
        <v>66</v>
      </c>
      <c r="D213" t="s">
        <v>67</v>
      </c>
      <c r="E213" t="s">
        <v>13</v>
      </c>
      <c r="F213" t="s">
        <v>14</v>
      </c>
      <c r="G213" t="s">
        <v>34</v>
      </c>
      <c r="H213" s="5">
        <v>400000</v>
      </c>
      <c r="I213">
        <v>300000</v>
      </c>
      <c r="J213">
        <v>100000</v>
      </c>
    </row>
    <row r="214" spans="1:10" x14ac:dyDescent="0.3">
      <c r="A214" t="s">
        <v>298</v>
      </c>
      <c r="B214" s="3">
        <v>46075</v>
      </c>
      <c r="C214" t="s">
        <v>25</v>
      </c>
      <c r="D214" t="s">
        <v>26</v>
      </c>
      <c r="E214" t="s">
        <v>27</v>
      </c>
      <c r="F214" t="s">
        <v>20</v>
      </c>
      <c r="G214" t="s">
        <v>58</v>
      </c>
      <c r="H214" s="5">
        <v>425000</v>
      </c>
      <c r="I214">
        <v>0</v>
      </c>
      <c r="J214">
        <v>0</v>
      </c>
    </row>
    <row r="215" spans="1:10" x14ac:dyDescent="0.3">
      <c r="A215" t="s">
        <v>299</v>
      </c>
      <c r="B215" s="3">
        <v>46076</v>
      </c>
      <c r="C215" t="s">
        <v>48</v>
      </c>
      <c r="D215" t="s">
        <v>49</v>
      </c>
      <c r="E215" t="s">
        <v>19</v>
      </c>
      <c r="F215" t="s">
        <v>20</v>
      </c>
      <c r="G215" t="s">
        <v>57</v>
      </c>
      <c r="H215" s="5">
        <v>330000</v>
      </c>
      <c r="I215">
        <v>300000</v>
      </c>
      <c r="J215">
        <v>30000</v>
      </c>
    </row>
    <row r="216" spans="1:10" x14ac:dyDescent="0.3">
      <c r="A216" t="s">
        <v>300</v>
      </c>
      <c r="B216" s="3">
        <v>46076</v>
      </c>
      <c r="C216" t="s">
        <v>41</v>
      </c>
      <c r="D216" t="s">
        <v>42</v>
      </c>
      <c r="E216" t="s">
        <v>43</v>
      </c>
      <c r="F216" t="s">
        <v>14</v>
      </c>
      <c r="G216" t="s">
        <v>34</v>
      </c>
      <c r="H216" s="5">
        <v>500000</v>
      </c>
      <c r="I216">
        <v>0</v>
      </c>
      <c r="J216">
        <v>0</v>
      </c>
    </row>
    <row r="217" spans="1:10" x14ac:dyDescent="0.3">
      <c r="A217" t="s">
        <v>301</v>
      </c>
      <c r="B217" s="3">
        <v>46076</v>
      </c>
      <c r="C217" t="s">
        <v>38</v>
      </c>
      <c r="D217" t="s">
        <v>39</v>
      </c>
      <c r="E217" t="s">
        <v>24</v>
      </c>
      <c r="F217" t="s">
        <v>20</v>
      </c>
      <c r="G217" t="s">
        <v>31</v>
      </c>
      <c r="H217" s="5">
        <v>1275000</v>
      </c>
      <c r="I217">
        <v>1050000</v>
      </c>
      <c r="J217">
        <v>225000</v>
      </c>
    </row>
    <row r="218" spans="1:10" x14ac:dyDescent="0.3">
      <c r="A218" t="s">
        <v>302</v>
      </c>
      <c r="B218" s="3">
        <v>46077</v>
      </c>
      <c r="C218" t="s">
        <v>11</v>
      </c>
      <c r="D218" t="s">
        <v>12</v>
      </c>
      <c r="E218" t="s">
        <v>13</v>
      </c>
      <c r="F218" t="s">
        <v>20</v>
      </c>
      <c r="G218" t="s">
        <v>58</v>
      </c>
      <c r="H218" s="5">
        <v>1125000</v>
      </c>
      <c r="I218">
        <v>1000000</v>
      </c>
      <c r="J218">
        <v>125000</v>
      </c>
    </row>
    <row r="219" spans="1:10" x14ac:dyDescent="0.3">
      <c r="A219" t="s">
        <v>303</v>
      </c>
      <c r="B219" s="3">
        <v>46077</v>
      </c>
      <c r="C219" t="s">
        <v>35</v>
      </c>
      <c r="D219" t="s">
        <v>36</v>
      </c>
      <c r="E219" t="s">
        <v>37</v>
      </c>
      <c r="F219" t="s">
        <v>20</v>
      </c>
      <c r="G219" t="s">
        <v>28</v>
      </c>
      <c r="H219" s="5">
        <v>480000</v>
      </c>
      <c r="I219">
        <v>450000</v>
      </c>
      <c r="J219">
        <v>30000</v>
      </c>
    </row>
    <row r="220" spans="1:10" x14ac:dyDescent="0.3">
      <c r="A220" t="s">
        <v>304</v>
      </c>
      <c r="B220" s="3">
        <v>46077</v>
      </c>
      <c r="C220" t="s">
        <v>22</v>
      </c>
      <c r="D220" t="s">
        <v>23</v>
      </c>
      <c r="E220" t="s">
        <v>24</v>
      </c>
      <c r="F220" t="s">
        <v>20</v>
      </c>
      <c r="G220" t="s">
        <v>31</v>
      </c>
      <c r="H220" s="5">
        <v>625000</v>
      </c>
      <c r="I220">
        <v>0</v>
      </c>
      <c r="J220">
        <v>0</v>
      </c>
    </row>
    <row r="221" spans="1:10" x14ac:dyDescent="0.3">
      <c r="A221" t="s">
        <v>305</v>
      </c>
      <c r="B221" s="3">
        <v>46078</v>
      </c>
      <c r="C221" t="s">
        <v>62</v>
      </c>
      <c r="D221" t="s">
        <v>63</v>
      </c>
      <c r="E221" t="s">
        <v>52</v>
      </c>
      <c r="F221" t="s">
        <v>14</v>
      </c>
      <c r="G221" t="s">
        <v>57</v>
      </c>
      <c r="H221" s="5">
        <v>180000</v>
      </c>
      <c r="I221">
        <v>150000</v>
      </c>
      <c r="J221">
        <v>30000</v>
      </c>
    </row>
    <row r="222" spans="1:10" x14ac:dyDescent="0.3">
      <c r="A222" t="s">
        <v>306</v>
      </c>
      <c r="B222" s="3">
        <v>46078</v>
      </c>
      <c r="C222" t="s">
        <v>62</v>
      </c>
      <c r="D222" t="s">
        <v>63</v>
      </c>
      <c r="E222" t="s">
        <v>52</v>
      </c>
      <c r="F222" t="s">
        <v>20</v>
      </c>
      <c r="G222" t="s">
        <v>28</v>
      </c>
      <c r="H222" s="5">
        <v>55000</v>
      </c>
      <c r="I222">
        <v>0</v>
      </c>
      <c r="J222">
        <v>0</v>
      </c>
    </row>
    <row r="223" spans="1:10" x14ac:dyDescent="0.3">
      <c r="A223" t="s">
        <v>307</v>
      </c>
      <c r="B223" s="3">
        <v>46078</v>
      </c>
      <c r="C223" t="s">
        <v>35</v>
      </c>
      <c r="D223" t="s">
        <v>36</v>
      </c>
      <c r="E223" t="s">
        <v>37</v>
      </c>
      <c r="F223" t="s">
        <v>14</v>
      </c>
      <c r="G223" t="s">
        <v>28</v>
      </c>
      <c r="H223" s="5">
        <v>305000</v>
      </c>
      <c r="I223">
        <v>0</v>
      </c>
      <c r="J223">
        <v>0</v>
      </c>
    </row>
    <row r="224" spans="1:10" x14ac:dyDescent="0.3">
      <c r="A224" t="s">
        <v>308</v>
      </c>
      <c r="B224" s="3">
        <v>46078</v>
      </c>
      <c r="C224" t="s">
        <v>44</v>
      </c>
      <c r="D224" t="s">
        <v>45</v>
      </c>
      <c r="E224" t="s">
        <v>43</v>
      </c>
      <c r="F224" t="s">
        <v>14</v>
      </c>
      <c r="G224" t="s">
        <v>28</v>
      </c>
      <c r="H224" s="5">
        <v>155000</v>
      </c>
      <c r="I224">
        <v>125000</v>
      </c>
      <c r="J224">
        <v>30000</v>
      </c>
    </row>
    <row r="225" spans="1:10" x14ac:dyDescent="0.3">
      <c r="A225" t="s">
        <v>309</v>
      </c>
      <c r="B225" s="3">
        <v>46078</v>
      </c>
      <c r="C225" t="s">
        <v>66</v>
      </c>
      <c r="D225" t="s">
        <v>67</v>
      </c>
      <c r="E225" t="s">
        <v>13</v>
      </c>
      <c r="F225" t="s">
        <v>20</v>
      </c>
      <c r="G225" t="s">
        <v>57</v>
      </c>
      <c r="H225" s="5">
        <v>205000</v>
      </c>
      <c r="I225">
        <v>0</v>
      </c>
      <c r="J225">
        <v>0</v>
      </c>
    </row>
    <row r="226" spans="1:10" x14ac:dyDescent="0.3">
      <c r="A226" t="s">
        <v>310</v>
      </c>
      <c r="B226" s="3">
        <v>46079</v>
      </c>
      <c r="C226" t="s">
        <v>32</v>
      </c>
      <c r="D226" t="s">
        <v>33</v>
      </c>
      <c r="E226" t="s">
        <v>27</v>
      </c>
      <c r="F226" t="s">
        <v>20</v>
      </c>
      <c r="G226" t="s">
        <v>40</v>
      </c>
      <c r="H226" s="5">
        <v>300000</v>
      </c>
      <c r="I226">
        <v>275000</v>
      </c>
      <c r="J226">
        <v>25000</v>
      </c>
    </row>
    <row r="227" spans="1:10" x14ac:dyDescent="0.3">
      <c r="A227" t="s">
        <v>311</v>
      </c>
      <c r="B227" s="3">
        <v>46079</v>
      </c>
      <c r="C227" t="s">
        <v>35</v>
      </c>
      <c r="D227" t="s">
        <v>36</v>
      </c>
      <c r="E227" t="s">
        <v>37</v>
      </c>
      <c r="F227" t="s">
        <v>14</v>
      </c>
      <c r="G227" t="s">
        <v>40</v>
      </c>
      <c r="H227" s="5">
        <v>700000</v>
      </c>
      <c r="I227">
        <v>600000</v>
      </c>
      <c r="J227">
        <v>100000</v>
      </c>
    </row>
    <row r="228" spans="1:10" x14ac:dyDescent="0.3">
      <c r="A228" t="s">
        <v>312</v>
      </c>
      <c r="B228" s="3">
        <v>46079</v>
      </c>
      <c r="C228" t="s">
        <v>44</v>
      </c>
      <c r="D228" t="s">
        <v>45</v>
      </c>
      <c r="E228" t="s">
        <v>43</v>
      </c>
      <c r="F228" t="s">
        <v>14</v>
      </c>
      <c r="G228" t="s">
        <v>31</v>
      </c>
      <c r="H228" s="5">
        <v>1450000</v>
      </c>
      <c r="I228">
        <v>0</v>
      </c>
      <c r="J228">
        <v>0</v>
      </c>
    </row>
    <row r="229" spans="1:10" x14ac:dyDescent="0.3">
      <c r="A229" t="s">
        <v>313</v>
      </c>
      <c r="B229" s="3">
        <v>46079</v>
      </c>
      <c r="C229" t="s">
        <v>22</v>
      </c>
      <c r="D229" t="s">
        <v>23</v>
      </c>
      <c r="E229" t="s">
        <v>24</v>
      </c>
      <c r="F229" t="s">
        <v>20</v>
      </c>
      <c r="G229" t="s">
        <v>58</v>
      </c>
      <c r="H229" s="5">
        <v>625000</v>
      </c>
      <c r="I229">
        <v>625000</v>
      </c>
      <c r="J229">
        <v>0</v>
      </c>
    </row>
    <row r="230" spans="1:10" x14ac:dyDescent="0.3">
      <c r="A230" t="s">
        <v>314</v>
      </c>
      <c r="B230" s="3">
        <v>46080</v>
      </c>
      <c r="C230" t="s">
        <v>55</v>
      </c>
      <c r="D230" t="s">
        <v>56</v>
      </c>
      <c r="E230" t="s">
        <v>24</v>
      </c>
      <c r="F230" t="s">
        <v>14</v>
      </c>
      <c r="G230" t="s">
        <v>28</v>
      </c>
      <c r="H230" s="5">
        <v>205000</v>
      </c>
      <c r="I230">
        <v>175000</v>
      </c>
      <c r="J230">
        <v>30000</v>
      </c>
    </row>
    <row r="231" spans="1:10" x14ac:dyDescent="0.3">
      <c r="A231" t="s">
        <v>315</v>
      </c>
      <c r="B231" s="3">
        <v>46080</v>
      </c>
      <c r="C231" t="s">
        <v>38</v>
      </c>
      <c r="D231" t="s">
        <v>39</v>
      </c>
      <c r="E231" t="s">
        <v>24</v>
      </c>
      <c r="F231" t="s">
        <v>14</v>
      </c>
      <c r="G231" t="s">
        <v>31</v>
      </c>
      <c r="H231" s="5">
        <v>575000</v>
      </c>
      <c r="I231">
        <v>525000</v>
      </c>
      <c r="J231">
        <v>50000</v>
      </c>
    </row>
    <row r="232" spans="1:10" x14ac:dyDescent="0.3">
      <c r="A232" t="s">
        <v>316</v>
      </c>
      <c r="B232" s="3">
        <v>46080</v>
      </c>
      <c r="C232" t="s">
        <v>44</v>
      </c>
      <c r="D232" t="s">
        <v>45</v>
      </c>
      <c r="E232" t="s">
        <v>43</v>
      </c>
      <c r="F232" t="s">
        <v>20</v>
      </c>
      <c r="G232" t="s">
        <v>15</v>
      </c>
      <c r="H232" s="5">
        <v>1375000</v>
      </c>
      <c r="I232">
        <v>0</v>
      </c>
      <c r="J232">
        <v>0</v>
      </c>
    </row>
    <row r="233" spans="1:10" x14ac:dyDescent="0.3">
      <c r="A233" t="s">
        <v>317</v>
      </c>
      <c r="B233" s="3">
        <v>46080</v>
      </c>
      <c r="C233" t="s">
        <v>53</v>
      </c>
      <c r="D233" t="s">
        <v>54</v>
      </c>
      <c r="E233" t="s">
        <v>43</v>
      </c>
      <c r="F233" t="s">
        <v>20</v>
      </c>
      <c r="G233" t="s">
        <v>40</v>
      </c>
      <c r="H233" s="5">
        <v>900000</v>
      </c>
      <c r="I233">
        <v>725000</v>
      </c>
      <c r="J233">
        <v>175000</v>
      </c>
    </row>
    <row r="234" spans="1:10" x14ac:dyDescent="0.3">
      <c r="A234" t="s">
        <v>318</v>
      </c>
      <c r="B234" s="3">
        <v>46080</v>
      </c>
      <c r="C234" t="s">
        <v>53</v>
      </c>
      <c r="D234" t="s">
        <v>54</v>
      </c>
      <c r="E234" t="s">
        <v>43</v>
      </c>
      <c r="F234" t="s">
        <v>14</v>
      </c>
      <c r="G234" t="s">
        <v>15</v>
      </c>
      <c r="H234" s="5">
        <v>875000</v>
      </c>
      <c r="I234">
        <v>775000</v>
      </c>
      <c r="J234">
        <v>100000</v>
      </c>
    </row>
    <row r="235" spans="1:10" x14ac:dyDescent="0.3">
      <c r="A235" t="s">
        <v>319</v>
      </c>
      <c r="B235" s="3">
        <v>46080</v>
      </c>
      <c r="C235" t="s">
        <v>53</v>
      </c>
      <c r="D235" t="s">
        <v>54</v>
      </c>
      <c r="E235" t="s">
        <v>43</v>
      </c>
      <c r="F235" t="s">
        <v>20</v>
      </c>
      <c r="G235" t="s">
        <v>15</v>
      </c>
      <c r="H235" s="5">
        <v>1750000</v>
      </c>
      <c r="I235">
        <v>1275000</v>
      </c>
      <c r="J235">
        <v>475000</v>
      </c>
    </row>
    <row r="236" spans="1:10" x14ac:dyDescent="0.3">
      <c r="A236" t="s">
        <v>320</v>
      </c>
      <c r="B236" s="3">
        <v>46080</v>
      </c>
      <c r="C236" t="s">
        <v>22</v>
      </c>
      <c r="D236" t="s">
        <v>23</v>
      </c>
      <c r="E236" t="s">
        <v>24</v>
      </c>
      <c r="F236" t="s">
        <v>20</v>
      </c>
      <c r="G236" t="s">
        <v>40</v>
      </c>
      <c r="H236" s="5">
        <v>425000</v>
      </c>
      <c r="I236">
        <v>0</v>
      </c>
      <c r="J236">
        <v>0</v>
      </c>
    </row>
    <row r="237" spans="1:10" x14ac:dyDescent="0.3">
      <c r="A237" t="s">
        <v>321</v>
      </c>
      <c r="B237" s="3">
        <v>46080</v>
      </c>
      <c r="C237" t="s">
        <v>25</v>
      </c>
      <c r="D237" t="s">
        <v>26</v>
      </c>
      <c r="E237" t="s">
        <v>27</v>
      </c>
      <c r="F237" t="s">
        <v>14</v>
      </c>
      <c r="G237" t="s">
        <v>15</v>
      </c>
      <c r="H237" s="5">
        <v>850000</v>
      </c>
      <c r="I237">
        <v>800000</v>
      </c>
      <c r="J237">
        <v>50000</v>
      </c>
    </row>
    <row r="238" spans="1:10" x14ac:dyDescent="0.3">
      <c r="A238" t="s">
        <v>322</v>
      </c>
      <c r="B238" s="3">
        <v>46080</v>
      </c>
      <c r="C238" t="s">
        <v>25</v>
      </c>
      <c r="D238" t="s">
        <v>26</v>
      </c>
      <c r="E238" t="s">
        <v>27</v>
      </c>
      <c r="F238" t="s">
        <v>20</v>
      </c>
      <c r="G238" t="s">
        <v>34</v>
      </c>
      <c r="H238" s="5">
        <v>425000</v>
      </c>
      <c r="I238">
        <v>0</v>
      </c>
      <c r="J238">
        <v>0</v>
      </c>
    </row>
    <row r="239" spans="1:10" x14ac:dyDescent="0.3">
      <c r="A239" t="s">
        <v>323</v>
      </c>
      <c r="B239" s="3">
        <v>46081</v>
      </c>
      <c r="C239" t="s">
        <v>62</v>
      </c>
      <c r="D239" t="s">
        <v>63</v>
      </c>
      <c r="E239" t="s">
        <v>52</v>
      </c>
      <c r="F239" t="s">
        <v>20</v>
      </c>
      <c r="G239" t="s">
        <v>40</v>
      </c>
      <c r="H239" s="5">
        <v>700000</v>
      </c>
      <c r="I239">
        <v>525000</v>
      </c>
      <c r="J239">
        <v>175000</v>
      </c>
    </row>
    <row r="240" spans="1:10" x14ac:dyDescent="0.3">
      <c r="A240" t="s">
        <v>324</v>
      </c>
      <c r="B240" s="3">
        <v>46081</v>
      </c>
      <c r="C240" t="s">
        <v>59</v>
      </c>
      <c r="D240" t="s">
        <v>60</v>
      </c>
      <c r="E240" t="s">
        <v>19</v>
      </c>
      <c r="F240" t="s">
        <v>20</v>
      </c>
      <c r="G240" t="s">
        <v>57</v>
      </c>
      <c r="H240" s="5">
        <v>30000</v>
      </c>
      <c r="I240">
        <v>25000</v>
      </c>
      <c r="J240">
        <v>5000</v>
      </c>
    </row>
    <row r="241" spans="1:10" x14ac:dyDescent="0.3">
      <c r="A241" t="s">
        <v>325</v>
      </c>
      <c r="B241" s="3">
        <v>46082</v>
      </c>
      <c r="C241" t="s">
        <v>38</v>
      </c>
      <c r="D241" t="s">
        <v>39</v>
      </c>
      <c r="E241" t="s">
        <v>24</v>
      </c>
      <c r="F241" t="s">
        <v>20</v>
      </c>
      <c r="G241" t="s">
        <v>61</v>
      </c>
      <c r="H241" s="5">
        <v>125000</v>
      </c>
      <c r="I241">
        <v>125000</v>
      </c>
      <c r="J241">
        <v>0</v>
      </c>
    </row>
    <row r="242" spans="1:10" x14ac:dyDescent="0.3">
      <c r="A242" t="s">
        <v>326</v>
      </c>
      <c r="B242" s="3">
        <v>46082</v>
      </c>
      <c r="C242" t="s">
        <v>38</v>
      </c>
      <c r="D242" t="s">
        <v>39</v>
      </c>
      <c r="E242" t="s">
        <v>24</v>
      </c>
      <c r="F242" t="s">
        <v>14</v>
      </c>
      <c r="G242" t="s">
        <v>15</v>
      </c>
      <c r="H242" s="5">
        <v>3325000</v>
      </c>
      <c r="I242">
        <v>2975000</v>
      </c>
      <c r="J242">
        <v>350000</v>
      </c>
    </row>
    <row r="243" spans="1:10" x14ac:dyDescent="0.3">
      <c r="A243" t="s">
        <v>327</v>
      </c>
      <c r="B243" s="3">
        <v>46083</v>
      </c>
      <c r="C243" t="s">
        <v>46</v>
      </c>
      <c r="D243" t="s">
        <v>47</v>
      </c>
      <c r="E243" t="s">
        <v>37</v>
      </c>
      <c r="F243" t="s">
        <v>14</v>
      </c>
      <c r="G243" t="s">
        <v>40</v>
      </c>
      <c r="H243" s="5">
        <v>850000</v>
      </c>
      <c r="I243">
        <v>675000</v>
      </c>
      <c r="J243">
        <v>175000</v>
      </c>
    </row>
    <row r="244" spans="1:10" x14ac:dyDescent="0.3">
      <c r="A244" t="s">
        <v>328</v>
      </c>
      <c r="B244" s="3">
        <v>46083</v>
      </c>
      <c r="C244" t="s">
        <v>35</v>
      </c>
      <c r="D244" t="s">
        <v>36</v>
      </c>
      <c r="E244" t="s">
        <v>37</v>
      </c>
      <c r="F244" t="s">
        <v>14</v>
      </c>
      <c r="G244" t="s">
        <v>31</v>
      </c>
      <c r="H244" s="5">
        <v>600000</v>
      </c>
      <c r="I244">
        <v>450000</v>
      </c>
      <c r="J244">
        <v>150000</v>
      </c>
    </row>
    <row r="245" spans="1:10" x14ac:dyDescent="0.3">
      <c r="A245" t="s">
        <v>329</v>
      </c>
      <c r="B245" s="3">
        <v>46084</v>
      </c>
      <c r="C245" t="s">
        <v>55</v>
      </c>
      <c r="D245" t="s">
        <v>56</v>
      </c>
      <c r="E245" t="s">
        <v>24</v>
      </c>
      <c r="F245" t="s">
        <v>20</v>
      </c>
      <c r="G245" t="s">
        <v>31</v>
      </c>
      <c r="H245" s="5">
        <v>700000</v>
      </c>
      <c r="I245">
        <v>675000</v>
      </c>
      <c r="J245">
        <v>25000</v>
      </c>
    </row>
    <row r="246" spans="1:10" x14ac:dyDescent="0.3">
      <c r="A246" t="s">
        <v>330</v>
      </c>
      <c r="B246" s="3">
        <v>46084</v>
      </c>
      <c r="C246" t="s">
        <v>38</v>
      </c>
      <c r="D246" t="s">
        <v>39</v>
      </c>
      <c r="E246" t="s">
        <v>24</v>
      </c>
      <c r="F246" t="s">
        <v>20</v>
      </c>
      <c r="G246" t="s">
        <v>15</v>
      </c>
      <c r="H246" s="5">
        <v>875000</v>
      </c>
      <c r="I246">
        <v>0</v>
      </c>
      <c r="J246">
        <v>0</v>
      </c>
    </row>
    <row r="247" spans="1:10" x14ac:dyDescent="0.3">
      <c r="A247" t="s">
        <v>331</v>
      </c>
      <c r="B247" s="3">
        <v>46085</v>
      </c>
      <c r="C247" t="s">
        <v>38</v>
      </c>
      <c r="D247" t="s">
        <v>39</v>
      </c>
      <c r="E247" t="s">
        <v>24</v>
      </c>
      <c r="F247" t="s">
        <v>14</v>
      </c>
      <c r="G247" t="s">
        <v>34</v>
      </c>
      <c r="H247" s="5">
        <v>100000</v>
      </c>
      <c r="I247">
        <v>0</v>
      </c>
      <c r="J247">
        <v>0</v>
      </c>
    </row>
    <row r="248" spans="1:10" x14ac:dyDescent="0.3">
      <c r="A248" t="s">
        <v>332</v>
      </c>
      <c r="B248" s="3">
        <v>46085</v>
      </c>
      <c r="C248" t="s">
        <v>50</v>
      </c>
      <c r="D248" t="s">
        <v>51</v>
      </c>
      <c r="E248" t="s">
        <v>52</v>
      </c>
      <c r="F248" t="s">
        <v>20</v>
      </c>
      <c r="G248" t="s">
        <v>28</v>
      </c>
      <c r="H248" s="5">
        <v>405000</v>
      </c>
      <c r="I248">
        <v>325000</v>
      </c>
      <c r="J248">
        <v>80000</v>
      </c>
    </row>
    <row r="249" spans="1:10" x14ac:dyDescent="0.3">
      <c r="A249" t="s">
        <v>333</v>
      </c>
      <c r="B249" s="3">
        <v>46086</v>
      </c>
      <c r="C249" t="s">
        <v>46</v>
      </c>
      <c r="D249" t="s">
        <v>47</v>
      </c>
      <c r="E249" t="s">
        <v>37</v>
      </c>
      <c r="F249" t="s">
        <v>14</v>
      </c>
      <c r="G249" t="s">
        <v>58</v>
      </c>
      <c r="H249" s="5">
        <v>750000</v>
      </c>
      <c r="I249">
        <v>725000</v>
      </c>
      <c r="J249">
        <v>25000</v>
      </c>
    </row>
    <row r="250" spans="1:10" x14ac:dyDescent="0.3">
      <c r="A250" t="s">
        <v>334</v>
      </c>
      <c r="B250" s="3">
        <v>46086</v>
      </c>
      <c r="C250" t="s">
        <v>29</v>
      </c>
      <c r="D250" t="s">
        <v>30</v>
      </c>
      <c r="E250" t="s">
        <v>13</v>
      </c>
      <c r="F250" t="s">
        <v>20</v>
      </c>
      <c r="G250" t="s">
        <v>28</v>
      </c>
      <c r="H250" s="5">
        <v>30000</v>
      </c>
      <c r="I250">
        <v>25000</v>
      </c>
      <c r="J250">
        <v>5000</v>
      </c>
    </row>
    <row r="251" spans="1:10" x14ac:dyDescent="0.3">
      <c r="A251" t="s">
        <v>335</v>
      </c>
      <c r="B251" s="3">
        <v>46086</v>
      </c>
      <c r="C251" t="s">
        <v>11</v>
      </c>
      <c r="D251" t="s">
        <v>12</v>
      </c>
      <c r="E251" t="s">
        <v>13</v>
      </c>
      <c r="F251" t="s">
        <v>14</v>
      </c>
      <c r="G251" t="s">
        <v>31</v>
      </c>
      <c r="H251" s="5">
        <v>1100000</v>
      </c>
      <c r="I251">
        <v>875000</v>
      </c>
      <c r="J251">
        <v>225000</v>
      </c>
    </row>
    <row r="252" spans="1:10" x14ac:dyDescent="0.3">
      <c r="A252" t="s">
        <v>336</v>
      </c>
      <c r="B252" s="3">
        <v>46087</v>
      </c>
      <c r="C252" t="s">
        <v>55</v>
      </c>
      <c r="D252" t="s">
        <v>56</v>
      </c>
      <c r="E252" t="s">
        <v>24</v>
      </c>
      <c r="F252" t="s">
        <v>14</v>
      </c>
      <c r="G252" t="s">
        <v>57</v>
      </c>
      <c r="H252" s="5">
        <v>130000</v>
      </c>
      <c r="I252">
        <v>100000</v>
      </c>
      <c r="J252">
        <v>30000</v>
      </c>
    </row>
    <row r="253" spans="1:10" x14ac:dyDescent="0.3">
      <c r="A253" t="s">
        <v>337</v>
      </c>
      <c r="B253" s="3">
        <v>46087</v>
      </c>
      <c r="C253" t="s">
        <v>11</v>
      </c>
      <c r="D253" t="s">
        <v>12</v>
      </c>
      <c r="E253" t="s">
        <v>13</v>
      </c>
      <c r="F253" t="s">
        <v>14</v>
      </c>
      <c r="G253" t="s">
        <v>31</v>
      </c>
      <c r="H253" s="5">
        <v>1025000</v>
      </c>
      <c r="I253">
        <v>0</v>
      </c>
      <c r="J253">
        <v>0</v>
      </c>
    </row>
    <row r="254" spans="1:10" x14ac:dyDescent="0.3">
      <c r="A254" t="s">
        <v>338</v>
      </c>
      <c r="B254" s="3">
        <v>46087</v>
      </c>
      <c r="C254" t="s">
        <v>35</v>
      </c>
      <c r="D254" t="s">
        <v>36</v>
      </c>
      <c r="E254" t="s">
        <v>37</v>
      </c>
      <c r="F254" t="s">
        <v>14</v>
      </c>
      <c r="G254" t="s">
        <v>61</v>
      </c>
      <c r="H254" s="5">
        <v>575000</v>
      </c>
      <c r="I254">
        <v>525000</v>
      </c>
      <c r="J254">
        <v>50000</v>
      </c>
    </row>
    <row r="255" spans="1:10" x14ac:dyDescent="0.3">
      <c r="A255" t="s">
        <v>339</v>
      </c>
      <c r="B255" s="3">
        <v>46087</v>
      </c>
      <c r="C255" t="s">
        <v>50</v>
      </c>
      <c r="D255" t="s">
        <v>51</v>
      </c>
      <c r="E255" t="s">
        <v>52</v>
      </c>
      <c r="F255" t="s">
        <v>20</v>
      </c>
      <c r="G255" t="s">
        <v>28</v>
      </c>
      <c r="H255" s="5">
        <v>280000</v>
      </c>
      <c r="I255">
        <v>0</v>
      </c>
      <c r="J255">
        <v>0</v>
      </c>
    </row>
    <row r="256" spans="1:10" x14ac:dyDescent="0.3">
      <c r="A256" t="s">
        <v>340</v>
      </c>
      <c r="B256" s="3">
        <v>46087</v>
      </c>
      <c r="C256" t="s">
        <v>64</v>
      </c>
      <c r="D256" t="s">
        <v>65</v>
      </c>
      <c r="E256" t="s">
        <v>37</v>
      </c>
      <c r="F256" t="s">
        <v>14</v>
      </c>
      <c r="G256" t="s">
        <v>40</v>
      </c>
      <c r="H256" s="5">
        <v>525000</v>
      </c>
      <c r="I256">
        <v>0</v>
      </c>
      <c r="J256">
        <v>0</v>
      </c>
    </row>
    <row r="257" spans="1:10" x14ac:dyDescent="0.3">
      <c r="A257" t="s">
        <v>341</v>
      </c>
      <c r="B257" s="3">
        <v>46087</v>
      </c>
      <c r="C257" t="s">
        <v>53</v>
      </c>
      <c r="D257" t="s">
        <v>54</v>
      </c>
      <c r="E257" t="s">
        <v>43</v>
      </c>
      <c r="F257" t="s">
        <v>20</v>
      </c>
      <c r="G257" t="s">
        <v>40</v>
      </c>
      <c r="H257" s="5">
        <v>675000</v>
      </c>
      <c r="I257">
        <v>625000</v>
      </c>
      <c r="J257">
        <v>50000</v>
      </c>
    </row>
    <row r="258" spans="1:10" x14ac:dyDescent="0.3">
      <c r="A258" t="s">
        <v>342</v>
      </c>
      <c r="B258" s="3">
        <v>46087</v>
      </c>
      <c r="C258" t="s">
        <v>53</v>
      </c>
      <c r="D258" t="s">
        <v>54</v>
      </c>
      <c r="E258" t="s">
        <v>43</v>
      </c>
      <c r="F258" t="s">
        <v>14</v>
      </c>
      <c r="G258" t="s">
        <v>15</v>
      </c>
      <c r="H258" s="5">
        <v>3250000</v>
      </c>
      <c r="I258">
        <v>0</v>
      </c>
      <c r="J258">
        <v>0</v>
      </c>
    </row>
    <row r="259" spans="1:10" x14ac:dyDescent="0.3">
      <c r="A259" t="s">
        <v>343</v>
      </c>
      <c r="B259" s="3">
        <v>46087</v>
      </c>
      <c r="C259" t="s">
        <v>22</v>
      </c>
      <c r="D259" t="s">
        <v>23</v>
      </c>
      <c r="E259" t="s">
        <v>24</v>
      </c>
      <c r="F259" t="s">
        <v>14</v>
      </c>
      <c r="G259" t="s">
        <v>34</v>
      </c>
      <c r="H259" s="5">
        <v>150000</v>
      </c>
      <c r="I259">
        <v>125000</v>
      </c>
      <c r="J259">
        <v>25000</v>
      </c>
    </row>
    <row r="260" spans="1:10" x14ac:dyDescent="0.3">
      <c r="A260" t="s">
        <v>344</v>
      </c>
      <c r="B260" s="3">
        <v>46088</v>
      </c>
      <c r="C260" t="s">
        <v>32</v>
      </c>
      <c r="D260" t="s">
        <v>33</v>
      </c>
      <c r="E260" t="s">
        <v>27</v>
      </c>
      <c r="F260" t="s">
        <v>14</v>
      </c>
      <c r="G260" t="s">
        <v>57</v>
      </c>
      <c r="H260" s="5">
        <v>280000</v>
      </c>
      <c r="I260">
        <v>225000</v>
      </c>
      <c r="J260">
        <v>55000</v>
      </c>
    </row>
    <row r="261" spans="1:10" x14ac:dyDescent="0.3">
      <c r="A261" t="s">
        <v>345</v>
      </c>
      <c r="B261" s="3">
        <v>46088</v>
      </c>
      <c r="C261" t="s">
        <v>11</v>
      </c>
      <c r="D261" t="s">
        <v>12</v>
      </c>
      <c r="E261" t="s">
        <v>13</v>
      </c>
      <c r="F261" t="s">
        <v>20</v>
      </c>
      <c r="G261" t="s">
        <v>61</v>
      </c>
      <c r="H261" s="5">
        <v>675000</v>
      </c>
      <c r="I261">
        <v>550000</v>
      </c>
      <c r="J261">
        <v>125000</v>
      </c>
    </row>
    <row r="262" spans="1:10" x14ac:dyDescent="0.3">
      <c r="A262" t="s">
        <v>346</v>
      </c>
      <c r="B262" s="3">
        <v>46088</v>
      </c>
      <c r="C262" t="s">
        <v>38</v>
      </c>
      <c r="D262" t="s">
        <v>39</v>
      </c>
      <c r="E262" t="s">
        <v>24</v>
      </c>
      <c r="F262" t="s">
        <v>14</v>
      </c>
      <c r="G262" t="s">
        <v>40</v>
      </c>
      <c r="H262" s="5">
        <v>200000</v>
      </c>
      <c r="I262">
        <v>150000</v>
      </c>
      <c r="J262">
        <v>50000</v>
      </c>
    </row>
    <row r="263" spans="1:10" x14ac:dyDescent="0.3">
      <c r="A263" t="s">
        <v>347</v>
      </c>
      <c r="B263" s="3">
        <v>46088</v>
      </c>
      <c r="C263" t="s">
        <v>66</v>
      </c>
      <c r="D263" t="s">
        <v>67</v>
      </c>
      <c r="E263" t="s">
        <v>13</v>
      </c>
      <c r="F263" t="s">
        <v>14</v>
      </c>
      <c r="G263" t="s">
        <v>31</v>
      </c>
      <c r="H263" s="5">
        <v>550000</v>
      </c>
      <c r="I263">
        <v>0</v>
      </c>
      <c r="J263">
        <v>0</v>
      </c>
    </row>
    <row r="264" spans="1:10" x14ac:dyDescent="0.3">
      <c r="A264" t="s">
        <v>348</v>
      </c>
      <c r="B264" s="3">
        <v>46089</v>
      </c>
      <c r="C264" t="s">
        <v>48</v>
      </c>
      <c r="D264" t="s">
        <v>49</v>
      </c>
      <c r="E264" t="s">
        <v>19</v>
      </c>
      <c r="F264" t="s">
        <v>14</v>
      </c>
      <c r="G264" t="s">
        <v>28</v>
      </c>
      <c r="H264" s="5">
        <v>80000</v>
      </c>
      <c r="I264">
        <v>0</v>
      </c>
      <c r="J264">
        <v>0</v>
      </c>
    </row>
    <row r="265" spans="1:10" x14ac:dyDescent="0.3">
      <c r="A265" t="s">
        <v>349</v>
      </c>
      <c r="B265" s="3">
        <v>46089</v>
      </c>
      <c r="C265" t="s">
        <v>11</v>
      </c>
      <c r="D265" t="s">
        <v>12</v>
      </c>
      <c r="E265" t="s">
        <v>13</v>
      </c>
      <c r="F265" t="s">
        <v>14</v>
      </c>
      <c r="G265" t="s">
        <v>34</v>
      </c>
      <c r="H265" s="5">
        <v>400000</v>
      </c>
      <c r="I265">
        <v>375000</v>
      </c>
      <c r="J265">
        <v>25000</v>
      </c>
    </row>
    <row r="266" spans="1:10" x14ac:dyDescent="0.3">
      <c r="A266" t="s">
        <v>350</v>
      </c>
      <c r="B266" s="3">
        <v>46089</v>
      </c>
      <c r="C266" t="s">
        <v>68</v>
      </c>
      <c r="D266" t="s">
        <v>69</v>
      </c>
      <c r="E266" t="s">
        <v>27</v>
      </c>
      <c r="F266" t="s">
        <v>20</v>
      </c>
      <c r="G266" t="s">
        <v>57</v>
      </c>
      <c r="H266" s="5">
        <v>405000</v>
      </c>
      <c r="I266">
        <v>0</v>
      </c>
      <c r="J266">
        <v>0</v>
      </c>
    </row>
    <row r="267" spans="1:10" x14ac:dyDescent="0.3">
      <c r="A267" t="s">
        <v>351</v>
      </c>
      <c r="B267" s="3">
        <v>46089</v>
      </c>
      <c r="C267" t="s">
        <v>68</v>
      </c>
      <c r="D267" t="s">
        <v>69</v>
      </c>
      <c r="E267" t="s">
        <v>27</v>
      </c>
      <c r="F267" t="s">
        <v>14</v>
      </c>
      <c r="G267" t="s">
        <v>34</v>
      </c>
      <c r="H267" s="5">
        <v>250000</v>
      </c>
      <c r="I267">
        <v>225000</v>
      </c>
      <c r="J267">
        <v>25000</v>
      </c>
    </row>
    <row r="268" spans="1:10" x14ac:dyDescent="0.3">
      <c r="A268" t="s">
        <v>352</v>
      </c>
      <c r="B268" s="3">
        <v>46090</v>
      </c>
      <c r="C268" t="s">
        <v>38</v>
      </c>
      <c r="D268" t="s">
        <v>39</v>
      </c>
      <c r="E268" t="s">
        <v>24</v>
      </c>
      <c r="F268" t="s">
        <v>20</v>
      </c>
      <c r="G268" t="s">
        <v>61</v>
      </c>
      <c r="H268" s="5">
        <v>600000</v>
      </c>
      <c r="I268">
        <v>575000</v>
      </c>
      <c r="J268">
        <v>25000</v>
      </c>
    </row>
    <row r="269" spans="1:10" x14ac:dyDescent="0.3">
      <c r="A269" t="s">
        <v>353</v>
      </c>
      <c r="B269" s="3">
        <v>46090</v>
      </c>
      <c r="C269" t="s">
        <v>25</v>
      </c>
      <c r="D269" t="s">
        <v>26</v>
      </c>
      <c r="E269" t="s">
        <v>27</v>
      </c>
      <c r="F269" t="s">
        <v>20</v>
      </c>
      <c r="G269" t="s">
        <v>61</v>
      </c>
      <c r="H269" s="5">
        <v>175000</v>
      </c>
      <c r="I269">
        <v>150000</v>
      </c>
      <c r="J269">
        <v>25000</v>
      </c>
    </row>
    <row r="270" spans="1:10" x14ac:dyDescent="0.3">
      <c r="A270" t="s">
        <v>354</v>
      </c>
      <c r="B270" s="3">
        <v>46091</v>
      </c>
      <c r="C270" t="s">
        <v>32</v>
      </c>
      <c r="D270" t="s">
        <v>33</v>
      </c>
      <c r="E270" t="s">
        <v>27</v>
      </c>
      <c r="F270" t="s">
        <v>14</v>
      </c>
      <c r="G270" t="s">
        <v>40</v>
      </c>
      <c r="H270" s="5">
        <v>400000</v>
      </c>
      <c r="I270">
        <v>0</v>
      </c>
      <c r="J270">
        <v>0</v>
      </c>
    </row>
    <row r="271" spans="1:10" x14ac:dyDescent="0.3">
      <c r="A271" t="s">
        <v>355</v>
      </c>
      <c r="B271" s="3">
        <v>46091</v>
      </c>
      <c r="C271" t="s">
        <v>48</v>
      </c>
      <c r="D271" t="s">
        <v>49</v>
      </c>
      <c r="E271" t="s">
        <v>19</v>
      </c>
      <c r="F271" t="s">
        <v>14</v>
      </c>
      <c r="G271" t="s">
        <v>34</v>
      </c>
      <c r="H271" s="5">
        <v>475000</v>
      </c>
      <c r="I271">
        <v>375000</v>
      </c>
      <c r="J271">
        <v>100000</v>
      </c>
    </row>
    <row r="272" spans="1:10" x14ac:dyDescent="0.3">
      <c r="A272" t="s">
        <v>356</v>
      </c>
      <c r="B272" s="3">
        <v>46091</v>
      </c>
      <c r="C272" t="s">
        <v>48</v>
      </c>
      <c r="D272" t="s">
        <v>49</v>
      </c>
      <c r="E272" t="s">
        <v>19</v>
      </c>
      <c r="F272" t="s">
        <v>14</v>
      </c>
      <c r="G272" t="s">
        <v>31</v>
      </c>
      <c r="H272" s="5">
        <v>450000</v>
      </c>
      <c r="I272">
        <v>350000</v>
      </c>
      <c r="J272">
        <v>100000</v>
      </c>
    </row>
    <row r="273" spans="1:10" x14ac:dyDescent="0.3">
      <c r="A273" t="s">
        <v>357</v>
      </c>
      <c r="B273" s="3">
        <v>46091</v>
      </c>
      <c r="C273" t="s">
        <v>11</v>
      </c>
      <c r="D273" t="s">
        <v>12</v>
      </c>
      <c r="E273" t="s">
        <v>13</v>
      </c>
      <c r="F273" t="s">
        <v>14</v>
      </c>
      <c r="G273" t="s">
        <v>15</v>
      </c>
      <c r="H273" s="5">
        <v>3425000</v>
      </c>
      <c r="I273">
        <v>0</v>
      </c>
      <c r="J273">
        <v>0</v>
      </c>
    </row>
    <row r="274" spans="1:10" x14ac:dyDescent="0.3">
      <c r="A274" t="s">
        <v>358</v>
      </c>
      <c r="B274" s="3">
        <v>46091</v>
      </c>
      <c r="C274" t="s">
        <v>38</v>
      </c>
      <c r="D274" t="s">
        <v>39</v>
      </c>
      <c r="E274" t="s">
        <v>24</v>
      </c>
      <c r="F274" t="s">
        <v>20</v>
      </c>
      <c r="G274" t="s">
        <v>34</v>
      </c>
      <c r="H274" s="5">
        <v>175000</v>
      </c>
      <c r="I274">
        <v>0</v>
      </c>
      <c r="J274">
        <v>0</v>
      </c>
    </row>
    <row r="275" spans="1:10" x14ac:dyDescent="0.3">
      <c r="A275" t="s">
        <v>359</v>
      </c>
      <c r="B275" s="3">
        <v>46092</v>
      </c>
      <c r="C275" t="s">
        <v>17</v>
      </c>
      <c r="D275" t="s">
        <v>18</v>
      </c>
      <c r="E275" t="s">
        <v>19</v>
      </c>
      <c r="F275" t="s">
        <v>14</v>
      </c>
      <c r="G275" t="s">
        <v>58</v>
      </c>
      <c r="H275" s="5">
        <v>475000</v>
      </c>
      <c r="I275">
        <v>425000</v>
      </c>
      <c r="J275">
        <v>50000</v>
      </c>
    </row>
    <row r="276" spans="1:10" x14ac:dyDescent="0.3">
      <c r="A276" t="s">
        <v>360</v>
      </c>
      <c r="B276" s="3">
        <v>46092</v>
      </c>
      <c r="C276" t="s">
        <v>25</v>
      </c>
      <c r="D276" t="s">
        <v>26</v>
      </c>
      <c r="E276" t="s">
        <v>27</v>
      </c>
      <c r="F276" t="s">
        <v>20</v>
      </c>
      <c r="G276" t="s">
        <v>34</v>
      </c>
      <c r="H276" s="5">
        <v>325000</v>
      </c>
      <c r="I276">
        <v>300000</v>
      </c>
      <c r="J276">
        <v>25000</v>
      </c>
    </row>
    <row r="277" spans="1:10" x14ac:dyDescent="0.3">
      <c r="A277" t="s">
        <v>361</v>
      </c>
      <c r="B277" s="3">
        <v>46092</v>
      </c>
      <c r="C277" t="s">
        <v>25</v>
      </c>
      <c r="D277" t="s">
        <v>26</v>
      </c>
      <c r="E277" t="s">
        <v>27</v>
      </c>
      <c r="F277" t="s">
        <v>20</v>
      </c>
      <c r="G277" t="s">
        <v>34</v>
      </c>
      <c r="H277" s="5">
        <v>275000</v>
      </c>
      <c r="I277">
        <v>200000</v>
      </c>
      <c r="J277">
        <v>75000</v>
      </c>
    </row>
    <row r="278" spans="1:10" x14ac:dyDescent="0.3">
      <c r="A278" t="s">
        <v>362</v>
      </c>
      <c r="B278" s="3">
        <v>46093</v>
      </c>
      <c r="C278" t="s">
        <v>32</v>
      </c>
      <c r="D278" t="s">
        <v>33</v>
      </c>
      <c r="E278" t="s">
        <v>27</v>
      </c>
      <c r="F278" t="s">
        <v>14</v>
      </c>
      <c r="G278" t="s">
        <v>61</v>
      </c>
      <c r="H278" s="5">
        <v>425000</v>
      </c>
      <c r="I278">
        <v>375000</v>
      </c>
      <c r="J278">
        <v>50000</v>
      </c>
    </row>
    <row r="279" spans="1:10" x14ac:dyDescent="0.3">
      <c r="A279" t="s">
        <v>363</v>
      </c>
      <c r="B279" s="3">
        <v>46093</v>
      </c>
      <c r="C279" t="s">
        <v>55</v>
      </c>
      <c r="D279" t="s">
        <v>56</v>
      </c>
      <c r="E279" t="s">
        <v>24</v>
      </c>
      <c r="F279" t="s">
        <v>14</v>
      </c>
      <c r="G279" t="s">
        <v>15</v>
      </c>
      <c r="H279" s="5">
        <v>1225000</v>
      </c>
      <c r="I279">
        <v>875000</v>
      </c>
      <c r="J279">
        <v>350000</v>
      </c>
    </row>
    <row r="280" spans="1:10" x14ac:dyDescent="0.3">
      <c r="A280" t="s">
        <v>364</v>
      </c>
      <c r="B280" s="3">
        <v>46093</v>
      </c>
      <c r="C280" t="s">
        <v>38</v>
      </c>
      <c r="D280" t="s">
        <v>39</v>
      </c>
      <c r="E280" t="s">
        <v>24</v>
      </c>
      <c r="F280" t="s">
        <v>20</v>
      </c>
      <c r="G280" t="s">
        <v>58</v>
      </c>
      <c r="H280" s="5">
        <v>300000</v>
      </c>
      <c r="I280">
        <v>250000</v>
      </c>
      <c r="J280">
        <v>50000</v>
      </c>
    </row>
    <row r="281" spans="1:10" x14ac:dyDescent="0.3">
      <c r="A281" t="s">
        <v>365</v>
      </c>
      <c r="B281" s="3">
        <v>46093</v>
      </c>
      <c r="C281" t="s">
        <v>68</v>
      </c>
      <c r="D281" t="s">
        <v>69</v>
      </c>
      <c r="E281" t="s">
        <v>27</v>
      </c>
      <c r="F281" t="s">
        <v>14</v>
      </c>
      <c r="G281" t="s">
        <v>58</v>
      </c>
      <c r="H281" s="5">
        <v>825000</v>
      </c>
      <c r="I281">
        <v>0</v>
      </c>
      <c r="J281">
        <v>0</v>
      </c>
    </row>
    <row r="282" spans="1:10" x14ac:dyDescent="0.3">
      <c r="A282" t="s">
        <v>366</v>
      </c>
      <c r="B282" s="3">
        <v>46093</v>
      </c>
      <c r="C282" t="s">
        <v>68</v>
      </c>
      <c r="D282" t="s">
        <v>69</v>
      </c>
      <c r="E282" t="s">
        <v>27</v>
      </c>
      <c r="F282" t="s">
        <v>20</v>
      </c>
      <c r="G282" t="s">
        <v>58</v>
      </c>
      <c r="H282" s="5">
        <v>325000</v>
      </c>
      <c r="I282">
        <v>0</v>
      </c>
      <c r="J282">
        <v>0</v>
      </c>
    </row>
    <row r="283" spans="1:10" x14ac:dyDescent="0.3">
      <c r="A283" t="s">
        <v>367</v>
      </c>
      <c r="B283" s="3">
        <v>46093</v>
      </c>
      <c r="C283" t="s">
        <v>50</v>
      </c>
      <c r="D283" t="s">
        <v>51</v>
      </c>
      <c r="E283" t="s">
        <v>52</v>
      </c>
      <c r="F283" t="s">
        <v>20</v>
      </c>
      <c r="G283" t="s">
        <v>15</v>
      </c>
      <c r="H283" s="5">
        <v>975000</v>
      </c>
      <c r="I283">
        <v>825000</v>
      </c>
      <c r="J283">
        <v>150000</v>
      </c>
    </row>
    <row r="284" spans="1:10" x14ac:dyDescent="0.3">
      <c r="A284" t="s">
        <v>368</v>
      </c>
      <c r="B284" s="3">
        <v>46093</v>
      </c>
      <c r="C284" t="s">
        <v>64</v>
      </c>
      <c r="D284" t="s">
        <v>65</v>
      </c>
      <c r="E284" t="s">
        <v>37</v>
      </c>
      <c r="F284" t="s">
        <v>14</v>
      </c>
      <c r="G284" t="s">
        <v>31</v>
      </c>
      <c r="H284" s="5">
        <v>300000</v>
      </c>
      <c r="I284">
        <v>275000</v>
      </c>
      <c r="J284">
        <v>25000</v>
      </c>
    </row>
    <row r="285" spans="1:10" x14ac:dyDescent="0.3">
      <c r="A285" t="s">
        <v>369</v>
      </c>
      <c r="B285" s="3">
        <v>46093</v>
      </c>
      <c r="C285" t="s">
        <v>53</v>
      </c>
      <c r="D285" t="s">
        <v>54</v>
      </c>
      <c r="E285" t="s">
        <v>43</v>
      </c>
      <c r="F285" t="s">
        <v>20</v>
      </c>
      <c r="G285" t="s">
        <v>28</v>
      </c>
      <c r="H285" s="5">
        <v>355000</v>
      </c>
      <c r="I285">
        <v>350000</v>
      </c>
      <c r="J285">
        <v>5000</v>
      </c>
    </row>
    <row r="286" spans="1:10" x14ac:dyDescent="0.3">
      <c r="A286" t="s">
        <v>370</v>
      </c>
      <c r="B286" s="3">
        <v>46094</v>
      </c>
      <c r="C286" t="s">
        <v>29</v>
      </c>
      <c r="D286" t="s">
        <v>30</v>
      </c>
      <c r="E286" t="s">
        <v>13</v>
      </c>
      <c r="F286" t="s">
        <v>20</v>
      </c>
      <c r="G286" t="s">
        <v>28</v>
      </c>
      <c r="H286" s="5">
        <v>130000</v>
      </c>
      <c r="I286">
        <v>100000</v>
      </c>
      <c r="J286">
        <v>30000</v>
      </c>
    </row>
    <row r="287" spans="1:10" x14ac:dyDescent="0.3">
      <c r="A287" t="s">
        <v>371</v>
      </c>
      <c r="B287" s="3">
        <v>46094</v>
      </c>
      <c r="C287" t="s">
        <v>62</v>
      </c>
      <c r="D287" t="s">
        <v>63</v>
      </c>
      <c r="E287" t="s">
        <v>52</v>
      </c>
      <c r="F287" t="s">
        <v>14</v>
      </c>
      <c r="G287" t="s">
        <v>28</v>
      </c>
      <c r="H287" s="5">
        <v>405000</v>
      </c>
      <c r="I287">
        <v>300000</v>
      </c>
      <c r="J287">
        <v>105000</v>
      </c>
    </row>
    <row r="288" spans="1:10" x14ac:dyDescent="0.3">
      <c r="A288" t="s">
        <v>372</v>
      </c>
      <c r="B288" s="3">
        <v>46094</v>
      </c>
      <c r="C288" t="s">
        <v>68</v>
      </c>
      <c r="D288" t="s">
        <v>69</v>
      </c>
      <c r="E288" t="s">
        <v>27</v>
      </c>
      <c r="F288" t="s">
        <v>20</v>
      </c>
      <c r="G288" t="s">
        <v>15</v>
      </c>
      <c r="H288" s="5">
        <v>2150000</v>
      </c>
      <c r="I288">
        <v>0</v>
      </c>
      <c r="J288">
        <v>0</v>
      </c>
    </row>
    <row r="289" spans="1:10" x14ac:dyDescent="0.3">
      <c r="A289" t="s">
        <v>373</v>
      </c>
      <c r="B289" s="3">
        <v>46094</v>
      </c>
      <c r="C289" t="s">
        <v>50</v>
      </c>
      <c r="D289" t="s">
        <v>51</v>
      </c>
      <c r="E289" t="s">
        <v>52</v>
      </c>
      <c r="F289" t="s">
        <v>20</v>
      </c>
      <c r="G289" t="s">
        <v>28</v>
      </c>
      <c r="H289" s="5">
        <v>280000</v>
      </c>
      <c r="I289">
        <v>275000</v>
      </c>
      <c r="J289">
        <v>5000</v>
      </c>
    </row>
    <row r="290" spans="1:10" x14ac:dyDescent="0.3">
      <c r="A290" t="s">
        <v>374</v>
      </c>
      <c r="B290" s="3">
        <v>46094</v>
      </c>
      <c r="C290" t="s">
        <v>64</v>
      </c>
      <c r="D290" t="s">
        <v>65</v>
      </c>
      <c r="E290" t="s">
        <v>37</v>
      </c>
      <c r="F290" t="s">
        <v>20</v>
      </c>
      <c r="G290" t="s">
        <v>28</v>
      </c>
      <c r="H290" s="5">
        <v>80000</v>
      </c>
      <c r="I290">
        <v>75000</v>
      </c>
      <c r="J290">
        <v>5000</v>
      </c>
    </row>
    <row r="291" spans="1:10" x14ac:dyDescent="0.3">
      <c r="A291" t="s">
        <v>375</v>
      </c>
      <c r="B291" s="3">
        <v>46094</v>
      </c>
      <c r="C291" t="s">
        <v>22</v>
      </c>
      <c r="D291" t="s">
        <v>23</v>
      </c>
      <c r="E291" t="s">
        <v>24</v>
      </c>
      <c r="F291" t="s">
        <v>14</v>
      </c>
      <c r="G291" t="s">
        <v>15</v>
      </c>
      <c r="H291" s="5">
        <v>3900000</v>
      </c>
      <c r="I291">
        <v>2900000</v>
      </c>
      <c r="J291">
        <v>1000000</v>
      </c>
    </row>
    <row r="292" spans="1:10" x14ac:dyDescent="0.3">
      <c r="A292" t="s">
        <v>376</v>
      </c>
      <c r="B292" s="3">
        <v>46095</v>
      </c>
      <c r="C292" t="s">
        <v>48</v>
      </c>
      <c r="D292" t="s">
        <v>49</v>
      </c>
      <c r="E292" t="s">
        <v>19</v>
      </c>
      <c r="F292" t="s">
        <v>14</v>
      </c>
      <c r="G292" t="s">
        <v>34</v>
      </c>
      <c r="H292" s="5">
        <v>450000</v>
      </c>
      <c r="I292">
        <v>0</v>
      </c>
      <c r="J292">
        <v>0</v>
      </c>
    </row>
    <row r="293" spans="1:10" x14ac:dyDescent="0.3">
      <c r="A293" t="s">
        <v>377</v>
      </c>
      <c r="B293" s="3">
        <v>46095</v>
      </c>
      <c r="C293" t="s">
        <v>68</v>
      </c>
      <c r="D293" t="s">
        <v>69</v>
      </c>
      <c r="E293" t="s">
        <v>27</v>
      </c>
      <c r="F293" t="s">
        <v>20</v>
      </c>
      <c r="G293" t="s">
        <v>15</v>
      </c>
      <c r="H293" s="5">
        <v>2725000</v>
      </c>
      <c r="I293">
        <v>2450000</v>
      </c>
      <c r="J293">
        <v>275000</v>
      </c>
    </row>
    <row r="294" spans="1:10" x14ac:dyDescent="0.3">
      <c r="A294" t="s">
        <v>378</v>
      </c>
      <c r="B294" s="3">
        <v>46095</v>
      </c>
      <c r="C294" t="s">
        <v>68</v>
      </c>
      <c r="D294" t="s">
        <v>69</v>
      </c>
      <c r="E294" t="s">
        <v>27</v>
      </c>
      <c r="F294" t="s">
        <v>14</v>
      </c>
      <c r="G294" t="s">
        <v>31</v>
      </c>
      <c r="H294" s="5">
        <v>975000</v>
      </c>
      <c r="I294">
        <v>875000</v>
      </c>
      <c r="J294">
        <v>100000</v>
      </c>
    </row>
    <row r="295" spans="1:10" x14ac:dyDescent="0.3">
      <c r="A295" t="s">
        <v>379</v>
      </c>
      <c r="B295" s="3">
        <v>46095</v>
      </c>
      <c r="C295" t="s">
        <v>22</v>
      </c>
      <c r="D295" t="s">
        <v>23</v>
      </c>
      <c r="E295" t="s">
        <v>24</v>
      </c>
      <c r="F295" t="s">
        <v>20</v>
      </c>
      <c r="G295" t="s">
        <v>34</v>
      </c>
      <c r="H295" s="5">
        <v>150000</v>
      </c>
      <c r="I295">
        <v>150000</v>
      </c>
      <c r="J295">
        <v>0</v>
      </c>
    </row>
    <row r="296" spans="1:10" x14ac:dyDescent="0.3">
      <c r="A296" t="s">
        <v>380</v>
      </c>
      <c r="B296" s="3">
        <v>46096</v>
      </c>
      <c r="C296" t="s">
        <v>29</v>
      </c>
      <c r="D296" t="s">
        <v>30</v>
      </c>
      <c r="E296" t="s">
        <v>13</v>
      </c>
      <c r="F296" t="s">
        <v>20</v>
      </c>
      <c r="G296" t="s">
        <v>57</v>
      </c>
      <c r="H296" s="5">
        <v>255000</v>
      </c>
      <c r="I296">
        <v>0</v>
      </c>
      <c r="J296">
        <v>0</v>
      </c>
    </row>
    <row r="297" spans="1:10" x14ac:dyDescent="0.3">
      <c r="A297" t="s">
        <v>381</v>
      </c>
      <c r="B297" s="3">
        <v>46096</v>
      </c>
      <c r="C297" t="s">
        <v>32</v>
      </c>
      <c r="D297" t="s">
        <v>33</v>
      </c>
      <c r="E297" t="s">
        <v>27</v>
      </c>
      <c r="F297" t="s">
        <v>14</v>
      </c>
      <c r="G297" t="s">
        <v>40</v>
      </c>
      <c r="H297" s="5">
        <v>325000</v>
      </c>
      <c r="I297">
        <v>0</v>
      </c>
      <c r="J297">
        <v>0</v>
      </c>
    </row>
    <row r="298" spans="1:10" x14ac:dyDescent="0.3">
      <c r="A298" t="s">
        <v>382</v>
      </c>
      <c r="B298" s="3">
        <v>46096</v>
      </c>
      <c r="C298" t="s">
        <v>62</v>
      </c>
      <c r="D298" t="s">
        <v>63</v>
      </c>
      <c r="E298" t="s">
        <v>52</v>
      </c>
      <c r="F298" t="s">
        <v>20</v>
      </c>
      <c r="G298" t="s">
        <v>28</v>
      </c>
      <c r="H298" s="5">
        <v>430000</v>
      </c>
      <c r="I298">
        <v>0</v>
      </c>
      <c r="J298">
        <v>0</v>
      </c>
    </row>
    <row r="299" spans="1:10" x14ac:dyDescent="0.3">
      <c r="A299" t="s">
        <v>383</v>
      </c>
      <c r="B299" s="3">
        <v>46097</v>
      </c>
      <c r="C299" t="s">
        <v>22</v>
      </c>
      <c r="D299" t="s">
        <v>23</v>
      </c>
      <c r="E299" t="s">
        <v>24</v>
      </c>
      <c r="F299" t="s">
        <v>14</v>
      </c>
      <c r="G299" t="s">
        <v>57</v>
      </c>
      <c r="H299" s="5">
        <v>480000</v>
      </c>
      <c r="I299">
        <v>0</v>
      </c>
      <c r="J299">
        <v>0</v>
      </c>
    </row>
    <row r="300" spans="1:10" x14ac:dyDescent="0.3">
      <c r="A300" t="s">
        <v>384</v>
      </c>
      <c r="B300" s="3">
        <v>46098</v>
      </c>
      <c r="C300" t="s">
        <v>46</v>
      </c>
      <c r="D300" t="s">
        <v>47</v>
      </c>
      <c r="E300" t="s">
        <v>37</v>
      </c>
      <c r="F300" t="s">
        <v>14</v>
      </c>
      <c r="G300" t="s">
        <v>40</v>
      </c>
      <c r="H300" s="5">
        <v>425000</v>
      </c>
      <c r="I300">
        <v>400000</v>
      </c>
      <c r="J300">
        <v>25000</v>
      </c>
    </row>
    <row r="301" spans="1:10" x14ac:dyDescent="0.3">
      <c r="A301" t="s">
        <v>385</v>
      </c>
      <c r="B301" s="3">
        <v>46098</v>
      </c>
      <c r="C301" t="s">
        <v>29</v>
      </c>
      <c r="D301" t="s">
        <v>30</v>
      </c>
      <c r="E301" t="s">
        <v>13</v>
      </c>
      <c r="F301" t="s">
        <v>14</v>
      </c>
      <c r="G301" t="s">
        <v>34</v>
      </c>
      <c r="H301" s="5">
        <v>450000</v>
      </c>
      <c r="I301">
        <v>350000</v>
      </c>
      <c r="J301">
        <v>100000</v>
      </c>
    </row>
    <row r="302" spans="1:10" x14ac:dyDescent="0.3">
      <c r="A302" t="s">
        <v>386</v>
      </c>
      <c r="B302" s="3">
        <v>46098</v>
      </c>
      <c r="C302" t="s">
        <v>41</v>
      </c>
      <c r="D302" t="s">
        <v>42</v>
      </c>
      <c r="E302" t="s">
        <v>43</v>
      </c>
      <c r="F302" t="s">
        <v>20</v>
      </c>
      <c r="G302" t="s">
        <v>15</v>
      </c>
      <c r="H302" s="5">
        <v>2050000</v>
      </c>
      <c r="I302">
        <v>1750000</v>
      </c>
      <c r="J302">
        <v>300000</v>
      </c>
    </row>
    <row r="303" spans="1:10" x14ac:dyDescent="0.3">
      <c r="A303" t="s">
        <v>387</v>
      </c>
      <c r="B303" s="3">
        <v>46098</v>
      </c>
      <c r="C303" t="s">
        <v>38</v>
      </c>
      <c r="D303" t="s">
        <v>39</v>
      </c>
      <c r="E303" t="s">
        <v>24</v>
      </c>
      <c r="F303" t="s">
        <v>14</v>
      </c>
      <c r="G303" t="s">
        <v>15</v>
      </c>
      <c r="H303" s="5">
        <v>2150000</v>
      </c>
      <c r="I303">
        <v>1575000</v>
      </c>
      <c r="J303">
        <v>575000</v>
      </c>
    </row>
    <row r="304" spans="1:10" x14ac:dyDescent="0.3">
      <c r="A304" t="s">
        <v>388</v>
      </c>
      <c r="B304" s="3">
        <v>46098</v>
      </c>
      <c r="C304" t="s">
        <v>50</v>
      </c>
      <c r="D304" t="s">
        <v>51</v>
      </c>
      <c r="E304" t="s">
        <v>52</v>
      </c>
      <c r="F304" t="s">
        <v>14</v>
      </c>
      <c r="G304" t="s">
        <v>40</v>
      </c>
      <c r="H304" s="5">
        <v>575000</v>
      </c>
      <c r="I304">
        <v>0</v>
      </c>
      <c r="J304">
        <v>0</v>
      </c>
    </row>
    <row r="305" spans="1:10" x14ac:dyDescent="0.3">
      <c r="A305" t="s">
        <v>389</v>
      </c>
      <c r="B305" s="3">
        <v>46098</v>
      </c>
      <c r="C305" t="s">
        <v>22</v>
      </c>
      <c r="D305" t="s">
        <v>23</v>
      </c>
      <c r="E305" t="s">
        <v>24</v>
      </c>
      <c r="F305" t="s">
        <v>20</v>
      </c>
      <c r="G305" t="s">
        <v>28</v>
      </c>
      <c r="H305" s="5">
        <v>155000</v>
      </c>
      <c r="I305">
        <v>150000</v>
      </c>
      <c r="J305">
        <v>5000</v>
      </c>
    </row>
    <row r="306" spans="1:10" x14ac:dyDescent="0.3">
      <c r="A306" t="s">
        <v>390</v>
      </c>
      <c r="B306" s="3">
        <v>46099</v>
      </c>
      <c r="C306" t="s">
        <v>46</v>
      </c>
      <c r="D306" t="s">
        <v>47</v>
      </c>
      <c r="E306" t="s">
        <v>37</v>
      </c>
      <c r="F306" t="s">
        <v>14</v>
      </c>
      <c r="G306" t="s">
        <v>28</v>
      </c>
      <c r="H306" s="5">
        <v>405000</v>
      </c>
      <c r="I306">
        <v>325000</v>
      </c>
      <c r="J306">
        <v>80000</v>
      </c>
    </row>
    <row r="307" spans="1:10" x14ac:dyDescent="0.3">
      <c r="A307" t="s">
        <v>391</v>
      </c>
      <c r="B307" s="3">
        <v>46099</v>
      </c>
      <c r="C307" t="s">
        <v>29</v>
      </c>
      <c r="D307" t="s">
        <v>30</v>
      </c>
      <c r="E307" t="s">
        <v>13</v>
      </c>
      <c r="F307" t="s">
        <v>14</v>
      </c>
      <c r="G307" t="s">
        <v>15</v>
      </c>
      <c r="H307" s="5">
        <v>1150000</v>
      </c>
      <c r="I307">
        <v>850000</v>
      </c>
      <c r="J307">
        <v>300000</v>
      </c>
    </row>
    <row r="308" spans="1:10" x14ac:dyDescent="0.3">
      <c r="A308" t="s">
        <v>392</v>
      </c>
      <c r="B308" s="3">
        <v>46099</v>
      </c>
      <c r="C308" t="s">
        <v>32</v>
      </c>
      <c r="D308" t="s">
        <v>33</v>
      </c>
      <c r="E308" t="s">
        <v>27</v>
      </c>
      <c r="F308" t="s">
        <v>20</v>
      </c>
      <c r="G308" t="s">
        <v>34</v>
      </c>
      <c r="H308" s="5">
        <v>450000</v>
      </c>
      <c r="I308">
        <v>0</v>
      </c>
      <c r="J308">
        <v>0</v>
      </c>
    </row>
    <row r="309" spans="1:10" x14ac:dyDescent="0.3">
      <c r="A309" t="s">
        <v>393</v>
      </c>
      <c r="B309" s="3">
        <v>46099</v>
      </c>
      <c r="C309" t="s">
        <v>32</v>
      </c>
      <c r="D309" t="s">
        <v>33</v>
      </c>
      <c r="E309" t="s">
        <v>27</v>
      </c>
      <c r="F309" t="s">
        <v>20</v>
      </c>
      <c r="G309" t="s">
        <v>57</v>
      </c>
      <c r="H309" s="5">
        <v>180000</v>
      </c>
      <c r="I309">
        <v>125000</v>
      </c>
      <c r="J309">
        <v>55000</v>
      </c>
    </row>
    <row r="310" spans="1:10" x14ac:dyDescent="0.3">
      <c r="A310" t="s">
        <v>394</v>
      </c>
      <c r="B310" s="3">
        <v>46099</v>
      </c>
      <c r="C310" t="s">
        <v>41</v>
      </c>
      <c r="D310" t="s">
        <v>42</v>
      </c>
      <c r="E310" t="s">
        <v>43</v>
      </c>
      <c r="F310" t="s">
        <v>14</v>
      </c>
      <c r="G310" t="s">
        <v>34</v>
      </c>
      <c r="H310" s="5">
        <v>175000</v>
      </c>
      <c r="I310">
        <v>0</v>
      </c>
      <c r="J310">
        <v>0</v>
      </c>
    </row>
    <row r="311" spans="1:10" x14ac:dyDescent="0.3">
      <c r="A311" t="s">
        <v>395</v>
      </c>
      <c r="B311" s="3">
        <v>46099</v>
      </c>
      <c r="C311" t="s">
        <v>59</v>
      </c>
      <c r="D311" t="s">
        <v>60</v>
      </c>
      <c r="E311" t="s">
        <v>19</v>
      </c>
      <c r="F311" t="s">
        <v>20</v>
      </c>
      <c r="G311" t="s">
        <v>34</v>
      </c>
      <c r="H311" s="5">
        <v>425000</v>
      </c>
      <c r="I311">
        <v>300000</v>
      </c>
      <c r="J311">
        <v>125000</v>
      </c>
    </row>
    <row r="312" spans="1:10" x14ac:dyDescent="0.3">
      <c r="A312" t="s">
        <v>396</v>
      </c>
      <c r="B312" s="3">
        <v>46100</v>
      </c>
      <c r="C312" t="s">
        <v>35</v>
      </c>
      <c r="D312" t="s">
        <v>36</v>
      </c>
      <c r="E312" t="s">
        <v>37</v>
      </c>
      <c r="F312" t="s">
        <v>20</v>
      </c>
      <c r="G312" t="s">
        <v>57</v>
      </c>
      <c r="H312" s="5">
        <v>105000</v>
      </c>
      <c r="I312">
        <v>0</v>
      </c>
      <c r="J312">
        <v>0</v>
      </c>
    </row>
    <row r="313" spans="1:10" x14ac:dyDescent="0.3">
      <c r="A313" t="s">
        <v>397</v>
      </c>
      <c r="B313" s="3">
        <v>46100</v>
      </c>
      <c r="C313" t="s">
        <v>17</v>
      </c>
      <c r="D313" t="s">
        <v>18</v>
      </c>
      <c r="E313" t="s">
        <v>19</v>
      </c>
      <c r="F313" t="s">
        <v>20</v>
      </c>
      <c r="G313" t="s">
        <v>40</v>
      </c>
      <c r="H313" s="5">
        <v>325000</v>
      </c>
      <c r="I313">
        <v>275000</v>
      </c>
      <c r="J313">
        <v>50000</v>
      </c>
    </row>
    <row r="314" spans="1:10" x14ac:dyDescent="0.3">
      <c r="A314" t="s">
        <v>398</v>
      </c>
      <c r="B314" s="3">
        <v>46100</v>
      </c>
      <c r="C314" t="s">
        <v>64</v>
      </c>
      <c r="D314" t="s">
        <v>65</v>
      </c>
      <c r="E314" t="s">
        <v>37</v>
      </c>
      <c r="F314" t="s">
        <v>20</v>
      </c>
      <c r="G314" t="s">
        <v>61</v>
      </c>
      <c r="H314" s="5">
        <v>275000</v>
      </c>
      <c r="I314">
        <v>250000</v>
      </c>
      <c r="J314">
        <v>25000</v>
      </c>
    </row>
    <row r="315" spans="1:10" x14ac:dyDescent="0.3">
      <c r="A315" t="s">
        <v>399</v>
      </c>
      <c r="B315" s="3">
        <v>46100</v>
      </c>
      <c r="C315" t="s">
        <v>53</v>
      </c>
      <c r="D315" t="s">
        <v>54</v>
      </c>
      <c r="E315" t="s">
        <v>43</v>
      </c>
      <c r="F315" t="s">
        <v>20</v>
      </c>
      <c r="G315" t="s">
        <v>58</v>
      </c>
      <c r="H315" s="5">
        <v>1025000</v>
      </c>
      <c r="I315">
        <v>925000</v>
      </c>
      <c r="J315">
        <v>100000</v>
      </c>
    </row>
    <row r="316" spans="1:10" x14ac:dyDescent="0.3">
      <c r="A316" t="s">
        <v>400</v>
      </c>
      <c r="B316" s="3">
        <v>46100</v>
      </c>
      <c r="C316" t="s">
        <v>59</v>
      </c>
      <c r="D316" t="s">
        <v>60</v>
      </c>
      <c r="E316" t="s">
        <v>19</v>
      </c>
      <c r="F316" t="s">
        <v>20</v>
      </c>
      <c r="G316" t="s">
        <v>61</v>
      </c>
      <c r="H316" s="5">
        <v>600000</v>
      </c>
      <c r="I316">
        <v>0</v>
      </c>
      <c r="J316">
        <v>0</v>
      </c>
    </row>
    <row r="317" spans="1:10" x14ac:dyDescent="0.3">
      <c r="A317" t="s">
        <v>401</v>
      </c>
      <c r="B317" s="3">
        <v>46101</v>
      </c>
      <c r="C317" t="s">
        <v>48</v>
      </c>
      <c r="D317" t="s">
        <v>49</v>
      </c>
      <c r="E317" t="s">
        <v>19</v>
      </c>
      <c r="F317" t="s">
        <v>14</v>
      </c>
      <c r="G317" t="s">
        <v>28</v>
      </c>
      <c r="H317" s="5">
        <v>305000</v>
      </c>
      <c r="I317">
        <v>250000</v>
      </c>
      <c r="J317">
        <v>55000</v>
      </c>
    </row>
    <row r="318" spans="1:10" x14ac:dyDescent="0.3">
      <c r="A318" t="s">
        <v>402</v>
      </c>
      <c r="B318" s="3">
        <v>46101</v>
      </c>
      <c r="C318" t="s">
        <v>59</v>
      </c>
      <c r="D318" t="s">
        <v>60</v>
      </c>
      <c r="E318" t="s">
        <v>19</v>
      </c>
      <c r="F318" t="s">
        <v>20</v>
      </c>
      <c r="G318" t="s">
        <v>57</v>
      </c>
      <c r="H318" s="5">
        <v>205000</v>
      </c>
      <c r="I318">
        <v>150000</v>
      </c>
      <c r="J318">
        <v>55000</v>
      </c>
    </row>
    <row r="319" spans="1:10" x14ac:dyDescent="0.3">
      <c r="A319" t="s">
        <v>403</v>
      </c>
      <c r="B319" s="3">
        <v>46102</v>
      </c>
      <c r="C319" t="s">
        <v>29</v>
      </c>
      <c r="D319" t="s">
        <v>30</v>
      </c>
      <c r="E319" t="s">
        <v>13</v>
      </c>
      <c r="F319" t="s">
        <v>14</v>
      </c>
      <c r="G319" t="s">
        <v>40</v>
      </c>
      <c r="H319" s="5">
        <v>625000</v>
      </c>
      <c r="I319">
        <v>475000</v>
      </c>
      <c r="J319">
        <v>150000</v>
      </c>
    </row>
    <row r="320" spans="1:10" x14ac:dyDescent="0.3">
      <c r="A320" t="s">
        <v>404</v>
      </c>
      <c r="B320" s="3">
        <v>46102</v>
      </c>
      <c r="C320" t="s">
        <v>44</v>
      </c>
      <c r="D320" t="s">
        <v>45</v>
      </c>
      <c r="E320" t="s">
        <v>43</v>
      </c>
      <c r="F320" t="s">
        <v>20</v>
      </c>
      <c r="G320" t="s">
        <v>31</v>
      </c>
      <c r="H320" s="5">
        <v>450000</v>
      </c>
      <c r="I320">
        <v>325000</v>
      </c>
      <c r="J320">
        <v>125000</v>
      </c>
    </row>
    <row r="321" spans="1:10" x14ac:dyDescent="0.3">
      <c r="A321" t="s">
        <v>405</v>
      </c>
      <c r="B321" s="3">
        <v>46102</v>
      </c>
      <c r="C321" t="s">
        <v>44</v>
      </c>
      <c r="D321" t="s">
        <v>45</v>
      </c>
      <c r="E321" t="s">
        <v>43</v>
      </c>
      <c r="F321" t="s">
        <v>14</v>
      </c>
      <c r="G321" t="s">
        <v>57</v>
      </c>
      <c r="H321" s="5">
        <v>380000</v>
      </c>
      <c r="I321">
        <v>0</v>
      </c>
      <c r="J321">
        <v>0</v>
      </c>
    </row>
    <row r="322" spans="1:10" x14ac:dyDescent="0.3">
      <c r="A322" t="s">
        <v>406</v>
      </c>
      <c r="B322" s="3">
        <v>46102</v>
      </c>
      <c r="C322" t="s">
        <v>17</v>
      </c>
      <c r="D322" t="s">
        <v>18</v>
      </c>
      <c r="E322" t="s">
        <v>19</v>
      </c>
      <c r="F322" t="s">
        <v>20</v>
      </c>
      <c r="G322" t="s">
        <v>15</v>
      </c>
      <c r="H322" s="5">
        <v>1300000</v>
      </c>
      <c r="I322">
        <v>1000000</v>
      </c>
      <c r="J322">
        <v>300000</v>
      </c>
    </row>
    <row r="323" spans="1:10" x14ac:dyDescent="0.3">
      <c r="A323" t="s">
        <v>407</v>
      </c>
      <c r="B323" s="3">
        <v>46103</v>
      </c>
      <c r="C323" t="s">
        <v>46</v>
      </c>
      <c r="D323" t="s">
        <v>47</v>
      </c>
      <c r="E323" t="s">
        <v>37</v>
      </c>
      <c r="F323" t="s">
        <v>20</v>
      </c>
      <c r="G323" t="s">
        <v>34</v>
      </c>
      <c r="H323" s="5">
        <v>300000</v>
      </c>
      <c r="I323">
        <v>250000</v>
      </c>
      <c r="J323">
        <v>50000</v>
      </c>
    </row>
    <row r="324" spans="1:10" x14ac:dyDescent="0.3">
      <c r="A324" t="s">
        <v>408</v>
      </c>
      <c r="B324" s="3">
        <v>46103</v>
      </c>
      <c r="C324" t="s">
        <v>29</v>
      </c>
      <c r="D324" t="s">
        <v>30</v>
      </c>
      <c r="E324" t="s">
        <v>13</v>
      </c>
      <c r="F324" t="s">
        <v>20</v>
      </c>
      <c r="G324" t="s">
        <v>40</v>
      </c>
      <c r="H324" s="5">
        <v>650000</v>
      </c>
      <c r="I324">
        <v>600000</v>
      </c>
      <c r="J324">
        <v>50000</v>
      </c>
    </row>
    <row r="325" spans="1:10" x14ac:dyDescent="0.3">
      <c r="A325" t="s">
        <v>409</v>
      </c>
      <c r="B325" s="3">
        <v>46103</v>
      </c>
      <c r="C325" t="s">
        <v>53</v>
      </c>
      <c r="D325" t="s">
        <v>54</v>
      </c>
      <c r="E325" t="s">
        <v>43</v>
      </c>
      <c r="F325" t="s">
        <v>20</v>
      </c>
      <c r="G325" t="s">
        <v>28</v>
      </c>
      <c r="H325" s="5">
        <v>105000</v>
      </c>
      <c r="I325">
        <v>0</v>
      </c>
      <c r="J325">
        <v>0</v>
      </c>
    </row>
    <row r="326" spans="1:10" x14ac:dyDescent="0.3">
      <c r="A326" t="s">
        <v>410</v>
      </c>
      <c r="B326" s="3">
        <v>46104</v>
      </c>
      <c r="C326" t="s">
        <v>48</v>
      </c>
      <c r="D326" t="s">
        <v>49</v>
      </c>
      <c r="E326" t="s">
        <v>19</v>
      </c>
      <c r="F326" t="s">
        <v>14</v>
      </c>
      <c r="G326" t="s">
        <v>15</v>
      </c>
      <c r="H326" s="5">
        <v>1225000</v>
      </c>
      <c r="I326">
        <v>950000</v>
      </c>
      <c r="J326">
        <v>275000</v>
      </c>
    </row>
    <row r="327" spans="1:10" x14ac:dyDescent="0.3">
      <c r="A327" t="s">
        <v>411</v>
      </c>
      <c r="B327" s="3">
        <v>46104</v>
      </c>
      <c r="C327" t="s">
        <v>62</v>
      </c>
      <c r="D327" t="s">
        <v>63</v>
      </c>
      <c r="E327" t="s">
        <v>52</v>
      </c>
      <c r="F327" t="s">
        <v>20</v>
      </c>
      <c r="G327" t="s">
        <v>40</v>
      </c>
      <c r="H327" s="5">
        <v>625000</v>
      </c>
      <c r="I327">
        <v>625000</v>
      </c>
      <c r="J327">
        <v>0</v>
      </c>
    </row>
    <row r="328" spans="1:10" x14ac:dyDescent="0.3">
      <c r="A328" t="s">
        <v>412</v>
      </c>
      <c r="B328" s="3">
        <v>46104</v>
      </c>
      <c r="C328" t="s">
        <v>64</v>
      </c>
      <c r="D328" t="s">
        <v>65</v>
      </c>
      <c r="E328" t="s">
        <v>37</v>
      </c>
      <c r="F328" t="s">
        <v>20</v>
      </c>
      <c r="G328" t="s">
        <v>40</v>
      </c>
      <c r="H328" s="5">
        <v>400000</v>
      </c>
      <c r="I328">
        <v>325000</v>
      </c>
      <c r="J328">
        <v>75000</v>
      </c>
    </row>
    <row r="329" spans="1:10" x14ac:dyDescent="0.3">
      <c r="A329" t="s">
        <v>413</v>
      </c>
      <c r="B329" s="3">
        <v>46105</v>
      </c>
      <c r="C329" t="s">
        <v>17</v>
      </c>
      <c r="D329" t="s">
        <v>18</v>
      </c>
      <c r="E329" t="s">
        <v>19</v>
      </c>
      <c r="F329" t="s">
        <v>20</v>
      </c>
      <c r="G329" t="s">
        <v>57</v>
      </c>
      <c r="H329" s="5">
        <v>455000</v>
      </c>
      <c r="I329">
        <v>325000</v>
      </c>
      <c r="J329">
        <v>130000</v>
      </c>
    </row>
    <row r="330" spans="1:10" x14ac:dyDescent="0.3">
      <c r="A330" t="s">
        <v>414</v>
      </c>
      <c r="B330" s="3">
        <v>46105</v>
      </c>
      <c r="C330" t="s">
        <v>59</v>
      </c>
      <c r="D330" t="s">
        <v>60</v>
      </c>
      <c r="E330" t="s">
        <v>19</v>
      </c>
      <c r="F330" t="s">
        <v>20</v>
      </c>
      <c r="G330" t="s">
        <v>58</v>
      </c>
      <c r="H330" s="5">
        <v>525000</v>
      </c>
      <c r="I330">
        <v>425000</v>
      </c>
      <c r="J330">
        <v>100000</v>
      </c>
    </row>
    <row r="331" spans="1:10" x14ac:dyDescent="0.3">
      <c r="A331" t="s">
        <v>415</v>
      </c>
      <c r="B331" s="3">
        <v>46106</v>
      </c>
      <c r="C331" t="s">
        <v>41</v>
      </c>
      <c r="D331" t="s">
        <v>42</v>
      </c>
      <c r="E331" t="s">
        <v>43</v>
      </c>
      <c r="F331" t="s">
        <v>20</v>
      </c>
      <c r="G331" t="s">
        <v>34</v>
      </c>
      <c r="H331" s="5">
        <v>175000</v>
      </c>
      <c r="I331">
        <v>0</v>
      </c>
      <c r="J331">
        <v>0</v>
      </c>
    </row>
    <row r="332" spans="1:10" x14ac:dyDescent="0.3">
      <c r="A332" t="s">
        <v>416</v>
      </c>
      <c r="B332" s="3">
        <v>46106</v>
      </c>
      <c r="C332" t="s">
        <v>41</v>
      </c>
      <c r="D332" t="s">
        <v>42</v>
      </c>
      <c r="E332" t="s">
        <v>43</v>
      </c>
      <c r="F332" t="s">
        <v>14</v>
      </c>
      <c r="G332" t="s">
        <v>15</v>
      </c>
      <c r="H332" s="5">
        <v>2250000</v>
      </c>
      <c r="I332">
        <v>0</v>
      </c>
      <c r="J332">
        <v>0</v>
      </c>
    </row>
    <row r="333" spans="1:10" x14ac:dyDescent="0.3">
      <c r="A333" t="s">
        <v>417</v>
      </c>
      <c r="B333" s="3">
        <v>46106</v>
      </c>
      <c r="C333" t="s">
        <v>35</v>
      </c>
      <c r="D333" t="s">
        <v>36</v>
      </c>
      <c r="E333" t="s">
        <v>37</v>
      </c>
      <c r="F333" t="s">
        <v>20</v>
      </c>
      <c r="G333" t="s">
        <v>34</v>
      </c>
      <c r="H333" s="5">
        <v>250000</v>
      </c>
      <c r="I333">
        <v>250000</v>
      </c>
      <c r="J333">
        <v>0</v>
      </c>
    </row>
    <row r="334" spans="1:10" x14ac:dyDescent="0.3">
      <c r="A334" t="s">
        <v>418</v>
      </c>
      <c r="B334" s="3">
        <v>46106</v>
      </c>
      <c r="C334" t="s">
        <v>38</v>
      </c>
      <c r="D334" t="s">
        <v>39</v>
      </c>
      <c r="E334" t="s">
        <v>24</v>
      </c>
      <c r="F334" t="s">
        <v>14</v>
      </c>
      <c r="G334" t="s">
        <v>40</v>
      </c>
      <c r="H334" s="5">
        <v>200000</v>
      </c>
      <c r="I334">
        <v>175000</v>
      </c>
      <c r="J334">
        <v>25000</v>
      </c>
    </row>
    <row r="335" spans="1:10" x14ac:dyDescent="0.3">
      <c r="A335" t="s">
        <v>419</v>
      </c>
      <c r="B335" s="3">
        <v>46106</v>
      </c>
      <c r="C335" t="s">
        <v>59</v>
      </c>
      <c r="D335" t="s">
        <v>60</v>
      </c>
      <c r="E335" t="s">
        <v>19</v>
      </c>
      <c r="F335" t="s">
        <v>14</v>
      </c>
      <c r="G335" t="s">
        <v>15</v>
      </c>
      <c r="H335" s="5">
        <v>825000</v>
      </c>
      <c r="I335">
        <v>625000</v>
      </c>
      <c r="J335">
        <v>200000</v>
      </c>
    </row>
    <row r="336" spans="1:10" x14ac:dyDescent="0.3">
      <c r="A336" t="s">
        <v>420</v>
      </c>
      <c r="B336" s="3">
        <v>46107</v>
      </c>
      <c r="C336" t="s">
        <v>55</v>
      </c>
      <c r="D336" t="s">
        <v>56</v>
      </c>
      <c r="E336" t="s">
        <v>24</v>
      </c>
      <c r="F336" t="s">
        <v>20</v>
      </c>
      <c r="G336" t="s">
        <v>34</v>
      </c>
      <c r="H336" s="5">
        <v>275000</v>
      </c>
      <c r="I336">
        <v>250000</v>
      </c>
      <c r="J336">
        <v>25000</v>
      </c>
    </row>
    <row r="337" spans="1:10" x14ac:dyDescent="0.3">
      <c r="A337" t="s">
        <v>421</v>
      </c>
      <c r="B337" s="3">
        <v>46107</v>
      </c>
      <c r="C337" t="s">
        <v>38</v>
      </c>
      <c r="D337" t="s">
        <v>39</v>
      </c>
      <c r="E337" t="s">
        <v>24</v>
      </c>
      <c r="F337" t="s">
        <v>20</v>
      </c>
      <c r="G337" t="s">
        <v>28</v>
      </c>
      <c r="H337" s="5">
        <v>180000</v>
      </c>
      <c r="I337">
        <v>125000</v>
      </c>
      <c r="J337">
        <v>55000</v>
      </c>
    </row>
    <row r="338" spans="1:10" x14ac:dyDescent="0.3">
      <c r="A338" t="s">
        <v>422</v>
      </c>
      <c r="B338" s="3">
        <v>46107</v>
      </c>
      <c r="C338" t="s">
        <v>17</v>
      </c>
      <c r="D338" t="s">
        <v>18</v>
      </c>
      <c r="E338" t="s">
        <v>19</v>
      </c>
      <c r="F338" t="s">
        <v>14</v>
      </c>
      <c r="G338" t="s">
        <v>28</v>
      </c>
      <c r="H338" s="5">
        <v>280000</v>
      </c>
      <c r="I338">
        <v>0</v>
      </c>
      <c r="J338">
        <v>0</v>
      </c>
    </row>
    <row r="339" spans="1:10" x14ac:dyDescent="0.3">
      <c r="A339" t="s">
        <v>423</v>
      </c>
      <c r="B339" s="3">
        <v>46107</v>
      </c>
      <c r="C339" t="s">
        <v>50</v>
      </c>
      <c r="D339" t="s">
        <v>51</v>
      </c>
      <c r="E339" t="s">
        <v>52</v>
      </c>
      <c r="F339" t="s">
        <v>14</v>
      </c>
      <c r="G339" t="s">
        <v>15</v>
      </c>
      <c r="H339" s="5">
        <v>1250000</v>
      </c>
      <c r="I339">
        <v>1050000</v>
      </c>
      <c r="J339">
        <v>200000</v>
      </c>
    </row>
    <row r="340" spans="1:10" x14ac:dyDescent="0.3">
      <c r="A340" t="s">
        <v>424</v>
      </c>
      <c r="B340" s="3">
        <v>46107</v>
      </c>
      <c r="C340" t="s">
        <v>64</v>
      </c>
      <c r="D340" t="s">
        <v>65</v>
      </c>
      <c r="E340" t="s">
        <v>37</v>
      </c>
      <c r="F340" t="s">
        <v>14</v>
      </c>
      <c r="G340" t="s">
        <v>61</v>
      </c>
      <c r="H340" s="5">
        <v>250000</v>
      </c>
      <c r="I340">
        <v>0</v>
      </c>
      <c r="J340">
        <v>0</v>
      </c>
    </row>
    <row r="341" spans="1:10" x14ac:dyDescent="0.3">
      <c r="A341" t="s">
        <v>425</v>
      </c>
      <c r="B341" s="3">
        <v>46107</v>
      </c>
      <c r="C341" t="s">
        <v>22</v>
      </c>
      <c r="D341" t="s">
        <v>23</v>
      </c>
      <c r="E341" t="s">
        <v>24</v>
      </c>
      <c r="F341" t="s">
        <v>20</v>
      </c>
      <c r="G341" t="s">
        <v>57</v>
      </c>
      <c r="H341" s="5">
        <v>430000</v>
      </c>
      <c r="I341">
        <v>0</v>
      </c>
      <c r="J341">
        <v>0</v>
      </c>
    </row>
    <row r="342" spans="1:10" x14ac:dyDescent="0.3">
      <c r="A342" t="s">
        <v>426</v>
      </c>
      <c r="B342" s="3">
        <v>46108</v>
      </c>
      <c r="C342" t="s">
        <v>62</v>
      </c>
      <c r="D342" t="s">
        <v>63</v>
      </c>
      <c r="E342" t="s">
        <v>52</v>
      </c>
      <c r="F342" t="s">
        <v>14</v>
      </c>
      <c r="G342" t="s">
        <v>57</v>
      </c>
      <c r="H342" s="5">
        <v>255000</v>
      </c>
      <c r="I342">
        <v>225000</v>
      </c>
      <c r="J342">
        <v>30000</v>
      </c>
    </row>
    <row r="343" spans="1:10" x14ac:dyDescent="0.3">
      <c r="A343" t="s">
        <v>427</v>
      </c>
      <c r="B343" s="3">
        <v>46108</v>
      </c>
      <c r="C343" t="s">
        <v>35</v>
      </c>
      <c r="D343" t="s">
        <v>36</v>
      </c>
      <c r="E343" t="s">
        <v>37</v>
      </c>
      <c r="F343" t="s">
        <v>14</v>
      </c>
      <c r="G343" t="s">
        <v>40</v>
      </c>
      <c r="H343" s="5">
        <v>475000</v>
      </c>
      <c r="I343">
        <v>425000</v>
      </c>
      <c r="J343">
        <v>50000</v>
      </c>
    </row>
    <row r="344" spans="1:10" x14ac:dyDescent="0.3">
      <c r="A344" t="s">
        <v>428</v>
      </c>
      <c r="B344" s="3">
        <v>46108</v>
      </c>
      <c r="C344" t="s">
        <v>35</v>
      </c>
      <c r="D344" t="s">
        <v>36</v>
      </c>
      <c r="E344" t="s">
        <v>37</v>
      </c>
      <c r="F344" t="s">
        <v>20</v>
      </c>
      <c r="G344" t="s">
        <v>31</v>
      </c>
      <c r="H344" s="5">
        <v>1200000</v>
      </c>
      <c r="I344">
        <v>925000</v>
      </c>
      <c r="J344">
        <v>275000</v>
      </c>
    </row>
    <row r="345" spans="1:10" x14ac:dyDescent="0.3">
      <c r="A345" t="s">
        <v>429</v>
      </c>
      <c r="B345" s="3">
        <v>46108</v>
      </c>
      <c r="C345" t="s">
        <v>68</v>
      </c>
      <c r="D345" t="s">
        <v>69</v>
      </c>
      <c r="E345" t="s">
        <v>27</v>
      </c>
      <c r="F345" t="s">
        <v>14</v>
      </c>
      <c r="G345" t="s">
        <v>31</v>
      </c>
      <c r="H345" s="5">
        <v>1300000</v>
      </c>
      <c r="I345">
        <v>1150000</v>
      </c>
      <c r="J345">
        <v>150000</v>
      </c>
    </row>
    <row r="346" spans="1:10" x14ac:dyDescent="0.3">
      <c r="A346" t="s">
        <v>430</v>
      </c>
      <c r="B346" s="3">
        <v>46108</v>
      </c>
      <c r="C346" t="s">
        <v>44</v>
      </c>
      <c r="D346" t="s">
        <v>45</v>
      </c>
      <c r="E346" t="s">
        <v>43</v>
      </c>
      <c r="F346" t="s">
        <v>20</v>
      </c>
      <c r="G346" t="s">
        <v>61</v>
      </c>
      <c r="H346" s="5">
        <v>500000</v>
      </c>
      <c r="I346">
        <v>0</v>
      </c>
      <c r="J346">
        <v>0</v>
      </c>
    </row>
    <row r="347" spans="1:10" x14ac:dyDescent="0.3">
      <c r="A347" t="s">
        <v>431</v>
      </c>
      <c r="B347" s="3">
        <v>46108</v>
      </c>
      <c r="C347" t="s">
        <v>22</v>
      </c>
      <c r="D347" t="s">
        <v>23</v>
      </c>
      <c r="E347" t="s">
        <v>24</v>
      </c>
      <c r="F347" t="s">
        <v>20</v>
      </c>
      <c r="G347" t="s">
        <v>34</v>
      </c>
      <c r="H347" s="5">
        <v>250000</v>
      </c>
      <c r="I347">
        <v>0</v>
      </c>
      <c r="J347">
        <v>0</v>
      </c>
    </row>
    <row r="348" spans="1:10" x14ac:dyDescent="0.3">
      <c r="A348" t="s">
        <v>432</v>
      </c>
      <c r="B348" s="3">
        <v>46108</v>
      </c>
      <c r="C348" t="s">
        <v>59</v>
      </c>
      <c r="D348" t="s">
        <v>60</v>
      </c>
      <c r="E348" t="s">
        <v>19</v>
      </c>
      <c r="F348" t="s">
        <v>20</v>
      </c>
      <c r="G348" t="s">
        <v>57</v>
      </c>
      <c r="H348" s="5">
        <v>105000</v>
      </c>
      <c r="I348">
        <v>100000</v>
      </c>
      <c r="J348">
        <v>5000</v>
      </c>
    </row>
    <row r="349" spans="1:10" x14ac:dyDescent="0.3">
      <c r="A349" t="s">
        <v>433</v>
      </c>
      <c r="B349" s="3">
        <v>46109</v>
      </c>
      <c r="C349" t="s">
        <v>41</v>
      </c>
      <c r="D349" t="s">
        <v>42</v>
      </c>
      <c r="E349" t="s">
        <v>43</v>
      </c>
      <c r="F349" t="s">
        <v>14</v>
      </c>
      <c r="G349" t="s">
        <v>40</v>
      </c>
      <c r="H349" s="5">
        <v>500000</v>
      </c>
      <c r="I349">
        <v>0</v>
      </c>
      <c r="J349">
        <v>0</v>
      </c>
    </row>
    <row r="350" spans="1:10" x14ac:dyDescent="0.3">
      <c r="A350" t="s">
        <v>434</v>
      </c>
      <c r="B350" s="3">
        <v>46109</v>
      </c>
      <c r="C350" t="s">
        <v>11</v>
      </c>
      <c r="D350" t="s">
        <v>12</v>
      </c>
      <c r="E350" t="s">
        <v>13</v>
      </c>
      <c r="F350" t="s">
        <v>20</v>
      </c>
      <c r="G350" t="s">
        <v>34</v>
      </c>
      <c r="H350" s="5">
        <v>450000</v>
      </c>
      <c r="I350">
        <v>400000</v>
      </c>
      <c r="J350">
        <v>50000</v>
      </c>
    </row>
    <row r="351" spans="1:10" x14ac:dyDescent="0.3">
      <c r="A351" t="s">
        <v>435</v>
      </c>
      <c r="B351" s="3">
        <v>46109</v>
      </c>
      <c r="C351" t="s">
        <v>17</v>
      </c>
      <c r="D351" t="s">
        <v>18</v>
      </c>
      <c r="E351" t="s">
        <v>19</v>
      </c>
      <c r="F351" t="s">
        <v>20</v>
      </c>
      <c r="G351" t="s">
        <v>61</v>
      </c>
      <c r="H351" s="5">
        <v>675000</v>
      </c>
      <c r="I351">
        <v>650000</v>
      </c>
      <c r="J351">
        <v>25000</v>
      </c>
    </row>
    <row r="352" spans="1:10" x14ac:dyDescent="0.3">
      <c r="A352" t="s">
        <v>436</v>
      </c>
      <c r="B352" s="3">
        <v>46109</v>
      </c>
      <c r="C352" t="s">
        <v>25</v>
      </c>
      <c r="D352" t="s">
        <v>26</v>
      </c>
      <c r="E352" t="s">
        <v>27</v>
      </c>
      <c r="F352" t="s">
        <v>14</v>
      </c>
      <c r="G352" t="s">
        <v>31</v>
      </c>
      <c r="H352" s="5">
        <v>1175000</v>
      </c>
      <c r="I352">
        <v>0</v>
      </c>
      <c r="J352">
        <v>0</v>
      </c>
    </row>
    <row r="353" spans="1:10" x14ac:dyDescent="0.3">
      <c r="A353" t="s">
        <v>437</v>
      </c>
      <c r="B353" s="3">
        <v>46110</v>
      </c>
      <c r="C353" t="s">
        <v>17</v>
      </c>
      <c r="D353" t="s">
        <v>18</v>
      </c>
      <c r="E353" t="s">
        <v>19</v>
      </c>
      <c r="F353" t="s">
        <v>20</v>
      </c>
      <c r="G353" t="s">
        <v>57</v>
      </c>
      <c r="H353" s="5">
        <v>405000</v>
      </c>
      <c r="I353">
        <v>0</v>
      </c>
      <c r="J353">
        <v>0</v>
      </c>
    </row>
    <row r="354" spans="1:10" x14ac:dyDescent="0.3">
      <c r="A354" t="s">
        <v>438</v>
      </c>
      <c r="B354" s="3">
        <v>46111</v>
      </c>
      <c r="C354" t="s">
        <v>29</v>
      </c>
      <c r="D354" t="s">
        <v>30</v>
      </c>
      <c r="E354" t="s">
        <v>13</v>
      </c>
      <c r="F354" t="s">
        <v>20</v>
      </c>
      <c r="G354" t="s">
        <v>28</v>
      </c>
      <c r="H354" s="5">
        <v>130000</v>
      </c>
      <c r="I354">
        <v>0</v>
      </c>
      <c r="J354">
        <v>0</v>
      </c>
    </row>
    <row r="355" spans="1:10" x14ac:dyDescent="0.3">
      <c r="A355" t="s">
        <v>439</v>
      </c>
      <c r="B355" s="3">
        <v>46111</v>
      </c>
      <c r="C355" t="s">
        <v>32</v>
      </c>
      <c r="D355" t="s">
        <v>33</v>
      </c>
      <c r="E355" t="s">
        <v>27</v>
      </c>
      <c r="F355" t="s">
        <v>20</v>
      </c>
      <c r="G355" t="s">
        <v>61</v>
      </c>
      <c r="H355" s="5">
        <v>650000</v>
      </c>
      <c r="I355">
        <v>525000</v>
      </c>
      <c r="J355">
        <v>125000</v>
      </c>
    </row>
    <row r="356" spans="1:10" x14ac:dyDescent="0.3">
      <c r="A356" t="s">
        <v>440</v>
      </c>
      <c r="B356" s="3">
        <v>46111</v>
      </c>
      <c r="C356" t="s">
        <v>41</v>
      </c>
      <c r="D356" t="s">
        <v>42</v>
      </c>
      <c r="E356" t="s">
        <v>43</v>
      </c>
      <c r="F356" t="s">
        <v>20</v>
      </c>
      <c r="G356" t="s">
        <v>58</v>
      </c>
      <c r="H356" s="5">
        <v>650000</v>
      </c>
      <c r="I356">
        <v>0</v>
      </c>
      <c r="J356">
        <v>0</v>
      </c>
    </row>
    <row r="357" spans="1:10" x14ac:dyDescent="0.3">
      <c r="A357" t="s">
        <v>441</v>
      </c>
      <c r="B357" s="3">
        <v>46111</v>
      </c>
      <c r="C357" t="s">
        <v>50</v>
      </c>
      <c r="D357" t="s">
        <v>51</v>
      </c>
      <c r="E357" t="s">
        <v>52</v>
      </c>
      <c r="F357" t="s">
        <v>20</v>
      </c>
      <c r="G357" t="s">
        <v>15</v>
      </c>
      <c r="H357" s="5">
        <v>500000</v>
      </c>
      <c r="I357">
        <v>400000</v>
      </c>
      <c r="J357">
        <v>100000</v>
      </c>
    </row>
    <row r="358" spans="1:10" x14ac:dyDescent="0.3">
      <c r="A358" t="s">
        <v>442</v>
      </c>
      <c r="B358" s="3">
        <v>46111</v>
      </c>
      <c r="C358" t="s">
        <v>64</v>
      </c>
      <c r="D358" t="s">
        <v>65</v>
      </c>
      <c r="E358" t="s">
        <v>37</v>
      </c>
      <c r="F358" t="s">
        <v>14</v>
      </c>
      <c r="G358" t="s">
        <v>40</v>
      </c>
      <c r="H358" s="5">
        <v>425000</v>
      </c>
      <c r="I358">
        <v>400000</v>
      </c>
      <c r="J358">
        <v>25000</v>
      </c>
    </row>
    <row r="359" spans="1:10" x14ac:dyDescent="0.3">
      <c r="A359" t="s">
        <v>443</v>
      </c>
      <c r="B359" s="3">
        <v>46111</v>
      </c>
      <c r="C359" t="s">
        <v>25</v>
      </c>
      <c r="D359" t="s">
        <v>26</v>
      </c>
      <c r="E359" t="s">
        <v>27</v>
      </c>
      <c r="F359" t="s">
        <v>14</v>
      </c>
      <c r="G359" t="s">
        <v>57</v>
      </c>
      <c r="H359" s="5">
        <v>355000</v>
      </c>
      <c r="I359">
        <v>275000</v>
      </c>
      <c r="J359">
        <v>80000</v>
      </c>
    </row>
    <row r="360" spans="1:10" x14ac:dyDescent="0.3">
      <c r="A360" t="s">
        <v>444</v>
      </c>
      <c r="B360" s="3">
        <v>46112</v>
      </c>
      <c r="C360" t="s">
        <v>32</v>
      </c>
      <c r="D360" t="s">
        <v>33</v>
      </c>
      <c r="E360" t="s">
        <v>27</v>
      </c>
      <c r="F360" t="s">
        <v>20</v>
      </c>
      <c r="G360" t="s">
        <v>15</v>
      </c>
      <c r="H360" s="5">
        <v>3550000</v>
      </c>
      <c r="I360">
        <v>0</v>
      </c>
      <c r="J360">
        <v>0</v>
      </c>
    </row>
    <row r="361" spans="1:10" x14ac:dyDescent="0.3">
      <c r="A361" t="s">
        <v>445</v>
      </c>
      <c r="B361" s="3">
        <v>46112</v>
      </c>
      <c r="C361" t="s">
        <v>11</v>
      </c>
      <c r="D361" t="s">
        <v>12</v>
      </c>
      <c r="E361" t="s">
        <v>13</v>
      </c>
      <c r="F361" t="s">
        <v>20</v>
      </c>
      <c r="G361" t="s">
        <v>28</v>
      </c>
      <c r="H361" s="5">
        <v>80000</v>
      </c>
      <c r="I361">
        <v>75000</v>
      </c>
      <c r="J361">
        <v>5000</v>
      </c>
    </row>
    <row r="362" spans="1:10" x14ac:dyDescent="0.3">
      <c r="A362" t="s">
        <v>446</v>
      </c>
      <c r="B362" s="3">
        <v>46112</v>
      </c>
      <c r="C362" t="s">
        <v>35</v>
      </c>
      <c r="D362" t="s">
        <v>36</v>
      </c>
      <c r="E362" t="s">
        <v>37</v>
      </c>
      <c r="F362" t="s">
        <v>14</v>
      </c>
      <c r="G362" t="s">
        <v>34</v>
      </c>
      <c r="H362" s="5">
        <v>325000</v>
      </c>
      <c r="I362">
        <v>0</v>
      </c>
      <c r="J362">
        <v>0</v>
      </c>
    </row>
    <row r="363" spans="1:10" x14ac:dyDescent="0.3">
      <c r="A363" t="s">
        <v>447</v>
      </c>
      <c r="B363" s="3">
        <v>46112</v>
      </c>
      <c r="C363" t="s">
        <v>64</v>
      </c>
      <c r="D363" t="s">
        <v>65</v>
      </c>
      <c r="E363" t="s">
        <v>37</v>
      </c>
      <c r="F363" t="s">
        <v>14</v>
      </c>
      <c r="G363" t="s">
        <v>31</v>
      </c>
      <c r="H363" s="5">
        <v>1500000</v>
      </c>
      <c r="I363">
        <v>1375000</v>
      </c>
      <c r="J363">
        <v>125000</v>
      </c>
    </row>
    <row r="364" spans="1:10" x14ac:dyDescent="0.3">
      <c r="A364" t="s">
        <v>448</v>
      </c>
      <c r="B364" s="3">
        <v>46113</v>
      </c>
      <c r="C364" t="s">
        <v>35</v>
      </c>
      <c r="D364" t="s">
        <v>36</v>
      </c>
      <c r="E364" t="s">
        <v>37</v>
      </c>
      <c r="F364" t="s">
        <v>20</v>
      </c>
      <c r="G364" t="s">
        <v>34</v>
      </c>
      <c r="H364" s="5">
        <v>400000</v>
      </c>
      <c r="I364">
        <v>375000</v>
      </c>
      <c r="J364">
        <v>25000</v>
      </c>
    </row>
    <row r="365" spans="1:10" x14ac:dyDescent="0.3">
      <c r="A365" t="s">
        <v>449</v>
      </c>
      <c r="B365" s="3">
        <v>46114</v>
      </c>
      <c r="C365" t="s">
        <v>55</v>
      </c>
      <c r="D365" t="s">
        <v>56</v>
      </c>
      <c r="E365" t="s">
        <v>24</v>
      </c>
      <c r="F365" t="s">
        <v>20</v>
      </c>
      <c r="G365" t="s">
        <v>61</v>
      </c>
      <c r="H365" s="5">
        <v>525000</v>
      </c>
      <c r="I365">
        <v>0</v>
      </c>
      <c r="J365">
        <v>0</v>
      </c>
    </row>
    <row r="366" spans="1:10" x14ac:dyDescent="0.3">
      <c r="A366" t="s">
        <v>450</v>
      </c>
      <c r="B366" s="3">
        <v>46114</v>
      </c>
      <c r="C366" t="s">
        <v>62</v>
      </c>
      <c r="D366" t="s">
        <v>63</v>
      </c>
      <c r="E366" t="s">
        <v>52</v>
      </c>
      <c r="F366" t="s">
        <v>14</v>
      </c>
      <c r="G366" t="s">
        <v>28</v>
      </c>
      <c r="H366" s="5">
        <v>230000</v>
      </c>
      <c r="I366">
        <v>0</v>
      </c>
      <c r="J366">
        <v>0</v>
      </c>
    </row>
    <row r="367" spans="1:10" x14ac:dyDescent="0.3">
      <c r="A367" t="s">
        <v>451</v>
      </c>
      <c r="B367" s="3">
        <v>46114</v>
      </c>
      <c r="C367" t="s">
        <v>17</v>
      </c>
      <c r="D367" t="s">
        <v>18</v>
      </c>
      <c r="E367" t="s">
        <v>19</v>
      </c>
      <c r="F367" t="s">
        <v>20</v>
      </c>
      <c r="G367" t="s">
        <v>28</v>
      </c>
      <c r="H367" s="5">
        <v>155000</v>
      </c>
      <c r="I367">
        <v>125000</v>
      </c>
      <c r="J367">
        <v>30000</v>
      </c>
    </row>
    <row r="368" spans="1:10" x14ac:dyDescent="0.3">
      <c r="A368" t="s">
        <v>452</v>
      </c>
      <c r="B368" s="3">
        <v>46114</v>
      </c>
      <c r="C368" t="s">
        <v>25</v>
      </c>
      <c r="D368" t="s">
        <v>26</v>
      </c>
      <c r="E368" t="s">
        <v>27</v>
      </c>
      <c r="F368" t="s">
        <v>14</v>
      </c>
      <c r="G368" t="s">
        <v>61</v>
      </c>
      <c r="H368" s="5">
        <v>175000</v>
      </c>
      <c r="I368">
        <v>150000</v>
      </c>
      <c r="J368">
        <v>25000</v>
      </c>
    </row>
    <row r="369" spans="1:10" x14ac:dyDescent="0.3">
      <c r="A369" t="s">
        <v>453</v>
      </c>
      <c r="B369" s="3">
        <v>46115</v>
      </c>
      <c r="C369" t="s">
        <v>38</v>
      </c>
      <c r="D369" t="s">
        <v>39</v>
      </c>
      <c r="E369" t="s">
        <v>24</v>
      </c>
      <c r="F369" t="s">
        <v>14</v>
      </c>
      <c r="G369" t="s">
        <v>28</v>
      </c>
      <c r="H369" s="5">
        <v>205000</v>
      </c>
      <c r="I369">
        <v>175000</v>
      </c>
      <c r="J369">
        <v>30000</v>
      </c>
    </row>
    <row r="370" spans="1:10" x14ac:dyDescent="0.3">
      <c r="A370" t="s">
        <v>454</v>
      </c>
      <c r="B370" s="3">
        <v>46115</v>
      </c>
      <c r="C370" t="s">
        <v>17</v>
      </c>
      <c r="D370" t="s">
        <v>18</v>
      </c>
      <c r="E370" t="s">
        <v>19</v>
      </c>
      <c r="F370" t="s">
        <v>20</v>
      </c>
      <c r="G370" t="s">
        <v>15</v>
      </c>
      <c r="H370" s="5">
        <v>750000</v>
      </c>
      <c r="I370">
        <v>650000</v>
      </c>
      <c r="J370">
        <v>100000</v>
      </c>
    </row>
    <row r="371" spans="1:10" x14ac:dyDescent="0.3">
      <c r="A371" t="s">
        <v>455</v>
      </c>
      <c r="B371" s="3">
        <v>46116</v>
      </c>
      <c r="C371" t="s">
        <v>46</v>
      </c>
      <c r="D371" t="s">
        <v>47</v>
      </c>
      <c r="E371" t="s">
        <v>37</v>
      </c>
      <c r="F371" t="s">
        <v>20</v>
      </c>
      <c r="G371" t="s">
        <v>28</v>
      </c>
      <c r="H371" s="5">
        <v>330000</v>
      </c>
      <c r="I371">
        <v>325000</v>
      </c>
      <c r="J371">
        <v>5000</v>
      </c>
    </row>
    <row r="372" spans="1:10" x14ac:dyDescent="0.3">
      <c r="A372" t="s">
        <v>456</v>
      </c>
      <c r="B372" s="3">
        <v>46117</v>
      </c>
      <c r="C372" t="s">
        <v>29</v>
      </c>
      <c r="D372" t="s">
        <v>30</v>
      </c>
      <c r="E372" t="s">
        <v>13</v>
      </c>
      <c r="F372" t="s">
        <v>14</v>
      </c>
      <c r="G372" t="s">
        <v>34</v>
      </c>
      <c r="H372" s="5">
        <v>50000</v>
      </c>
      <c r="I372">
        <v>50000</v>
      </c>
      <c r="J372">
        <v>0</v>
      </c>
    </row>
    <row r="373" spans="1:10" x14ac:dyDescent="0.3">
      <c r="A373" t="s">
        <v>457</v>
      </c>
      <c r="B373" s="3">
        <v>46117</v>
      </c>
      <c r="C373" t="s">
        <v>32</v>
      </c>
      <c r="D373" t="s">
        <v>33</v>
      </c>
      <c r="E373" t="s">
        <v>27</v>
      </c>
      <c r="F373" t="s">
        <v>20</v>
      </c>
      <c r="G373" t="s">
        <v>58</v>
      </c>
      <c r="H373" s="5">
        <v>275000</v>
      </c>
      <c r="I373">
        <v>0</v>
      </c>
      <c r="J373">
        <v>0</v>
      </c>
    </row>
    <row r="374" spans="1:10" x14ac:dyDescent="0.3">
      <c r="A374" t="s">
        <v>458</v>
      </c>
      <c r="B374" s="3">
        <v>46117</v>
      </c>
      <c r="C374" t="s">
        <v>62</v>
      </c>
      <c r="D374" t="s">
        <v>63</v>
      </c>
      <c r="E374" t="s">
        <v>52</v>
      </c>
      <c r="F374" t="s">
        <v>14</v>
      </c>
      <c r="G374" t="s">
        <v>57</v>
      </c>
      <c r="H374" s="5">
        <v>105000</v>
      </c>
      <c r="I374">
        <v>0</v>
      </c>
      <c r="J374">
        <v>0</v>
      </c>
    </row>
    <row r="375" spans="1:10" x14ac:dyDescent="0.3">
      <c r="A375" t="s">
        <v>459</v>
      </c>
      <c r="B375" s="3">
        <v>46117</v>
      </c>
      <c r="C375" t="s">
        <v>44</v>
      </c>
      <c r="D375" t="s">
        <v>45</v>
      </c>
      <c r="E375" t="s">
        <v>43</v>
      </c>
      <c r="F375" t="s">
        <v>20</v>
      </c>
      <c r="G375" t="s">
        <v>15</v>
      </c>
      <c r="H375" s="5">
        <v>3375000</v>
      </c>
      <c r="I375">
        <v>2600000</v>
      </c>
      <c r="J375">
        <v>775000</v>
      </c>
    </row>
    <row r="376" spans="1:10" x14ac:dyDescent="0.3">
      <c r="A376" t="s">
        <v>460</v>
      </c>
      <c r="B376" s="3">
        <v>46117</v>
      </c>
      <c r="C376" t="s">
        <v>17</v>
      </c>
      <c r="D376" t="s">
        <v>18</v>
      </c>
      <c r="E376" t="s">
        <v>19</v>
      </c>
      <c r="F376" t="s">
        <v>20</v>
      </c>
      <c r="G376" t="s">
        <v>34</v>
      </c>
      <c r="H376" s="5">
        <v>450000</v>
      </c>
      <c r="I376">
        <v>0</v>
      </c>
      <c r="J376">
        <v>0</v>
      </c>
    </row>
    <row r="377" spans="1:10" x14ac:dyDescent="0.3">
      <c r="A377" t="s">
        <v>461</v>
      </c>
      <c r="B377" s="3">
        <v>46117</v>
      </c>
      <c r="C377" t="s">
        <v>66</v>
      </c>
      <c r="D377" t="s">
        <v>67</v>
      </c>
      <c r="E377" t="s">
        <v>13</v>
      </c>
      <c r="F377" t="s">
        <v>20</v>
      </c>
      <c r="G377" t="s">
        <v>28</v>
      </c>
      <c r="H377" s="5">
        <v>380000</v>
      </c>
      <c r="I377">
        <v>350000</v>
      </c>
      <c r="J377">
        <v>30000</v>
      </c>
    </row>
    <row r="378" spans="1:10" x14ac:dyDescent="0.3">
      <c r="A378" t="s">
        <v>462</v>
      </c>
      <c r="B378" s="3">
        <v>46118</v>
      </c>
      <c r="C378" t="s">
        <v>50</v>
      </c>
      <c r="D378" t="s">
        <v>51</v>
      </c>
      <c r="E378" t="s">
        <v>52</v>
      </c>
      <c r="F378" t="s">
        <v>14</v>
      </c>
      <c r="G378" t="s">
        <v>40</v>
      </c>
      <c r="H378" s="5">
        <v>525000</v>
      </c>
      <c r="I378">
        <v>425000</v>
      </c>
      <c r="J378">
        <v>100000</v>
      </c>
    </row>
    <row r="379" spans="1:10" x14ac:dyDescent="0.3">
      <c r="A379" t="s">
        <v>463</v>
      </c>
      <c r="B379" s="3">
        <v>46118</v>
      </c>
      <c r="C379" t="s">
        <v>22</v>
      </c>
      <c r="D379" t="s">
        <v>23</v>
      </c>
      <c r="E379" t="s">
        <v>24</v>
      </c>
      <c r="F379" t="s">
        <v>14</v>
      </c>
      <c r="G379" t="s">
        <v>15</v>
      </c>
      <c r="H379" s="5">
        <v>1925000</v>
      </c>
      <c r="I379">
        <v>0</v>
      </c>
      <c r="J379">
        <v>0</v>
      </c>
    </row>
    <row r="380" spans="1:10" x14ac:dyDescent="0.3">
      <c r="A380" t="s">
        <v>464</v>
      </c>
      <c r="B380" s="3">
        <v>46118</v>
      </c>
      <c r="C380" t="s">
        <v>59</v>
      </c>
      <c r="D380" t="s">
        <v>60</v>
      </c>
      <c r="E380" t="s">
        <v>19</v>
      </c>
      <c r="F380" t="s">
        <v>20</v>
      </c>
      <c r="G380" t="s">
        <v>28</v>
      </c>
      <c r="H380" s="5">
        <v>80000</v>
      </c>
      <c r="I380">
        <v>50000</v>
      </c>
      <c r="J380">
        <v>30000</v>
      </c>
    </row>
    <row r="381" spans="1:10" x14ac:dyDescent="0.3">
      <c r="A381" t="s">
        <v>465</v>
      </c>
      <c r="B381" s="3">
        <v>46119</v>
      </c>
      <c r="C381" t="s">
        <v>32</v>
      </c>
      <c r="D381" t="s">
        <v>33</v>
      </c>
      <c r="E381" t="s">
        <v>27</v>
      </c>
      <c r="F381" t="s">
        <v>20</v>
      </c>
      <c r="G381" t="s">
        <v>61</v>
      </c>
      <c r="H381" s="5">
        <v>500000</v>
      </c>
      <c r="I381">
        <v>375000</v>
      </c>
      <c r="J381">
        <v>125000</v>
      </c>
    </row>
    <row r="382" spans="1:10" x14ac:dyDescent="0.3">
      <c r="A382" t="s">
        <v>466</v>
      </c>
      <c r="B382" s="3">
        <v>46119</v>
      </c>
      <c r="C382" t="s">
        <v>11</v>
      </c>
      <c r="D382" t="s">
        <v>12</v>
      </c>
      <c r="E382" t="s">
        <v>13</v>
      </c>
      <c r="F382" t="s">
        <v>20</v>
      </c>
      <c r="G382" t="s">
        <v>15</v>
      </c>
      <c r="H382" s="5">
        <v>1875000</v>
      </c>
      <c r="I382">
        <v>1625000</v>
      </c>
      <c r="J382">
        <v>250000</v>
      </c>
    </row>
    <row r="383" spans="1:10" x14ac:dyDescent="0.3">
      <c r="A383" t="s">
        <v>467</v>
      </c>
      <c r="B383" s="3">
        <v>46119</v>
      </c>
      <c r="C383" t="s">
        <v>17</v>
      </c>
      <c r="D383" t="s">
        <v>18</v>
      </c>
      <c r="E383" t="s">
        <v>19</v>
      </c>
      <c r="F383" t="s">
        <v>14</v>
      </c>
      <c r="G383" t="s">
        <v>40</v>
      </c>
      <c r="H383" s="5">
        <v>625000</v>
      </c>
      <c r="I383">
        <v>600000</v>
      </c>
      <c r="J383">
        <v>25000</v>
      </c>
    </row>
    <row r="384" spans="1:10" x14ac:dyDescent="0.3">
      <c r="A384" t="s">
        <v>468</v>
      </c>
      <c r="B384" s="3">
        <v>46119</v>
      </c>
      <c r="C384" t="s">
        <v>50</v>
      </c>
      <c r="D384" t="s">
        <v>51</v>
      </c>
      <c r="E384" t="s">
        <v>52</v>
      </c>
      <c r="F384" t="s">
        <v>20</v>
      </c>
      <c r="G384" t="s">
        <v>61</v>
      </c>
      <c r="H384" s="5">
        <v>400000</v>
      </c>
      <c r="I384">
        <v>0</v>
      </c>
      <c r="J384">
        <v>0</v>
      </c>
    </row>
    <row r="385" spans="1:10" x14ac:dyDescent="0.3">
      <c r="A385" t="s">
        <v>469</v>
      </c>
      <c r="B385" s="3">
        <v>46119</v>
      </c>
      <c r="C385" t="s">
        <v>64</v>
      </c>
      <c r="D385" t="s">
        <v>65</v>
      </c>
      <c r="E385" t="s">
        <v>37</v>
      </c>
      <c r="F385" t="s">
        <v>14</v>
      </c>
      <c r="G385" t="s">
        <v>57</v>
      </c>
      <c r="H385" s="5">
        <v>405000</v>
      </c>
      <c r="I385">
        <v>300000</v>
      </c>
      <c r="J385">
        <v>105000</v>
      </c>
    </row>
    <row r="386" spans="1:10" x14ac:dyDescent="0.3">
      <c r="A386" t="s">
        <v>470</v>
      </c>
      <c r="B386" s="3">
        <v>46119</v>
      </c>
      <c r="C386" t="s">
        <v>66</v>
      </c>
      <c r="D386" t="s">
        <v>67</v>
      </c>
      <c r="E386" t="s">
        <v>13</v>
      </c>
      <c r="F386" t="s">
        <v>20</v>
      </c>
      <c r="G386" t="s">
        <v>40</v>
      </c>
      <c r="H386" s="5">
        <v>600000</v>
      </c>
      <c r="I386">
        <v>0</v>
      </c>
      <c r="J386">
        <v>0</v>
      </c>
    </row>
    <row r="387" spans="1:10" x14ac:dyDescent="0.3">
      <c r="A387" t="s">
        <v>471</v>
      </c>
      <c r="B387" s="3">
        <v>46119</v>
      </c>
      <c r="C387" t="s">
        <v>66</v>
      </c>
      <c r="D387" t="s">
        <v>67</v>
      </c>
      <c r="E387" t="s">
        <v>13</v>
      </c>
      <c r="F387" t="s">
        <v>20</v>
      </c>
      <c r="G387" t="s">
        <v>40</v>
      </c>
      <c r="H387" s="5">
        <v>300000</v>
      </c>
      <c r="I387">
        <v>250000</v>
      </c>
      <c r="J387">
        <v>50000</v>
      </c>
    </row>
    <row r="388" spans="1:10" x14ac:dyDescent="0.3">
      <c r="A388" t="s">
        <v>472</v>
      </c>
      <c r="B388" s="3">
        <v>46120</v>
      </c>
      <c r="C388" t="s">
        <v>55</v>
      </c>
      <c r="D388" t="s">
        <v>56</v>
      </c>
      <c r="E388" t="s">
        <v>24</v>
      </c>
      <c r="F388" t="s">
        <v>14</v>
      </c>
      <c r="G388" t="s">
        <v>15</v>
      </c>
      <c r="H388" s="5">
        <v>2175000</v>
      </c>
      <c r="I388">
        <v>1650000</v>
      </c>
      <c r="J388">
        <v>525000</v>
      </c>
    </row>
    <row r="389" spans="1:10" x14ac:dyDescent="0.3">
      <c r="A389" t="s">
        <v>473</v>
      </c>
      <c r="B389" s="3">
        <v>46120</v>
      </c>
      <c r="C389" t="s">
        <v>50</v>
      </c>
      <c r="D389" t="s">
        <v>51</v>
      </c>
      <c r="E389" t="s">
        <v>52</v>
      </c>
      <c r="F389" t="s">
        <v>20</v>
      </c>
      <c r="G389" t="s">
        <v>34</v>
      </c>
      <c r="H389" s="5">
        <v>350000</v>
      </c>
      <c r="I389">
        <v>300000</v>
      </c>
      <c r="J389">
        <v>50000</v>
      </c>
    </row>
    <row r="390" spans="1:10" x14ac:dyDescent="0.3">
      <c r="A390" t="s">
        <v>474</v>
      </c>
      <c r="B390" s="3">
        <v>46121</v>
      </c>
      <c r="C390" t="s">
        <v>48</v>
      </c>
      <c r="D390" t="s">
        <v>49</v>
      </c>
      <c r="E390" t="s">
        <v>19</v>
      </c>
      <c r="F390" t="s">
        <v>20</v>
      </c>
      <c r="G390" t="s">
        <v>28</v>
      </c>
      <c r="H390" s="5">
        <v>330000</v>
      </c>
      <c r="I390">
        <v>275000</v>
      </c>
      <c r="J390">
        <v>55000</v>
      </c>
    </row>
    <row r="391" spans="1:10" x14ac:dyDescent="0.3">
      <c r="A391" t="s">
        <v>475</v>
      </c>
      <c r="B391" s="3">
        <v>46121</v>
      </c>
      <c r="C391" t="s">
        <v>11</v>
      </c>
      <c r="D391" t="s">
        <v>12</v>
      </c>
      <c r="E391" t="s">
        <v>13</v>
      </c>
      <c r="F391" t="s">
        <v>20</v>
      </c>
      <c r="G391" t="s">
        <v>31</v>
      </c>
      <c r="H391" s="5">
        <v>875000</v>
      </c>
      <c r="I391">
        <v>0</v>
      </c>
      <c r="J391">
        <v>0</v>
      </c>
    </row>
    <row r="392" spans="1:10" x14ac:dyDescent="0.3">
      <c r="A392" t="s">
        <v>476</v>
      </c>
      <c r="B392" s="3">
        <v>46121</v>
      </c>
      <c r="C392" t="s">
        <v>44</v>
      </c>
      <c r="D392" t="s">
        <v>45</v>
      </c>
      <c r="E392" t="s">
        <v>43</v>
      </c>
      <c r="F392" t="s">
        <v>14</v>
      </c>
      <c r="G392" t="s">
        <v>31</v>
      </c>
      <c r="H392" s="5">
        <v>750000</v>
      </c>
      <c r="I392">
        <v>0</v>
      </c>
      <c r="J392">
        <v>0</v>
      </c>
    </row>
    <row r="393" spans="1:10" x14ac:dyDescent="0.3">
      <c r="A393" t="s">
        <v>477</v>
      </c>
      <c r="B393" s="3">
        <v>46121</v>
      </c>
      <c r="C393" t="s">
        <v>59</v>
      </c>
      <c r="D393" t="s">
        <v>60</v>
      </c>
      <c r="E393" t="s">
        <v>19</v>
      </c>
      <c r="F393" t="s">
        <v>14</v>
      </c>
      <c r="G393" t="s">
        <v>40</v>
      </c>
      <c r="H393" s="5">
        <v>600000</v>
      </c>
      <c r="I393">
        <v>0</v>
      </c>
      <c r="J393">
        <v>0</v>
      </c>
    </row>
    <row r="394" spans="1:10" x14ac:dyDescent="0.3">
      <c r="A394" t="s">
        <v>478</v>
      </c>
      <c r="B394" s="3">
        <v>46122</v>
      </c>
      <c r="C394" t="s">
        <v>55</v>
      </c>
      <c r="D394" t="s">
        <v>56</v>
      </c>
      <c r="E394" t="s">
        <v>24</v>
      </c>
      <c r="F394" t="s">
        <v>14</v>
      </c>
      <c r="G394" t="s">
        <v>15</v>
      </c>
      <c r="H394" s="5">
        <v>650000</v>
      </c>
      <c r="I394">
        <v>0</v>
      </c>
      <c r="J394">
        <v>0</v>
      </c>
    </row>
    <row r="395" spans="1:10" x14ac:dyDescent="0.3">
      <c r="A395" t="s">
        <v>479</v>
      </c>
      <c r="B395" s="3">
        <v>46122</v>
      </c>
      <c r="C395" t="s">
        <v>41</v>
      </c>
      <c r="D395" t="s">
        <v>42</v>
      </c>
      <c r="E395" t="s">
        <v>43</v>
      </c>
      <c r="F395" t="s">
        <v>20</v>
      </c>
      <c r="G395" t="s">
        <v>34</v>
      </c>
      <c r="H395" s="5">
        <v>225000</v>
      </c>
      <c r="I395">
        <v>175000</v>
      </c>
      <c r="J395">
        <v>50000</v>
      </c>
    </row>
    <row r="396" spans="1:10" x14ac:dyDescent="0.3">
      <c r="A396" t="s">
        <v>480</v>
      </c>
      <c r="B396" s="3">
        <v>46122</v>
      </c>
      <c r="C396" t="s">
        <v>17</v>
      </c>
      <c r="D396" t="s">
        <v>18</v>
      </c>
      <c r="E396" t="s">
        <v>19</v>
      </c>
      <c r="F396" t="s">
        <v>20</v>
      </c>
      <c r="G396" t="s">
        <v>28</v>
      </c>
      <c r="H396" s="5">
        <v>405000</v>
      </c>
      <c r="I396">
        <v>400000</v>
      </c>
      <c r="J396">
        <v>5000</v>
      </c>
    </row>
    <row r="397" spans="1:10" x14ac:dyDescent="0.3">
      <c r="A397" t="s">
        <v>481</v>
      </c>
      <c r="B397" s="3">
        <v>46123</v>
      </c>
      <c r="C397" t="s">
        <v>55</v>
      </c>
      <c r="D397" t="s">
        <v>56</v>
      </c>
      <c r="E397" t="s">
        <v>24</v>
      </c>
      <c r="F397" t="s">
        <v>20</v>
      </c>
      <c r="G397" t="s">
        <v>58</v>
      </c>
      <c r="H397" s="5">
        <v>950000</v>
      </c>
      <c r="I397">
        <v>925000</v>
      </c>
      <c r="J397">
        <v>25000</v>
      </c>
    </row>
    <row r="398" spans="1:10" x14ac:dyDescent="0.3">
      <c r="A398" t="s">
        <v>482</v>
      </c>
      <c r="B398" s="3">
        <v>46123</v>
      </c>
      <c r="C398" t="s">
        <v>62</v>
      </c>
      <c r="D398" t="s">
        <v>63</v>
      </c>
      <c r="E398" t="s">
        <v>52</v>
      </c>
      <c r="F398" t="s">
        <v>14</v>
      </c>
      <c r="G398" t="s">
        <v>57</v>
      </c>
      <c r="H398" s="5">
        <v>180000</v>
      </c>
      <c r="I398">
        <v>0</v>
      </c>
      <c r="J398">
        <v>0</v>
      </c>
    </row>
    <row r="399" spans="1:10" x14ac:dyDescent="0.3">
      <c r="A399" t="s">
        <v>483</v>
      </c>
      <c r="B399" s="3">
        <v>46123</v>
      </c>
      <c r="C399" t="s">
        <v>38</v>
      </c>
      <c r="D399" t="s">
        <v>39</v>
      </c>
      <c r="E399" t="s">
        <v>24</v>
      </c>
      <c r="F399" t="s">
        <v>20</v>
      </c>
      <c r="G399" t="s">
        <v>57</v>
      </c>
      <c r="H399" s="5">
        <v>180000</v>
      </c>
      <c r="I399">
        <v>0</v>
      </c>
      <c r="J399">
        <v>0</v>
      </c>
    </row>
    <row r="400" spans="1:10" x14ac:dyDescent="0.3">
      <c r="A400" t="s">
        <v>484</v>
      </c>
      <c r="B400" s="3">
        <v>46123</v>
      </c>
      <c r="C400" t="s">
        <v>53</v>
      </c>
      <c r="D400" t="s">
        <v>54</v>
      </c>
      <c r="E400" t="s">
        <v>43</v>
      </c>
      <c r="F400" t="s">
        <v>14</v>
      </c>
      <c r="G400" t="s">
        <v>28</v>
      </c>
      <c r="H400" s="5">
        <v>480000</v>
      </c>
      <c r="I400">
        <v>400000</v>
      </c>
      <c r="J400">
        <v>80000</v>
      </c>
    </row>
    <row r="401" spans="1:10" x14ac:dyDescent="0.3">
      <c r="A401" t="s">
        <v>485</v>
      </c>
      <c r="B401" s="3">
        <v>46124</v>
      </c>
      <c r="C401" t="s">
        <v>44</v>
      </c>
      <c r="D401" t="s">
        <v>45</v>
      </c>
      <c r="E401" t="s">
        <v>43</v>
      </c>
      <c r="F401" t="s">
        <v>20</v>
      </c>
      <c r="G401" t="s">
        <v>28</v>
      </c>
      <c r="H401" s="5">
        <v>380000</v>
      </c>
      <c r="I401">
        <v>375000</v>
      </c>
      <c r="J401">
        <v>5000</v>
      </c>
    </row>
    <row r="402" spans="1:10" x14ac:dyDescent="0.3">
      <c r="A402" t="s">
        <v>486</v>
      </c>
      <c r="B402" s="3">
        <v>46124</v>
      </c>
      <c r="C402" t="s">
        <v>50</v>
      </c>
      <c r="D402" t="s">
        <v>51</v>
      </c>
      <c r="E402" t="s">
        <v>52</v>
      </c>
      <c r="F402" t="s">
        <v>14</v>
      </c>
      <c r="G402" t="s">
        <v>57</v>
      </c>
      <c r="H402" s="5">
        <v>305000</v>
      </c>
      <c r="I402">
        <v>0</v>
      </c>
      <c r="J402">
        <v>0</v>
      </c>
    </row>
    <row r="403" spans="1:10" x14ac:dyDescent="0.3">
      <c r="A403" t="s">
        <v>487</v>
      </c>
      <c r="B403" s="3">
        <v>46124</v>
      </c>
      <c r="C403" t="s">
        <v>66</v>
      </c>
      <c r="D403" t="s">
        <v>67</v>
      </c>
      <c r="E403" t="s">
        <v>13</v>
      </c>
      <c r="F403" t="s">
        <v>20</v>
      </c>
      <c r="G403" t="s">
        <v>40</v>
      </c>
      <c r="H403" s="5">
        <v>625000</v>
      </c>
      <c r="I403">
        <v>575000</v>
      </c>
      <c r="J403">
        <v>50000</v>
      </c>
    </row>
    <row r="404" spans="1:10" x14ac:dyDescent="0.3">
      <c r="A404" t="s">
        <v>488</v>
      </c>
      <c r="B404" s="3">
        <v>46124</v>
      </c>
      <c r="C404" t="s">
        <v>59</v>
      </c>
      <c r="D404" t="s">
        <v>60</v>
      </c>
      <c r="E404" t="s">
        <v>19</v>
      </c>
      <c r="F404" t="s">
        <v>20</v>
      </c>
      <c r="G404" t="s">
        <v>40</v>
      </c>
      <c r="H404" s="5">
        <v>350000</v>
      </c>
      <c r="I404">
        <v>0</v>
      </c>
      <c r="J404">
        <v>0</v>
      </c>
    </row>
    <row r="405" spans="1:10" x14ac:dyDescent="0.3">
      <c r="A405" t="s">
        <v>489</v>
      </c>
      <c r="B405" s="3">
        <v>46125</v>
      </c>
      <c r="C405" t="s">
        <v>32</v>
      </c>
      <c r="D405" t="s">
        <v>33</v>
      </c>
      <c r="E405" t="s">
        <v>27</v>
      </c>
      <c r="F405" t="s">
        <v>20</v>
      </c>
      <c r="G405" t="s">
        <v>40</v>
      </c>
      <c r="H405" s="5">
        <v>875000</v>
      </c>
      <c r="I405">
        <v>775000</v>
      </c>
      <c r="J405">
        <v>100000</v>
      </c>
    </row>
    <row r="406" spans="1:10" x14ac:dyDescent="0.3">
      <c r="A406" t="s">
        <v>490</v>
      </c>
      <c r="B406" s="3">
        <v>46125</v>
      </c>
      <c r="C406" t="s">
        <v>50</v>
      </c>
      <c r="D406" t="s">
        <v>51</v>
      </c>
      <c r="E406" t="s">
        <v>52</v>
      </c>
      <c r="F406" t="s">
        <v>14</v>
      </c>
      <c r="G406" t="s">
        <v>31</v>
      </c>
      <c r="H406" s="5">
        <v>800000</v>
      </c>
      <c r="I406">
        <v>700000</v>
      </c>
      <c r="J406">
        <v>100000</v>
      </c>
    </row>
    <row r="407" spans="1:10" x14ac:dyDescent="0.3">
      <c r="A407" t="s">
        <v>491</v>
      </c>
      <c r="B407" s="3">
        <v>46126</v>
      </c>
      <c r="C407" t="s">
        <v>17</v>
      </c>
      <c r="D407" t="s">
        <v>18</v>
      </c>
      <c r="E407" t="s">
        <v>19</v>
      </c>
      <c r="F407" t="s">
        <v>20</v>
      </c>
      <c r="G407" t="s">
        <v>15</v>
      </c>
      <c r="H407" s="5">
        <v>2950000</v>
      </c>
      <c r="I407">
        <v>2700000</v>
      </c>
      <c r="J407">
        <v>250000</v>
      </c>
    </row>
    <row r="408" spans="1:10" x14ac:dyDescent="0.3">
      <c r="A408" t="s">
        <v>492</v>
      </c>
      <c r="B408" s="3">
        <v>46126</v>
      </c>
      <c r="C408" t="s">
        <v>64</v>
      </c>
      <c r="D408" t="s">
        <v>65</v>
      </c>
      <c r="E408" t="s">
        <v>37</v>
      </c>
      <c r="F408" t="s">
        <v>14</v>
      </c>
      <c r="G408" t="s">
        <v>34</v>
      </c>
      <c r="H408" s="5">
        <v>300000</v>
      </c>
      <c r="I408">
        <v>250000</v>
      </c>
      <c r="J408">
        <v>50000</v>
      </c>
    </row>
    <row r="409" spans="1:10" x14ac:dyDescent="0.3">
      <c r="A409" t="s">
        <v>493</v>
      </c>
      <c r="B409" s="3">
        <v>46126</v>
      </c>
      <c r="C409" t="s">
        <v>59</v>
      </c>
      <c r="D409" t="s">
        <v>60</v>
      </c>
      <c r="E409" t="s">
        <v>19</v>
      </c>
      <c r="F409" t="s">
        <v>20</v>
      </c>
      <c r="G409" t="s">
        <v>31</v>
      </c>
      <c r="H409" s="5">
        <v>1250000</v>
      </c>
      <c r="I409">
        <v>925000</v>
      </c>
      <c r="J409">
        <v>325000</v>
      </c>
    </row>
    <row r="410" spans="1:10" x14ac:dyDescent="0.3">
      <c r="A410" t="s">
        <v>494</v>
      </c>
      <c r="B410" s="3">
        <v>46127</v>
      </c>
      <c r="C410" t="s">
        <v>29</v>
      </c>
      <c r="D410" t="s">
        <v>30</v>
      </c>
      <c r="E410" t="s">
        <v>13</v>
      </c>
      <c r="F410" t="s">
        <v>14</v>
      </c>
      <c r="G410" t="s">
        <v>57</v>
      </c>
      <c r="H410" s="5">
        <v>455000</v>
      </c>
      <c r="I410">
        <v>350000</v>
      </c>
      <c r="J410">
        <v>105000</v>
      </c>
    </row>
    <row r="411" spans="1:10" x14ac:dyDescent="0.3">
      <c r="A411" t="s">
        <v>495</v>
      </c>
      <c r="B411" s="3">
        <v>46127</v>
      </c>
      <c r="C411" t="s">
        <v>11</v>
      </c>
      <c r="D411" t="s">
        <v>12</v>
      </c>
      <c r="E411" t="s">
        <v>13</v>
      </c>
      <c r="F411" t="s">
        <v>14</v>
      </c>
      <c r="G411" t="s">
        <v>31</v>
      </c>
      <c r="H411" s="5">
        <v>1025000</v>
      </c>
      <c r="I411">
        <v>900000</v>
      </c>
      <c r="J411">
        <v>125000</v>
      </c>
    </row>
    <row r="412" spans="1:10" x14ac:dyDescent="0.3">
      <c r="A412" t="s">
        <v>496</v>
      </c>
      <c r="B412" s="3">
        <v>46127</v>
      </c>
      <c r="C412" t="s">
        <v>68</v>
      </c>
      <c r="D412" t="s">
        <v>69</v>
      </c>
      <c r="E412" t="s">
        <v>27</v>
      </c>
      <c r="F412" t="s">
        <v>20</v>
      </c>
      <c r="G412" t="s">
        <v>28</v>
      </c>
      <c r="H412" s="5">
        <v>180000</v>
      </c>
      <c r="I412">
        <v>0</v>
      </c>
      <c r="J412">
        <v>0</v>
      </c>
    </row>
    <row r="413" spans="1:10" x14ac:dyDescent="0.3">
      <c r="A413" t="s">
        <v>497</v>
      </c>
      <c r="B413" s="3">
        <v>46127</v>
      </c>
      <c r="C413" t="s">
        <v>44</v>
      </c>
      <c r="D413" t="s">
        <v>45</v>
      </c>
      <c r="E413" t="s">
        <v>43</v>
      </c>
      <c r="F413" t="s">
        <v>20</v>
      </c>
      <c r="G413" t="s">
        <v>31</v>
      </c>
      <c r="H413" s="5">
        <v>1200000</v>
      </c>
      <c r="I413">
        <v>950000</v>
      </c>
      <c r="J413">
        <v>250000</v>
      </c>
    </row>
    <row r="414" spans="1:10" x14ac:dyDescent="0.3">
      <c r="A414" t="s">
        <v>498</v>
      </c>
      <c r="B414" s="3">
        <v>46127</v>
      </c>
      <c r="C414" t="s">
        <v>25</v>
      </c>
      <c r="D414" t="s">
        <v>26</v>
      </c>
      <c r="E414" t="s">
        <v>27</v>
      </c>
      <c r="F414" t="s">
        <v>20</v>
      </c>
      <c r="G414" t="s">
        <v>28</v>
      </c>
      <c r="H414" s="5">
        <v>30000</v>
      </c>
      <c r="I414">
        <v>0</v>
      </c>
      <c r="J414">
        <v>0</v>
      </c>
    </row>
    <row r="415" spans="1:10" x14ac:dyDescent="0.3">
      <c r="A415" t="s">
        <v>499</v>
      </c>
      <c r="B415" s="3">
        <v>46128</v>
      </c>
      <c r="C415" t="s">
        <v>29</v>
      </c>
      <c r="D415" t="s">
        <v>30</v>
      </c>
      <c r="E415" t="s">
        <v>13</v>
      </c>
      <c r="F415" t="s">
        <v>20</v>
      </c>
      <c r="G415" t="s">
        <v>40</v>
      </c>
      <c r="H415" s="5">
        <v>500000</v>
      </c>
      <c r="I415">
        <v>500000</v>
      </c>
      <c r="J415">
        <v>0</v>
      </c>
    </row>
    <row r="416" spans="1:10" x14ac:dyDescent="0.3">
      <c r="A416" t="s">
        <v>500</v>
      </c>
      <c r="B416" s="3">
        <v>46128</v>
      </c>
      <c r="C416" t="s">
        <v>48</v>
      </c>
      <c r="D416" t="s">
        <v>49</v>
      </c>
      <c r="E416" t="s">
        <v>19</v>
      </c>
      <c r="F416" t="s">
        <v>20</v>
      </c>
      <c r="G416" t="s">
        <v>28</v>
      </c>
      <c r="H416" s="5">
        <v>80000</v>
      </c>
      <c r="I416">
        <v>0</v>
      </c>
      <c r="J416">
        <v>0</v>
      </c>
    </row>
    <row r="417" spans="1:10" x14ac:dyDescent="0.3">
      <c r="A417" t="s">
        <v>501</v>
      </c>
      <c r="B417" s="3">
        <v>46128</v>
      </c>
      <c r="C417" t="s">
        <v>62</v>
      </c>
      <c r="D417" t="s">
        <v>63</v>
      </c>
      <c r="E417" t="s">
        <v>52</v>
      </c>
      <c r="F417" t="s">
        <v>20</v>
      </c>
      <c r="G417" t="s">
        <v>57</v>
      </c>
      <c r="H417" s="5">
        <v>405000</v>
      </c>
      <c r="I417">
        <v>0</v>
      </c>
      <c r="J417">
        <v>0</v>
      </c>
    </row>
    <row r="418" spans="1:10" x14ac:dyDescent="0.3">
      <c r="A418" t="s">
        <v>502</v>
      </c>
      <c r="B418" s="3">
        <v>46128</v>
      </c>
      <c r="C418" t="s">
        <v>68</v>
      </c>
      <c r="D418" t="s">
        <v>69</v>
      </c>
      <c r="E418" t="s">
        <v>27</v>
      </c>
      <c r="F418" t="s">
        <v>14</v>
      </c>
      <c r="G418" t="s">
        <v>28</v>
      </c>
      <c r="H418" s="5">
        <v>355000</v>
      </c>
      <c r="I418">
        <v>325000</v>
      </c>
      <c r="J418">
        <v>30000</v>
      </c>
    </row>
    <row r="419" spans="1:10" x14ac:dyDescent="0.3">
      <c r="A419" t="s">
        <v>503</v>
      </c>
      <c r="B419" s="3">
        <v>46128</v>
      </c>
      <c r="C419" t="s">
        <v>50</v>
      </c>
      <c r="D419" t="s">
        <v>51</v>
      </c>
      <c r="E419" t="s">
        <v>52</v>
      </c>
      <c r="F419" t="s">
        <v>14</v>
      </c>
      <c r="G419" t="s">
        <v>57</v>
      </c>
      <c r="H419" s="5">
        <v>355000</v>
      </c>
      <c r="I419">
        <v>0</v>
      </c>
      <c r="J419">
        <v>0</v>
      </c>
    </row>
    <row r="420" spans="1:10" x14ac:dyDescent="0.3">
      <c r="A420" t="s">
        <v>504</v>
      </c>
      <c r="B420" s="3">
        <v>46128</v>
      </c>
      <c r="C420" t="s">
        <v>64</v>
      </c>
      <c r="D420" t="s">
        <v>65</v>
      </c>
      <c r="E420" t="s">
        <v>37</v>
      </c>
      <c r="F420" t="s">
        <v>14</v>
      </c>
      <c r="G420" t="s">
        <v>40</v>
      </c>
      <c r="H420" s="5">
        <v>450000</v>
      </c>
      <c r="I420">
        <v>425000</v>
      </c>
      <c r="J420">
        <v>25000</v>
      </c>
    </row>
    <row r="421" spans="1:10" x14ac:dyDescent="0.3">
      <c r="A421" t="s">
        <v>505</v>
      </c>
      <c r="B421" s="3">
        <v>46129</v>
      </c>
      <c r="C421" t="s">
        <v>41</v>
      </c>
      <c r="D421" t="s">
        <v>42</v>
      </c>
      <c r="E421" t="s">
        <v>43</v>
      </c>
      <c r="F421" t="s">
        <v>20</v>
      </c>
      <c r="G421" t="s">
        <v>57</v>
      </c>
      <c r="H421" s="5">
        <v>55000</v>
      </c>
      <c r="I421">
        <v>50000</v>
      </c>
      <c r="J421">
        <v>5000</v>
      </c>
    </row>
    <row r="422" spans="1:10" x14ac:dyDescent="0.3">
      <c r="A422" t="s">
        <v>506</v>
      </c>
      <c r="B422" s="3">
        <v>46129</v>
      </c>
      <c r="C422" t="s">
        <v>35</v>
      </c>
      <c r="D422" t="s">
        <v>36</v>
      </c>
      <c r="E422" t="s">
        <v>37</v>
      </c>
      <c r="F422" t="s">
        <v>14</v>
      </c>
      <c r="G422" t="s">
        <v>34</v>
      </c>
      <c r="H422" s="5">
        <v>175000</v>
      </c>
      <c r="I422">
        <v>125000</v>
      </c>
      <c r="J422">
        <v>50000</v>
      </c>
    </row>
    <row r="423" spans="1:10" x14ac:dyDescent="0.3">
      <c r="A423" t="s">
        <v>507</v>
      </c>
      <c r="B423" s="3">
        <v>46129</v>
      </c>
      <c r="C423" t="s">
        <v>68</v>
      </c>
      <c r="D423" t="s">
        <v>69</v>
      </c>
      <c r="E423" t="s">
        <v>27</v>
      </c>
      <c r="F423" t="s">
        <v>20</v>
      </c>
      <c r="G423" t="s">
        <v>58</v>
      </c>
      <c r="H423" s="5">
        <v>925000</v>
      </c>
      <c r="I423">
        <v>825000</v>
      </c>
      <c r="J423">
        <v>100000</v>
      </c>
    </row>
    <row r="424" spans="1:10" x14ac:dyDescent="0.3">
      <c r="A424" t="s">
        <v>508</v>
      </c>
      <c r="B424" s="3">
        <v>46129</v>
      </c>
      <c r="C424" t="s">
        <v>44</v>
      </c>
      <c r="D424" t="s">
        <v>45</v>
      </c>
      <c r="E424" t="s">
        <v>43</v>
      </c>
      <c r="F424" t="s">
        <v>20</v>
      </c>
      <c r="G424" t="s">
        <v>61</v>
      </c>
      <c r="H424" s="5">
        <v>700000</v>
      </c>
      <c r="I424">
        <v>650000</v>
      </c>
      <c r="J424">
        <v>50000</v>
      </c>
    </row>
    <row r="425" spans="1:10" x14ac:dyDescent="0.3">
      <c r="A425" t="s">
        <v>509</v>
      </c>
      <c r="B425" s="3">
        <v>46130</v>
      </c>
      <c r="C425" t="s">
        <v>46</v>
      </c>
      <c r="D425" t="s">
        <v>47</v>
      </c>
      <c r="E425" t="s">
        <v>37</v>
      </c>
      <c r="F425" t="s">
        <v>14</v>
      </c>
      <c r="G425" t="s">
        <v>58</v>
      </c>
      <c r="H425" s="5">
        <v>525000</v>
      </c>
      <c r="I425">
        <v>425000</v>
      </c>
      <c r="J425">
        <v>100000</v>
      </c>
    </row>
    <row r="426" spans="1:10" x14ac:dyDescent="0.3">
      <c r="A426" t="s">
        <v>510</v>
      </c>
      <c r="B426" s="3">
        <v>46130</v>
      </c>
      <c r="C426" t="s">
        <v>46</v>
      </c>
      <c r="D426" t="s">
        <v>47</v>
      </c>
      <c r="E426" t="s">
        <v>37</v>
      </c>
      <c r="F426" t="s">
        <v>20</v>
      </c>
      <c r="G426" t="s">
        <v>40</v>
      </c>
      <c r="H426" s="5">
        <v>825000</v>
      </c>
      <c r="I426">
        <v>775000</v>
      </c>
      <c r="J426">
        <v>50000</v>
      </c>
    </row>
    <row r="427" spans="1:10" x14ac:dyDescent="0.3">
      <c r="A427" t="s">
        <v>511</v>
      </c>
      <c r="B427" s="3">
        <v>46130</v>
      </c>
      <c r="C427" t="s">
        <v>55</v>
      </c>
      <c r="D427" t="s">
        <v>56</v>
      </c>
      <c r="E427" t="s">
        <v>24</v>
      </c>
      <c r="F427" t="s">
        <v>14</v>
      </c>
      <c r="G427" t="s">
        <v>34</v>
      </c>
      <c r="H427" s="5">
        <v>475000</v>
      </c>
      <c r="I427">
        <v>375000</v>
      </c>
      <c r="J427">
        <v>100000</v>
      </c>
    </row>
    <row r="428" spans="1:10" x14ac:dyDescent="0.3">
      <c r="A428" t="s">
        <v>512</v>
      </c>
      <c r="B428" s="3">
        <v>46130</v>
      </c>
      <c r="C428" t="s">
        <v>62</v>
      </c>
      <c r="D428" t="s">
        <v>63</v>
      </c>
      <c r="E428" t="s">
        <v>52</v>
      </c>
      <c r="F428" t="s">
        <v>20</v>
      </c>
      <c r="G428" t="s">
        <v>61</v>
      </c>
      <c r="H428" s="5">
        <v>100000</v>
      </c>
      <c r="I428">
        <v>0</v>
      </c>
      <c r="J428">
        <v>0</v>
      </c>
    </row>
    <row r="429" spans="1:10" x14ac:dyDescent="0.3">
      <c r="A429" t="s">
        <v>513</v>
      </c>
      <c r="B429" s="3">
        <v>46130</v>
      </c>
      <c r="C429" t="s">
        <v>11</v>
      </c>
      <c r="D429" t="s">
        <v>12</v>
      </c>
      <c r="E429" t="s">
        <v>13</v>
      </c>
      <c r="F429" t="s">
        <v>20</v>
      </c>
      <c r="G429" t="s">
        <v>34</v>
      </c>
      <c r="H429" s="5">
        <v>425000</v>
      </c>
      <c r="I429">
        <v>375000</v>
      </c>
      <c r="J429">
        <v>50000</v>
      </c>
    </row>
    <row r="430" spans="1:10" x14ac:dyDescent="0.3">
      <c r="A430" t="s">
        <v>514</v>
      </c>
      <c r="B430" s="3">
        <v>46130</v>
      </c>
      <c r="C430" t="s">
        <v>35</v>
      </c>
      <c r="D430" t="s">
        <v>36</v>
      </c>
      <c r="E430" t="s">
        <v>37</v>
      </c>
      <c r="F430" t="s">
        <v>20</v>
      </c>
      <c r="G430" t="s">
        <v>57</v>
      </c>
      <c r="H430" s="5">
        <v>205000</v>
      </c>
      <c r="I430">
        <v>175000</v>
      </c>
      <c r="J430">
        <v>30000</v>
      </c>
    </row>
    <row r="431" spans="1:10" x14ac:dyDescent="0.3">
      <c r="A431" t="s">
        <v>515</v>
      </c>
      <c r="B431" s="3">
        <v>46130</v>
      </c>
      <c r="C431" t="s">
        <v>35</v>
      </c>
      <c r="D431" t="s">
        <v>36</v>
      </c>
      <c r="E431" t="s">
        <v>37</v>
      </c>
      <c r="F431" t="s">
        <v>14</v>
      </c>
      <c r="G431" t="s">
        <v>57</v>
      </c>
      <c r="H431" s="5">
        <v>480000</v>
      </c>
      <c r="I431">
        <v>450000</v>
      </c>
      <c r="J431">
        <v>30000</v>
      </c>
    </row>
    <row r="432" spans="1:10" x14ac:dyDescent="0.3">
      <c r="A432" t="s">
        <v>516</v>
      </c>
      <c r="B432" s="3">
        <v>46131</v>
      </c>
      <c r="C432" t="s">
        <v>29</v>
      </c>
      <c r="D432" t="s">
        <v>30</v>
      </c>
      <c r="E432" t="s">
        <v>13</v>
      </c>
      <c r="F432" t="s">
        <v>14</v>
      </c>
      <c r="G432" t="s">
        <v>57</v>
      </c>
      <c r="H432" s="5">
        <v>255000</v>
      </c>
      <c r="I432">
        <v>225000</v>
      </c>
      <c r="J432">
        <v>30000</v>
      </c>
    </row>
    <row r="433" spans="1:10" x14ac:dyDescent="0.3">
      <c r="A433" t="s">
        <v>517</v>
      </c>
      <c r="B433" s="3">
        <v>46131</v>
      </c>
      <c r="C433" t="s">
        <v>35</v>
      </c>
      <c r="D433" t="s">
        <v>36</v>
      </c>
      <c r="E433" t="s">
        <v>37</v>
      </c>
      <c r="F433" t="s">
        <v>14</v>
      </c>
      <c r="G433" t="s">
        <v>34</v>
      </c>
      <c r="H433" s="5">
        <v>325000</v>
      </c>
      <c r="I433">
        <v>250000</v>
      </c>
      <c r="J433">
        <v>75000</v>
      </c>
    </row>
    <row r="434" spans="1:10" x14ac:dyDescent="0.3">
      <c r="A434" t="s">
        <v>518</v>
      </c>
      <c r="B434" s="3">
        <v>46131</v>
      </c>
      <c r="C434" t="s">
        <v>64</v>
      </c>
      <c r="D434" t="s">
        <v>65</v>
      </c>
      <c r="E434" t="s">
        <v>37</v>
      </c>
      <c r="F434" t="s">
        <v>14</v>
      </c>
      <c r="G434" t="s">
        <v>58</v>
      </c>
      <c r="H434" s="5">
        <v>500000</v>
      </c>
      <c r="I434">
        <v>475000</v>
      </c>
      <c r="J434">
        <v>25000</v>
      </c>
    </row>
    <row r="435" spans="1:10" x14ac:dyDescent="0.3">
      <c r="A435" t="s">
        <v>519</v>
      </c>
      <c r="B435" s="3">
        <v>46132</v>
      </c>
      <c r="C435" t="s">
        <v>29</v>
      </c>
      <c r="D435" t="s">
        <v>30</v>
      </c>
      <c r="E435" t="s">
        <v>13</v>
      </c>
      <c r="F435" t="s">
        <v>14</v>
      </c>
      <c r="G435" t="s">
        <v>34</v>
      </c>
      <c r="H435" s="5">
        <v>475000</v>
      </c>
      <c r="I435">
        <v>0</v>
      </c>
      <c r="J435">
        <v>0</v>
      </c>
    </row>
    <row r="436" spans="1:10" x14ac:dyDescent="0.3">
      <c r="A436" t="s">
        <v>520</v>
      </c>
      <c r="B436" s="3">
        <v>46132</v>
      </c>
      <c r="C436" t="s">
        <v>32</v>
      </c>
      <c r="D436" t="s">
        <v>33</v>
      </c>
      <c r="E436" t="s">
        <v>27</v>
      </c>
      <c r="F436" t="s">
        <v>20</v>
      </c>
      <c r="G436" t="s">
        <v>34</v>
      </c>
      <c r="H436" s="5">
        <v>100000</v>
      </c>
      <c r="I436">
        <v>75000</v>
      </c>
      <c r="J436">
        <v>25000</v>
      </c>
    </row>
    <row r="437" spans="1:10" x14ac:dyDescent="0.3">
      <c r="A437" t="s">
        <v>521</v>
      </c>
      <c r="B437" s="3">
        <v>46132</v>
      </c>
      <c r="C437" t="s">
        <v>62</v>
      </c>
      <c r="D437" t="s">
        <v>63</v>
      </c>
      <c r="E437" t="s">
        <v>52</v>
      </c>
      <c r="F437" t="s">
        <v>14</v>
      </c>
      <c r="G437" t="s">
        <v>40</v>
      </c>
      <c r="H437" s="5">
        <v>900000</v>
      </c>
      <c r="I437">
        <v>875000</v>
      </c>
      <c r="J437">
        <v>25000</v>
      </c>
    </row>
    <row r="438" spans="1:10" x14ac:dyDescent="0.3">
      <c r="A438" t="s">
        <v>522</v>
      </c>
      <c r="B438" s="3">
        <v>46132</v>
      </c>
      <c r="C438" t="s">
        <v>35</v>
      </c>
      <c r="D438" t="s">
        <v>36</v>
      </c>
      <c r="E438" t="s">
        <v>37</v>
      </c>
      <c r="F438" t="s">
        <v>20</v>
      </c>
      <c r="G438" t="s">
        <v>58</v>
      </c>
      <c r="H438" s="5">
        <v>875000</v>
      </c>
      <c r="I438">
        <v>700000</v>
      </c>
      <c r="J438">
        <v>175000</v>
      </c>
    </row>
    <row r="439" spans="1:10" x14ac:dyDescent="0.3">
      <c r="A439" t="s">
        <v>523</v>
      </c>
      <c r="B439" s="3">
        <v>46132</v>
      </c>
      <c r="C439" t="s">
        <v>22</v>
      </c>
      <c r="D439" t="s">
        <v>23</v>
      </c>
      <c r="E439" t="s">
        <v>24</v>
      </c>
      <c r="F439" t="s">
        <v>20</v>
      </c>
      <c r="G439" t="s">
        <v>15</v>
      </c>
      <c r="H439" s="5">
        <v>3025000</v>
      </c>
      <c r="I439">
        <v>2825000</v>
      </c>
      <c r="J439">
        <v>200000</v>
      </c>
    </row>
    <row r="440" spans="1:10" x14ac:dyDescent="0.3">
      <c r="A440" t="s">
        <v>524</v>
      </c>
      <c r="B440" s="3">
        <v>46132</v>
      </c>
      <c r="C440" t="s">
        <v>25</v>
      </c>
      <c r="D440" t="s">
        <v>26</v>
      </c>
      <c r="E440" t="s">
        <v>27</v>
      </c>
      <c r="F440" t="s">
        <v>20</v>
      </c>
      <c r="G440" t="s">
        <v>31</v>
      </c>
      <c r="H440" s="5">
        <v>1225000</v>
      </c>
      <c r="I440">
        <v>0</v>
      </c>
      <c r="J440">
        <v>0</v>
      </c>
    </row>
    <row r="441" spans="1:10" x14ac:dyDescent="0.3">
      <c r="A441" t="s">
        <v>525</v>
      </c>
      <c r="B441" s="3">
        <v>46133</v>
      </c>
      <c r="C441" t="s">
        <v>11</v>
      </c>
      <c r="D441" t="s">
        <v>12</v>
      </c>
      <c r="E441" t="s">
        <v>13</v>
      </c>
      <c r="F441" t="s">
        <v>20</v>
      </c>
      <c r="G441" t="s">
        <v>34</v>
      </c>
      <c r="H441" s="5">
        <v>50000</v>
      </c>
      <c r="I441">
        <v>50000</v>
      </c>
      <c r="J441">
        <v>0</v>
      </c>
    </row>
    <row r="442" spans="1:10" x14ac:dyDescent="0.3">
      <c r="A442" t="s">
        <v>526</v>
      </c>
      <c r="B442" s="3">
        <v>46133</v>
      </c>
      <c r="C442" t="s">
        <v>38</v>
      </c>
      <c r="D442" t="s">
        <v>39</v>
      </c>
      <c r="E442" t="s">
        <v>24</v>
      </c>
      <c r="F442" t="s">
        <v>20</v>
      </c>
      <c r="G442" t="s">
        <v>58</v>
      </c>
      <c r="H442" s="5">
        <v>550000</v>
      </c>
      <c r="I442">
        <v>0</v>
      </c>
      <c r="J442">
        <v>0</v>
      </c>
    </row>
    <row r="443" spans="1:10" x14ac:dyDescent="0.3">
      <c r="A443" t="s">
        <v>527</v>
      </c>
      <c r="B443" s="3">
        <v>46133</v>
      </c>
      <c r="C443" t="s">
        <v>53</v>
      </c>
      <c r="D443" t="s">
        <v>54</v>
      </c>
      <c r="E443" t="s">
        <v>43</v>
      </c>
      <c r="F443" t="s">
        <v>20</v>
      </c>
      <c r="G443" t="s">
        <v>57</v>
      </c>
      <c r="H443" s="5">
        <v>155000</v>
      </c>
      <c r="I443">
        <v>150000</v>
      </c>
      <c r="J443">
        <v>5000</v>
      </c>
    </row>
    <row r="444" spans="1:10" x14ac:dyDescent="0.3">
      <c r="A444" t="s">
        <v>528</v>
      </c>
      <c r="B444" s="3">
        <v>46133</v>
      </c>
      <c r="C444" t="s">
        <v>22</v>
      </c>
      <c r="D444" t="s">
        <v>23</v>
      </c>
      <c r="E444" t="s">
        <v>24</v>
      </c>
      <c r="F444" t="s">
        <v>20</v>
      </c>
      <c r="G444" t="s">
        <v>31</v>
      </c>
      <c r="H444" s="5">
        <v>1375000</v>
      </c>
      <c r="I444">
        <v>1150000</v>
      </c>
      <c r="J444">
        <v>225000</v>
      </c>
    </row>
    <row r="445" spans="1:10" x14ac:dyDescent="0.3">
      <c r="A445" t="s">
        <v>529</v>
      </c>
      <c r="B445" s="3">
        <v>46133</v>
      </c>
      <c r="C445" t="s">
        <v>59</v>
      </c>
      <c r="D445" t="s">
        <v>60</v>
      </c>
      <c r="E445" t="s">
        <v>19</v>
      </c>
      <c r="F445" t="s">
        <v>20</v>
      </c>
      <c r="G445" t="s">
        <v>61</v>
      </c>
      <c r="H445" s="5">
        <v>325000</v>
      </c>
      <c r="I445">
        <v>0</v>
      </c>
      <c r="J445">
        <v>0</v>
      </c>
    </row>
    <row r="446" spans="1:10" x14ac:dyDescent="0.3">
      <c r="A446" t="s">
        <v>530</v>
      </c>
      <c r="B446" s="3">
        <v>46134</v>
      </c>
      <c r="C446" t="s">
        <v>41</v>
      </c>
      <c r="D446" t="s">
        <v>42</v>
      </c>
      <c r="E446" t="s">
        <v>43</v>
      </c>
      <c r="F446" t="s">
        <v>20</v>
      </c>
      <c r="G446" t="s">
        <v>58</v>
      </c>
      <c r="H446" s="5">
        <v>875000</v>
      </c>
      <c r="I446">
        <v>750000</v>
      </c>
      <c r="J446">
        <v>125000</v>
      </c>
    </row>
    <row r="447" spans="1:10" x14ac:dyDescent="0.3">
      <c r="A447" t="s">
        <v>531</v>
      </c>
      <c r="B447" s="3">
        <v>46134</v>
      </c>
      <c r="C447" t="s">
        <v>11</v>
      </c>
      <c r="D447" t="s">
        <v>12</v>
      </c>
      <c r="E447" t="s">
        <v>13</v>
      </c>
      <c r="F447" t="s">
        <v>20</v>
      </c>
      <c r="G447" t="s">
        <v>61</v>
      </c>
      <c r="H447" s="5">
        <v>550000</v>
      </c>
      <c r="I447">
        <v>450000</v>
      </c>
      <c r="J447">
        <v>100000</v>
      </c>
    </row>
    <row r="448" spans="1:10" x14ac:dyDescent="0.3">
      <c r="A448" t="s">
        <v>532</v>
      </c>
      <c r="B448" s="3">
        <v>46134</v>
      </c>
      <c r="C448" t="s">
        <v>17</v>
      </c>
      <c r="D448" t="s">
        <v>18</v>
      </c>
      <c r="E448" t="s">
        <v>19</v>
      </c>
      <c r="F448" t="s">
        <v>14</v>
      </c>
      <c r="G448" t="s">
        <v>61</v>
      </c>
      <c r="H448" s="5">
        <v>575000</v>
      </c>
      <c r="I448">
        <v>425000</v>
      </c>
      <c r="J448">
        <v>150000</v>
      </c>
    </row>
    <row r="449" spans="1:10" x14ac:dyDescent="0.3">
      <c r="A449" t="s">
        <v>533</v>
      </c>
      <c r="B449" s="3">
        <v>46134</v>
      </c>
      <c r="C449" t="s">
        <v>59</v>
      </c>
      <c r="D449" t="s">
        <v>60</v>
      </c>
      <c r="E449" t="s">
        <v>19</v>
      </c>
      <c r="F449" t="s">
        <v>20</v>
      </c>
      <c r="G449" t="s">
        <v>61</v>
      </c>
      <c r="H449" s="5">
        <v>500000</v>
      </c>
      <c r="I449">
        <v>475000</v>
      </c>
      <c r="J449">
        <v>25000</v>
      </c>
    </row>
    <row r="450" spans="1:10" x14ac:dyDescent="0.3">
      <c r="A450" t="s">
        <v>534</v>
      </c>
      <c r="B450" s="3">
        <v>46135</v>
      </c>
      <c r="C450" t="s">
        <v>17</v>
      </c>
      <c r="D450" t="s">
        <v>18</v>
      </c>
      <c r="E450" t="s">
        <v>19</v>
      </c>
      <c r="F450" t="s">
        <v>20</v>
      </c>
      <c r="G450" t="s">
        <v>28</v>
      </c>
      <c r="H450" s="5">
        <v>405000</v>
      </c>
      <c r="I450">
        <v>300000</v>
      </c>
      <c r="J450">
        <v>105000</v>
      </c>
    </row>
    <row r="451" spans="1:10" x14ac:dyDescent="0.3">
      <c r="A451" t="s">
        <v>535</v>
      </c>
      <c r="B451" s="3">
        <v>46135</v>
      </c>
      <c r="C451" t="s">
        <v>25</v>
      </c>
      <c r="D451" t="s">
        <v>26</v>
      </c>
      <c r="E451" t="s">
        <v>27</v>
      </c>
      <c r="F451" t="s">
        <v>14</v>
      </c>
      <c r="G451" t="s">
        <v>15</v>
      </c>
      <c r="H451" s="5">
        <v>1900000</v>
      </c>
      <c r="I451">
        <v>1575000</v>
      </c>
      <c r="J451">
        <v>325000</v>
      </c>
    </row>
    <row r="452" spans="1:10" x14ac:dyDescent="0.3">
      <c r="A452" t="s">
        <v>536</v>
      </c>
      <c r="B452" s="3">
        <v>46136</v>
      </c>
      <c r="C452" t="s">
        <v>62</v>
      </c>
      <c r="D452" t="s">
        <v>63</v>
      </c>
      <c r="E452" t="s">
        <v>52</v>
      </c>
      <c r="F452" t="s">
        <v>14</v>
      </c>
      <c r="G452" t="s">
        <v>31</v>
      </c>
      <c r="H452" s="5">
        <v>1100000</v>
      </c>
      <c r="I452">
        <v>0</v>
      </c>
      <c r="J452">
        <v>0</v>
      </c>
    </row>
    <row r="453" spans="1:10" x14ac:dyDescent="0.3">
      <c r="A453" t="s">
        <v>537</v>
      </c>
      <c r="B453" s="3">
        <v>46136</v>
      </c>
      <c r="C453" t="s">
        <v>38</v>
      </c>
      <c r="D453" t="s">
        <v>39</v>
      </c>
      <c r="E453" t="s">
        <v>24</v>
      </c>
      <c r="F453" t="s">
        <v>20</v>
      </c>
      <c r="G453" t="s">
        <v>57</v>
      </c>
      <c r="H453" s="5">
        <v>105000</v>
      </c>
      <c r="I453">
        <v>75000</v>
      </c>
      <c r="J453">
        <v>30000</v>
      </c>
    </row>
    <row r="454" spans="1:10" x14ac:dyDescent="0.3">
      <c r="A454" t="s">
        <v>538</v>
      </c>
      <c r="B454" s="3">
        <v>46136</v>
      </c>
      <c r="C454" t="s">
        <v>44</v>
      </c>
      <c r="D454" t="s">
        <v>45</v>
      </c>
      <c r="E454" t="s">
        <v>43</v>
      </c>
      <c r="F454" t="s">
        <v>20</v>
      </c>
      <c r="G454" t="s">
        <v>57</v>
      </c>
      <c r="H454" s="5">
        <v>105000</v>
      </c>
      <c r="I454">
        <v>75000</v>
      </c>
      <c r="J454">
        <v>30000</v>
      </c>
    </row>
    <row r="455" spans="1:10" x14ac:dyDescent="0.3">
      <c r="A455" t="s">
        <v>539</v>
      </c>
      <c r="B455" s="3">
        <v>46136</v>
      </c>
      <c r="C455" t="s">
        <v>50</v>
      </c>
      <c r="D455" t="s">
        <v>51</v>
      </c>
      <c r="E455" t="s">
        <v>52</v>
      </c>
      <c r="F455" t="s">
        <v>14</v>
      </c>
      <c r="G455" t="s">
        <v>15</v>
      </c>
      <c r="H455" s="5">
        <v>2500000</v>
      </c>
      <c r="I455">
        <v>0</v>
      </c>
      <c r="J455">
        <v>0</v>
      </c>
    </row>
    <row r="456" spans="1:10" x14ac:dyDescent="0.3">
      <c r="A456" t="s">
        <v>540</v>
      </c>
      <c r="B456" s="3">
        <v>46136</v>
      </c>
      <c r="C456" t="s">
        <v>66</v>
      </c>
      <c r="D456" t="s">
        <v>67</v>
      </c>
      <c r="E456" t="s">
        <v>13</v>
      </c>
      <c r="F456" t="s">
        <v>14</v>
      </c>
      <c r="G456" t="s">
        <v>15</v>
      </c>
      <c r="H456" s="5">
        <v>1725000</v>
      </c>
      <c r="I456">
        <v>1250000</v>
      </c>
      <c r="J456">
        <v>475000</v>
      </c>
    </row>
    <row r="457" spans="1:10" x14ac:dyDescent="0.3">
      <c r="A457" t="s">
        <v>541</v>
      </c>
      <c r="B457" s="3">
        <v>46137</v>
      </c>
      <c r="C457" t="s">
        <v>55</v>
      </c>
      <c r="D457" t="s">
        <v>56</v>
      </c>
      <c r="E457" t="s">
        <v>24</v>
      </c>
      <c r="F457" t="s">
        <v>14</v>
      </c>
      <c r="G457" t="s">
        <v>15</v>
      </c>
      <c r="H457" s="5">
        <v>675000</v>
      </c>
      <c r="I457">
        <v>0</v>
      </c>
      <c r="J457">
        <v>0</v>
      </c>
    </row>
    <row r="458" spans="1:10" x14ac:dyDescent="0.3">
      <c r="A458" t="s">
        <v>542</v>
      </c>
      <c r="B458" s="3">
        <v>46137</v>
      </c>
      <c r="C458" t="s">
        <v>11</v>
      </c>
      <c r="D458" t="s">
        <v>12</v>
      </c>
      <c r="E458" t="s">
        <v>13</v>
      </c>
      <c r="F458" t="s">
        <v>20</v>
      </c>
      <c r="G458" t="s">
        <v>57</v>
      </c>
      <c r="H458" s="5">
        <v>205000</v>
      </c>
      <c r="I458">
        <v>175000</v>
      </c>
      <c r="J458">
        <v>30000</v>
      </c>
    </row>
    <row r="459" spans="1:10" x14ac:dyDescent="0.3">
      <c r="A459" t="s">
        <v>543</v>
      </c>
      <c r="B459" s="3">
        <v>46137</v>
      </c>
      <c r="C459" t="s">
        <v>22</v>
      </c>
      <c r="D459" t="s">
        <v>23</v>
      </c>
      <c r="E459" t="s">
        <v>24</v>
      </c>
      <c r="F459" t="s">
        <v>20</v>
      </c>
      <c r="G459" t="s">
        <v>28</v>
      </c>
      <c r="H459" s="5">
        <v>255000</v>
      </c>
      <c r="I459">
        <v>200000</v>
      </c>
      <c r="J459">
        <v>55000</v>
      </c>
    </row>
    <row r="460" spans="1:10" x14ac:dyDescent="0.3">
      <c r="A460" t="s">
        <v>544</v>
      </c>
      <c r="B460" s="3">
        <v>46137</v>
      </c>
      <c r="C460" t="s">
        <v>25</v>
      </c>
      <c r="D460" t="s">
        <v>26</v>
      </c>
      <c r="E460" t="s">
        <v>27</v>
      </c>
      <c r="F460" t="s">
        <v>20</v>
      </c>
      <c r="G460" t="s">
        <v>58</v>
      </c>
      <c r="H460" s="5">
        <v>1025000</v>
      </c>
      <c r="I460">
        <v>1025000</v>
      </c>
      <c r="J460">
        <v>0</v>
      </c>
    </row>
    <row r="461" spans="1:10" x14ac:dyDescent="0.3">
      <c r="A461" t="s">
        <v>545</v>
      </c>
      <c r="B461" s="3">
        <v>46138</v>
      </c>
      <c r="C461" t="s">
        <v>29</v>
      </c>
      <c r="D461" t="s">
        <v>30</v>
      </c>
      <c r="E461" t="s">
        <v>13</v>
      </c>
      <c r="F461" t="s">
        <v>20</v>
      </c>
      <c r="G461" t="s">
        <v>40</v>
      </c>
      <c r="H461" s="5">
        <v>450000</v>
      </c>
      <c r="I461">
        <v>425000</v>
      </c>
      <c r="J461">
        <v>25000</v>
      </c>
    </row>
    <row r="462" spans="1:10" x14ac:dyDescent="0.3">
      <c r="A462" t="s">
        <v>546</v>
      </c>
      <c r="B462" s="3">
        <v>46138</v>
      </c>
      <c r="C462" t="s">
        <v>62</v>
      </c>
      <c r="D462" t="s">
        <v>63</v>
      </c>
      <c r="E462" t="s">
        <v>52</v>
      </c>
      <c r="F462" t="s">
        <v>14</v>
      </c>
      <c r="G462" t="s">
        <v>57</v>
      </c>
      <c r="H462" s="5">
        <v>380000</v>
      </c>
      <c r="I462">
        <v>0</v>
      </c>
      <c r="J462">
        <v>0</v>
      </c>
    </row>
    <row r="463" spans="1:10" x14ac:dyDescent="0.3">
      <c r="A463" t="s">
        <v>547</v>
      </c>
      <c r="B463" s="3">
        <v>46138</v>
      </c>
      <c r="C463" t="s">
        <v>11</v>
      </c>
      <c r="D463" t="s">
        <v>12</v>
      </c>
      <c r="E463" t="s">
        <v>13</v>
      </c>
      <c r="F463" t="s">
        <v>14</v>
      </c>
      <c r="G463" t="s">
        <v>58</v>
      </c>
      <c r="H463" s="5">
        <v>225000</v>
      </c>
      <c r="I463">
        <v>200000</v>
      </c>
      <c r="J463">
        <v>25000</v>
      </c>
    </row>
    <row r="464" spans="1:10" x14ac:dyDescent="0.3">
      <c r="A464" t="s">
        <v>548</v>
      </c>
      <c r="B464" s="3">
        <v>46138</v>
      </c>
      <c r="C464" t="s">
        <v>68</v>
      </c>
      <c r="D464" t="s">
        <v>69</v>
      </c>
      <c r="E464" t="s">
        <v>27</v>
      </c>
      <c r="F464" t="s">
        <v>14</v>
      </c>
      <c r="G464" t="s">
        <v>31</v>
      </c>
      <c r="H464" s="5">
        <v>475000</v>
      </c>
      <c r="I464">
        <v>425000</v>
      </c>
      <c r="J464">
        <v>50000</v>
      </c>
    </row>
    <row r="465" spans="1:10" x14ac:dyDescent="0.3">
      <c r="A465" t="s">
        <v>549</v>
      </c>
      <c r="B465" s="3">
        <v>46138</v>
      </c>
      <c r="C465" t="s">
        <v>17</v>
      </c>
      <c r="D465" t="s">
        <v>18</v>
      </c>
      <c r="E465" t="s">
        <v>19</v>
      </c>
      <c r="F465" t="s">
        <v>20</v>
      </c>
      <c r="G465" t="s">
        <v>34</v>
      </c>
      <c r="H465" s="5">
        <v>225000</v>
      </c>
      <c r="I465">
        <v>0</v>
      </c>
      <c r="J465">
        <v>0</v>
      </c>
    </row>
    <row r="466" spans="1:10" x14ac:dyDescent="0.3">
      <c r="A466" t="s">
        <v>550</v>
      </c>
      <c r="B466" s="3">
        <v>46138</v>
      </c>
      <c r="C466" t="s">
        <v>50</v>
      </c>
      <c r="D466" t="s">
        <v>51</v>
      </c>
      <c r="E466" t="s">
        <v>52</v>
      </c>
      <c r="F466" t="s">
        <v>20</v>
      </c>
      <c r="G466" t="s">
        <v>61</v>
      </c>
      <c r="H466" s="5">
        <v>125000</v>
      </c>
      <c r="I466">
        <v>100000</v>
      </c>
      <c r="J466">
        <v>25000</v>
      </c>
    </row>
    <row r="467" spans="1:10" x14ac:dyDescent="0.3">
      <c r="A467" t="s">
        <v>551</v>
      </c>
      <c r="B467" s="3">
        <v>46139</v>
      </c>
      <c r="C467" t="s">
        <v>29</v>
      </c>
      <c r="D467" t="s">
        <v>30</v>
      </c>
      <c r="E467" t="s">
        <v>13</v>
      </c>
      <c r="F467" t="s">
        <v>20</v>
      </c>
      <c r="G467" t="s">
        <v>31</v>
      </c>
      <c r="H467" s="5">
        <v>600000</v>
      </c>
      <c r="I467">
        <v>525000</v>
      </c>
      <c r="J467">
        <v>75000</v>
      </c>
    </row>
    <row r="468" spans="1:10" x14ac:dyDescent="0.3">
      <c r="A468" t="s">
        <v>552</v>
      </c>
      <c r="B468" s="3">
        <v>46139</v>
      </c>
      <c r="C468" t="s">
        <v>29</v>
      </c>
      <c r="D468" t="s">
        <v>30</v>
      </c>
      <c r="E468" t="s">
        <v>13</v>
      </c>
      <c r="F468" t="s">
        <v>14</v>
      </c>
      <c r="G468" t="s">
        <v>58</v>
      </c>
      <c r="H468" s="5">
        <v>275000</v>
      </c>
      <c r="I468">
        <v>225000</v>
      </c>
      <c r="J468">
        <v>50000</v>
      </c>
    </row>
    <row r="469" spans="1:10" x14ac:dyDescent="0.3">
      <c r="A469" t="s">
        <v>553</v>
      </c>
      <c r="B469" s="3">
        <v>46139</v>
      </c>
      <c r="C469" t="s">
        <v>55</v>
      </c>
      <c r="D469" t="s">
        <v>56</v>
      </c>
      <c r="E469" t="s">
        <v>24</v>
      </c>
      <c r="F469" t="s">
        <v>20</v>
      </c>
      <c r="G469" t="s">
        <v>15</v>
      </c>
      <c r="H469" s="5">
        <v>2800000</v>
      </c>
      <c r="I469">
        <v>2300000</v>
      </c>
      <c r="J469">
        <v>500000</v>
      </c>
    </row>
    <row r="470" spans="1:10" x14ac:dyDescent="0.3">
      <c r="A470" t="s">
        <v>554</v>
      </c>
      <c r="B470" s="3">
        <v>46139</v>
      </c>
      <c r="C470" t="s">
        <v>41</v>
      </c>
      <c r="D470" t="s">
        <v>42</v>
      </c>
      <c r="E470" t="s">
        <v>43</v>
      </c>
      <c r="F470" t="s">
        <v>14</v>
      </c>
      <c r="G470" t="s">
        <v>15</v>
      </c>
      <c r="H470" s="5">
        <v>1250000</v>
      </c>
      <c r="I470">
        <v>0</v>
      </c>
      <c r="J470">
        <v>0</v>
      </c>
    </row>
    <row r="471" spans="1:10" x14ac:dyDescent="0.3">
      <c r="A471" t="s">
        <v>555</v>
      </c>
      <c r="B471" s="3">
        <v>46139</v>
      </c>
      <c r="C471" t="s">
        <v>38</v>
      </c>
      <c r="D471" t="s">
        <v>39</v>
      </c>
      <c r="E471" t="s">
        <v>24</v>
      </c>
      <c r="F471" t="s">
        <v>20</v>
      </c>
      <c r="G471" t="s">
        <v>28</v>
      </c>
      <c r="H471" s="5">
        <v>355000</v>
      </c>
      <c r="I471">
        <v>0</v>
      </c>
      <c r="J471">
        <v>0</v>
      </c>
    </row>
    <row r="472" spans="1:10" x14ac:dyDescent="0.3">
      <c r="A472" t="s">
        <v>556</v>
      </c>
      <c r="B472" s="3">
        <v>46139</v>
      </c>
      <c r="C472" t="s">
        <v>53</v>
      </c>
      <c r="D472" t="s">
        <v>54</v>
      </c>
      <c r="E472" t="s">
        <v>43</v>
      </c>
      <c r="F472" t="s">
        <v>14</v>
      </c>
      <c r="G472" t="s">
        <v>28</v>
      </c>
      <c r="H472" s="5">
        <v>55000</v>
      </c>
      <c r="I472">
        <v>50000</v>
      </c>
      <c r="J472">
        <v>5000</v>
      </c>
    </row>
    <row r="473" spans="1:10" x14ac:dyDescent="0.3">
      <c r="A473" t="s">
        <v>557</v>
      </c>
      <c r="B473" s="3">
        <v>46140</v>
      </c>
      <c r="C473" t="s">
        <v>29</v>
      </c>
      <c r="D473" t="s">
        <v>30</v>
      </c>
      <c r="E473" t="s">
        <v>13</v>
      </c>
      <c r="F473" t="s">
        <v>14</v>
      </c>
      <c r="G473" t="s">
        <v>61</v>
      </c>
      <c r="H473" s="5">
        <v>400000</v>
      </c>
      <c r="I473">
        <v>350000</v>
      </c>
      <c r="J473">
        <v>50000</v>
      </c>
    </row>
    <row r="474" spans="1:10" x14ac:dyDescent="0.3">
      <c r="A474" t="s">
        <v>558</v>
      </c>
      <c r="B474" s="3">
        <v>46140</v>
      </c>
      <c r="C474" t="s">
        <v>38</v>
      </c>
      <c r="D474" t="s">
        <v>39</v>
      </c>
      <c r="E474" t="s">
        <v>24</v>
      </c>
      <c r="F474" t="s">
        <v>20</v>
      </c>
      <c r="G474" t="s">
        <v>58</v>
      </c>
      <c r="H474" s="5">
        <v>825000</v>
      </c>
      <c r="I474">
        <v>0</v>
      </c>
      <c r="J474">
        <v>0</v>
      </c>
    </row>
    <row r="475" spans="1:10" x14ac:dyDescent="0.3">
      <c r="A475" t="s">
        <v>559</v>
      </c>
      <c r="B475" s="3">
        <v>46140</v>
      </c>
      <c r="C475" t="s">
        <v>68</v>
      </c>
      <c r="D475" t="s">
        <v>69</v>
      </c>
      <c r="E475" t="s">
        <v>27</v>
      </c>
      <c r="F475" t="s">
        <v>20</v>
      </c>
      <c r="G475" t="s">
        <v>34</v>
      </c>
      <c r="H475" s="5">
        <v>425000</v>
      </c>
      <c r="I475">
        <v>325000</v>
      </c>
      <c r="J475">
        <v>100000</v>
      </c>
    </row>
    <row r="476" spans="1:10" x14ac:dyDescent="0.3">
      <c r="A476" t="s">
        <v>560</v>
      </c>
      <c r="B476" s="3">
        <v>46140</v>
      </c>
      <c r="C476" t="s">
        <v>44</v>
      </c>
      <c r="D476" t="s">
        <v>45</v>
      </c>
      <c r="E476" t="s">
        <v>43</v>
      </c>
      <c r="F476" t="s">
        <v>20</v>
      </c>
      <c r="G476" t="s">
        <v>58</v>
      </c>
      <c r="H476" s="5">
        <v>1075000</v>
      </c>
      <c r="I476">
        <v>0</v>
      </c>
      <c r="J476">
        <v>0</v>
      </c>
    </row>
    <row r="477" spans="1:10" x14ac:dyDescent="0.3">
      <c r="A477" t="s">
        <v>561</v>
      </c>
      <c r="B477" s="3">
        <v>46140</v>
      </c>
      <c r="C477" t="s">
        <v>50</v>
      </c>
      <c r="D477" t="s">
        <v>51</v>
      </c>
      <c r="E477" t="s">
        <v>52</v>
      </c>
      <c r="F477" t="s">
        <v>14</v>
      </c>
      <c r="G477" t="s">
        <v>58</v>
      </c>
      <c r="H477" s="5">
        <v>625000</v>
      </c>
      <c r="I477">
        <v>0</v>
      </c>
      <c r="J477">
        <v>0</v>
      </c>
    </row>
    <row r="478" spans="1:10" x14ac:dyDescent="0.3">
      <c r="A478" t="s">
        <v>562</v>
      </c>
      <c r="B478" s="3">
        <v>46140</v>
      </c>
      <c r="C478" t="s">
        <v>64</v>
      </c>
      <c r="D478" t="s">
        <v>65</v>
      </c>
      <c r="E478" t="s">
        <v>37</v>
      </c>
      <c r="F478" t="s">
        <v>14</v>
      </c>
      <c r="G478" t="s">
        <v>61</v>
      </c>
      <c r="H478" s="5">
        <v>200000</v>
      </c>
      <c r="I478">
        <v>0</v>
      </c>
      <c r="J478">
        <v>0</v>
      </c>
    </row>
    <row r="479" spans="1:10" x14ac:dyDescent="0.3">
      <c r="A479" t="s">
        <v>563</v>
      </c>
      <c r="B479" s="3">
        <v>46141</v>
      </c>
      <c r="C479" t="s">
        <v>44</v>
      </c>
      <c r="D479" t="s">
        <v>45</v>
      </c>
      <c r="E479" t="s">
        <v>43</v>
      </c>
      <c r="F479" t="s">
        <v>20</v>
      </c>
      <c r="G479" t="s">
        <v>34</v>
      </c>
      <c r="H479" s="5">
        <v>500000</v>
      </c>
      <c r="I479">
        <v>375000</v>
      </c>
      <c r="J479">
        <v>125000</v>
      </c>
    </row>
    <row r="480" spans="1:10" x14ac:dyDescent="0.3">
      <c r="A480" t="s">
        <v>564</v>
      </c>
      <c r="B480" s="3">
        <v>46142</v>
      </c>
      <c r="C480" t="s">
        <v>55</v>
      </c>
      <c r="D480" t="s">
        <v>56</v>
      </c>
      <c r="E480" t="s">
        <v>24</v>
      </c>
      <c r="F480" t="s">
        <v>20</v>
      </c>
      <c r="G480" t="s">
        <v>28</v>
      </c>
      <c r="H480" s="5">
        <v>405000</v>
      </c>
      <c r="I480">
        <v>400000</v>
      </c>
      <c r="J480">
        <v>5000</v>
      </c>
    </row>
    <row r="481" spans="1:10" x14ac:dyDescent="0.3">
      <c r="A481" t="s">
        <v>565</v>
      </c>
      <c r="B481" s="3">
        <v>46142</v>
      </c>
      <c r="C481" t="s">
        <v>38</v>
      </c>
      <c r="D481" t="s">
        <v>39</v>
      </c>
      <c r="E481" t="s">
        <v>24</v>
      </c>
      <c r="F481" t="s">
        <v>20</v>
      </c>
      <c r="G481" t="s">
        <v>61</v>
      </c>
      <c r="H481" s="5">
        <v>475000</v>
      </c>
      <c r="I481">
        <v>400000</v>
      </c>
      <c r="J481">
        <v>75000</v>
      </c>
    </row>
    <row r="482" spans="1:10" x14ac:dyDescent="0.3">
      <c r="A482" t="s">
        <v>566</v>
      </c>
      <c r="B482" s="3">
        <v>46142</v>
      </c>
      <c r="C482" t="s">
        <v>66</v>
      </c>
      <c r="D482" t="s">
        <v>67</v>
      </c>
      <c r="E482" t="s">
        <v>13</v>
      </c>
      <c r="F482" t="s">
        <v>20</v>
      </c>
      <c r="G482" t="s">
        <v>57</v>
      </c>
      <c r="H482" s="5">
        <v>480000</v>
      </c>
      <c r="I482">
        <v>0</v>
      </c>
      <c r="J482">
        <v>0</v>
      </c>
    </row>
    <row r="483" spans="1:10" x14ac:dyDescent="0.3">
      <c r="A483" t="s">
        <v>567</v>
      </c>
      <c r="B483" s="3">
        <v>46142</v>
      </c>
      <c r="C483" t="s">
        <v>53</v>
      </c>
      <c r="D483" t="s">
        <v>54</v>
      </c>
      <c r="E483" t="s">
        <v>43</v>
      </c>
      <c r="F483" t="s">
        <v>14</v>
      </c>
      <c r="G483" t="s">
        <v>31</v>
      </c>
      <c r="H483" s="5">
        <v>1450000</v>
      </c>
      <c r="I483">
        <v>1100000</v>
      </c>
      <c r="J483">
        <v>350000</v>
      </c>
    </row>
    <row r="484" spans="1:10" x14ac:dyDescent="0.3">
      <c r="A484" t="s">
        <v>568</v>
      </c>
      <c r="B484" s="3">
        <v>46143</v>
      </c>
      <c r="C484" t="s">
        <v>55</v>
      </c>
      <c r="D484" t="s">
        <v>56</v>
      </c>
      <c r="E484" t="s">
        <v>24</v>
      </c>
      <c r="F484" t="s">
        <v>14</v>
      </c>
      <c r="G484" t="s">
        <v>28</v>
      </c>
      <c r="H484" s="5">
        <v>405000</v>
      </c>
      <c r="I484">
        <v>375000</v>
      </c>
      <c r="J484">
        <v>30000</v>
      </c>
    </row>
    <row r="485" spans="1:10" x14ac:dyDescent="0.3">
      <c r="A485" t="s">
        <v>569</v>
      </c>
      <c r="B485" s="3">
        <v>46143</v>
      </c>
      <c r="C485" t="s">
        <v>41</v>
      </c>
      <c r="D485" t="s">
        <v>42</v>
      </c>
      <c r="E485" t="s">
        <v>43</v>
      </c>
      <c r="F485" t="s">
        <v>20</v>
      </c>
      <c r="G485" t="s">
        <v>58</v>
      </c>
      <c r="H485" s="5">
        <v>400000</v>
      </c>
      <c r="I485">
        <v>0</v>
      </c>
      <c r="J485">
        <v>0</v>
      </c>
    </row>
    <row r="486" spans="1:10" x14ac:dyDescent="0.3">
      <c r="A486" t="s">
        <v>570</v>
      </c>
      <c r="B486" s="3">
        <v>46144</v>
      </c>
      <c r="C486" t="s">
        <v>17</v>
      </c>
      <c r="D486" t="s">
        <v>18</v>
      </c>
      <c r="E486" t="s">
        <v>19</v>
      </c>
      <c r="F486" t="s">
        <v>20</v>
      </c>
      <c r="G486" t="s">
        <v>40</v>
      </c>
      <c r="H486" s="5">
        <v>125000</v>
      </c>
      <c r="I486">
        <v>125000</v>
      </c>
      <c r="J486">
        <v>0</v>
      </c>
    </row>
    <row r="487" spans="1:10" x14ac:dyDescent="0.3">
      <c r="A487" t="s">
        <v>571</v>
      </c>
      <c r="B487" s="3">
        <v>46144</v>
      </c>
      <c r="C487" t="s">
        <v>25</v>
      </c>
      <c r="D487" t="s">
        <v>26</v>
      </c>
      <c r="E487" t="s">
        <v>27</v>
      </c>
      <c r="F487" t="s">
        <v>20</v>
      </c>
      <c r="G487" t="s">
        <v>28</v>
      </c>
      <c r="H487" s="5">
        <v>205000</v>
      </c>
      <c r="I487">
        <v>200000</v>
      </c>
      <c r="J487">
        <v>5000</v>
      </c>
    </row>
    <row r="488" spans="1:10" x14ac:dyDescent="0.3">
      <c r="A488" t="s">
        <v>572</v>
      </c>
      <c r="B488" s="3">
        <v>46145</v>
      </c>
      <c r="C488" t="s">
        <v>38</v>
      </c>
      <c r="D488" t="s">
        <v>39</v>
      </c>
      <c r="E488" t="s">
        <v>24</v>
      </c>
      <c r="F488" t="s">
        <v>20</v>
      </c>
      <c r="G488" t="s">
        <v>31</v>
      </c>
      <c r="H488" s="5">
        <v>700000</v>
      </c>
      <c r="I488">
        <v>650000</v>
      </c>
      <c r="J488">
        <v>50000</v>
      </c>
    </row>
    <row r="489" spans="1:10" x14ac:dyDescent="0.3">
      <c r="A489" t="s">
        <v>573</v>
      </c>
      <c r="B489" s="3">
        <v>46145</v>
      </c>
      <c r="C489" t="s">
        <v>53</v>
      </c>
      <c r="D489" t="s">
        <v>54</v>
      </c>
      <c r="E489" t="s">
        <v>43</v>
      </c>
      <c r="F489" t="s">
        <v>20</v>
      </c>
      <c r="G489" t="s">
        <v>28</v>
      </c>
      <c r="H489" s="5">
        <v>80000</v>
      </c>
      <c r="I489">
        <v>75000</v>
      </c>
      <c r="J489">
        <v>5000</v>
      </c>
    </row>
    <row r="490" spans="1:10" x14ac:dyDescent="0.3">
      <c r="A490" t="s">
        <v>574</v>
      </c>
      <c r="B490" s="3">
        <v>46145</v>
      </c>
      <c r="C490" t="s">
        <v>22</v>
      </c>
      <c r="D490" t="s">
        <v>23</v>
      </c>
      <c r="E490" t="s">
        <v>24</v>
      </c>
      <c r="F490" t="s">
        <v>14</v>
      </c>
      <c r="G490" t="s">
        <v>31</v>
      </c>
      <c r="H490" s="5">
        <v>575000</v>
      </c>
      <c r="I490">
        <v>550000</v>
      </c>
      <c r="J490">
        <v>25000</v>
      </c>
    </row>
    <row r="491" spans="1:10" x14ac:dyDescent="0.3">
      <c r="A491" t="s">
        <v>575</v>
      </c>
      <c r="B491" s="3">
        <v>46145</v>
      </c>
      <c r="C491" t="s">
        <v>59</v>
      </c>
      <c r="D491" t="s">
        <v>60</v>
      </c>
      <c r="E491" t="s">
        <v>19</v>
      </c>
      <c r="F491" t="s">
        <v>14</v>
      </c>
      <c r="G491" t="s">
        <v>34</v>
      </c>
      <c r="H491" s="5">
        <v>575000</v>
      </c>
      <c r="I491">
        <v>0</v>
      </c>
      <c r="J491">
        <v>0</v>
      </c>
    </row>
    <row r="492" spans="1:10" x14ac:dyDescent="0.3">
      <c r="A492" t="s">
        <v>576</v>
      </c>
      <c r="B492" s="3">
        <v>46146</v>
      </c>
      <c r="C492" t="s">
        <v>48</v>
      </c>
      <c r="D492" t="s">
        <v>49</v>
      </c>
      <c r="E492" t="s">
        <v>19</v>
      </c>
      <c r="F492" t="s">
        <v>14</v>
      </c>
      <c r="G492" t="s">
        <v>31</v>
      </c>
      <c r="H492" s="5">
        <v>100000</v>
      </c>
      <c r="I492">
        <v>75000</v>
      </c>
      <c r="J492">
        <v>25000</v>
      </c>
    </row>
    <row r="493" spans="1:10" x14ac:dyDescent="0.3">
      <c r="A493" t="s">
        <v>577</v>
      </c>
      <c r="B493" s="3">
        <v>46146</v>
      </c>
      <c r="C493" t="s">
        <v>48</v>
      </c>
      <c r="D493" t="s">
        <v>49</v>
      </c>
      <c r="E493" t="s">
        <v>19</v>
      </c>
      <c r="F493" t="s">
        <v>14</v>
      </c>
      <c r="G493" t="s">
        <v>58</v>
      </c>
      <c r="H493" s="5">
        <v>800000</v>
      </c>
      <c r="I493">
        <v>0</v>
      </c>
      <c r="J493">
        <v>0</v>
      </c>
    </row>
    <row r="494" spans="1:10" x14ac:dyDescent="0.3">
      <c r="A494" t="s">
        <v>578</v>
      </c>
      <c r="B494" s="3">
        <v>46146</v>
      </c>
      <c r="C494" t="s">
        <v>41</v>
      </c>
      <c r="D494" t="s">
        <v>42</v>
      </c>
      <c r="E494" t="s">
        <v>43</v>
      </c>
      <c r="F494" t="s">
        <v>14</v>
      </c>
      <c r="G494" t="s">
        <v>61</v>
      </c>
      <c r="H494" s="5">
        <v>300000</v>
      </c>
      <c r="I494">
        <v>250000</v>
      </c>
      <c r="J494">
        <v>50000</v>
      </c>
    </row>
    <row r="495" spans="1:10" x14ac:dyDescent="0.3">
      <c r="A495" t="s">
        <v>579</v>
      </c>
      <c r="B495" s="3">
        <v>46146</v>
      </c>
      <c r="C495" t="s">
        <v>66</v>
      </c>
      <c r="D495" t="s">
        <v>67</v>
      </c>
      <c r="E495" t="s">
        <v>13</v>
      </c>
      <c r="F495" t="s">
        <v>14</v>
      </c>
      <c r="G495" t="s">
        <v>28</v>
      </c>
      <c r="H495" s="5">
        <v>55000</v>
      </c>
      <c r="I495">
        <v>0</v>
      </c>
      <c r="J495">
        <v>0</v>
      </c>
    </row>
    <row r="496" spans="1:10" x14ac:dyDescent="0.3">
      <c r="A496" t="s">
        <v>580</v>
      </c>
      <c r="B496" s="3">
        <v>46146</v>
      </c>
      <c r="C496" t="s">
        <v>22</v>
      </c>
      <c r="D496" t="s">
        <v>23</v>
      </c>
      <c r="E496" t="s">
        <v>24</v>
      </c>
      <c r="F496" t="s">
        <v>14</v>
      </c>
      <c r="G496" t="s">
        <v>15</v>
      </c>
      <c r="H496" s="5">
        <v>2950000</v>
      </c>
      <c r="I496">
        <v>2225000</v>
      </c>
      <c r="J496">
        <v>725000</v>
      </c>
    </row>
    <row r="497" spans="1:10" x14ac:dyDescent="0.3">
      <c r="A497" t="s">
        <v>581</v>
      </c>
      <c r="B497" s="3">
        <v>46146</v>
      </c>
      <c r="C497" t="s">
        <v>25</v>
      </c>
      <c r="D497" t="s">
        <v>26</v>
      </c>
      <c r="E497" t="s">
        <v>27</v>
      </c>
      <c r="F497" t="s">
        <v>20</v>
      </c>
      <c r="G497" t="s">
        <v>61</v>
      </c>
      <c r="H497" s="5">
        <v>475000</v>
      </c>
      <c r="I497">
        <v>0</v>
      </c>
      <c r="J497">
        <v>0</v>
      </c>
    </row>
    <row r="498" spans="1:10" x14ac:dyDescent="0.3">
      <c r="A498" t="s">
        <v>582</v>
      </c>
      <c r="B498" s="3">
        <v>46147</v>
      </c>
      <c r="C498" t="s">
        <v>44</v>
      </c>
      <c r="D498" t="s">
        <v>45</v>
      </c>
      <c r="E498" t="s">
        <v>43</v>
      </c>
      <c r="F498" t="s">
        <v>20</v>
      </c>
      <c r="G498" t="s">
        <v>34</v>
      </c>
      <c r="H498" s="5">
        <v>400000</v>
      </c>
      <c r="I498">
        <v>325000</v>
      </c>
      <c r="J498">
        <v>75000</v>
      </c>
    </row>
    <row r="499" spans="1:10" x14ac:dyDescent="0.3">
      <c r="A499" t="s">
        <v>583</v>
      </c>
      <c r="B499" s="3">
        <v>46147</v>
      </c>
      <c r="C499" t="s">
        <v>22</v>
      </c>
      <c r="D499" t="s">
        <v>23</v>
      </c>
      <c r="E499" t="s">
        <v>24</v>
      </c>
      <c r="F499" t="s">
        <v>14</v>
      </c>
      <c r="G499" t="s">
        <v>57</v>
      </c>
      <c r="H499" s="5">
        <v>230000</v>
      </c>
      <c r="I499">
        <v>225000</v>
      </c>
      <c r="J499">
        <v>5000</v>
      </c>
    </row>
    <row r="500" spans="1:10" x14ac:dyDescent="0.3">
      <c r="A500" t="s">
        <v>584</v>
      </c>
      <c r="B500" s="3">
        <v>46148</v>
      </c>
      <c r="C500" t="s">
        <v>32</v>
      </c>
      <c r="D500" t="s">
        <v>33</v>
      </c>
      <c r="E500" t="s">
        <v>27</v>
      </c>
      <c r="F500" t="s">
        <v>14</v>
      </c>
      <c r="G500" t="s">
        <v>28</v>
      </c>
      <c r="H500" s="5">
        <v>280000</v>
      </c>
      <c r="I500">
        <v>250000</v>
      </c>
      <c r="J500">
        <v>30000</v>
      </c>
    </row>
    <row r="501" spans="1:10" x14ac:dyDescent="0.3">
      <c r="A501" t="s">
        <v>585</v>
      </c>
      <c r="B501" s="3">
        <v>46148</v>
      </c>
      <c r="C501" t="s">
        <v>62</v>
      </c>
      <c r="D501" t="s">
        <v>63</v>
      </c>
      <c r="E501" t="s">
        <v>52</v>
      </c>
      <c r="F501" t="s">
        <v>14</v>
      </c>
      <c r="G501" t="s">
        <v>15</v>
      </c>
      <c r="H501" s="5">
        <v>2675000</v>
      </c>
      <c r="I501">
        <v>2125000</v>
      </c>
      <c r="J501">
        <v>550000</v>
      </c>
    </row>
    <row r="502" spans="1:10" x14ac:dyDescent="0.3">
      <c r="A502" t="s">
        <v>586</v>
      </c>
      <c r="B502" s="3">
        <v>46148</v>
      </c>
      <c r="C502" t="s">
        <v>64</v>
      </c>
      <c r="D502" t="s">
        <v>65</v>
      </c>
      <c r="E502" t="s">
        <v>37</v>
      </c>
      <c r="F502" t="s">
        <v>20</v>
      </c>
      <c r="G502" t="s">
        <v>34</v>
      </c>
      <c r="H502" s="5">
        <v>425000</v>
      </c>
      <c r="I502">
        <v>400000</v>
      </c>
      <c r="J502">
        <v>25000</v>
      </c>
    </row>
    <row r="503" spans="1:10" x14ac:dyDescent="0.3">
      <c r="A503" t="s">
        <v>587</v>
      </c>
      <c r="B503" s="3">
        <v>46148</v>
      </c>
      <c r="C503" t="s">
        <v>59</v>
      </c>
      <c r="D503" t="s">
        <v>60</v>
      </c>
      <c r="E503" t="s">
        <v>19</v>
      </c>
      <c r="F503" t="s">
        <v>20</v>
      </c>
      <c r="G503" t="s">
        <v>15</v>
      </c>
      <c r="H503" s="5">
        <v>775000</v>
      </c>
      <c r="I503">
        <v>0</v>
      </c>
      <c r="J503">
        <v>0</v>
      </c>
    </row>
    <row r="504" spans="1:10" x14ac:dyDescent="0.3">
      <c r="A504" t="s">
        <v>588</v>
      </c>
      <c r="B504" s="3">
        <v>46148</v>
      </c>
      <c r="C504" t="s">
        <v>59</v>
      </c>
      <c r="D504" t="s">
        <v>60</v>
      </c>
      <c r="E504" t="s">
        <v>19</v>
      </c>
      <c r="F504" t="s">
        <v>14</v>
      </c>
      <c r="G504" t="s">
        <v>61</v>
      </c>
      <c r="H504" s="5">
        <v>150000</v>
      </c>
      <c r="I504">
        <v>125000</v>
      </c>
      <c r="J504">
        <v>25000</v>
      </c>
    </row>
    <row r="505" spans="1:10" x14ac:dyDescent="0.3">
      <c r="A505" t="s">
        <v>589</v>
      </c>
      <c r="B505" s="3">
        <v>46149</v>
      </c>
      <c r="C505" t="s">
        <v>64</v>
      </c>
      <c r="D505" t="s">
        <v>65</v>
      </c>
      <c r="E505" t="s">
        <v>37</v>
      </c>
      <c r="F505" t="s">
        <v>14</v>
      </c>
      <c r="G505" t="s">
        <v>61</v>
      </c>
      <c r="H505" s="5">
        <v>375000</v>
      </c>
      <c r="I505">
        <v>300000</v>
      </c>
      <c r="J505">
        <v>75000</v>
      </c>
    </row>
    <row r="506" spans="1:10" x14ac:dyDescent="0.3">
      <c r="A506" t="s">
        <v>590</v>
      </c>
      <c r="B506" s="3">
        <v>46149</v>
      </c>
      <c r="C506" t="s">
        <v>64</v>
      </c>
      <c r="D506" t="s">
        <v>65</v>
      </c>
      <c r="E506" t="s">
        <v>37</v>
      </c>
      <c r="F506" t="s">
        <v>14</v>
      </c>
      <c r="G506" t="s">
        <v>40</v>
      </c>
      <c r="H506" s="5">
        <v>425000</v>
      </c>
      <c r="I506">
        <v>350000</v>
      </c>
      <c r="J506">
        <v>75000</v>
      </c>
    </row>
    <row r="507" spans="1:10" x14ac:dyDescent="0.3">
      <c r="A507" t="s">
        <v>591</v>
      </c>
      <c r="B507" s="3">
        <v>46150</v>
      </c>
      <c r="C507" t="s">
        <v>11</v>
      </c>
      <c r="D507" t="s">
        <v>12</v>
      </c>
      <c r="E507" t="s">
        <v>13</v>
      </c>
      <c r="F507" t="s">
        <v>14</v>
      </c>
      <c r="G507" t="s">
        <v>31</v>
      </c>
      <c r="H507" s="5">
        <v>875000</v>
      </c>
      <c r="I507">
        <v>775000</v>
      </c>
      <c r="J507">
        <v>100000</v>
      </c>
    </row>
    <row r="508" spans="1:10" x14ac:dyDescent="0.3">
      <c r="A508" t="s">
        <v>592</v>
      </c>
      <c r="B508" s="3">
        <v>46150</v>
      </c>
      <c r="C508" t="s">
        <v>38</v>
      </c>
      <c r="D508" t="s">
        <v>39</v>
      </c>
      <c r="E508" t="s">
        <v>24</v>
      </c>
      <c r="F508" t="s">
        <v>14</v>
      </c>
      <c r="G508" t="s">
        <v>31</v>
      </c>
      <c r="H508" s="5">
        <v>1500000</v>
      </c>
      <c r="I508">
        <v>1300000</v>
      </c>
      <c r="J508">
        <v>200000</v>
      </c>
    </row>
    <row r="509" spans="1:10" x14ac:dyDescent="0.3">
      <c r="A509" t="s">
        <v>593</v>
      </c>
      <c r="B509" s="3">
        <v>46150</v>
      </c>
      <c r="C509" t="s">
        <v>50</v>
      </c>
      <c r="D509" t="s">
        <v>51</v>
      </c>
      <c r="E509" t="s">
        <v>52</v>
      </c>
      <c r="F509" t="s">
        <v>20</v>
      </c>
      <c r="G509" t="s">
        <v>58</v>
      </c>
      <c r="H509" s="5">
        <v>1000000</v>
      </c>
      <c r="I509">
        <v>0</v>
      </c>
      <c r="J509">
        <v>0</v>
      </c>
    </row>
    <row r="510" spans="1:10" x14ac:dyDescent="0.3">
      <c r="A510" t="s">
        <v>594</v>
      </c>
      <c r="B510" s="3">
        <v>46150</v>
      </c>
      <c r="C510" t="s">
        <v>53</v>
      </c>
      <c r="D510" t="s">
        <v>54</v>
      </c>
      <c r="E510" t="s">
        <v>43</v>
      </c>
      <c r="F510" t="s">
        <v>14</v>
      </c>
      <c r="G510" t="s">
        <v>40</v>
      </c>
      <c r="H510" s="5">
        <v>250000</v>
      </c>
      <c r="I510">
        <v>200000</v>
      </c>
      <c r="J510">
        <v>50000</v>
      </c>
    </row>
    <row r="511" spans="1:10" x14ac:dyDescent="0.3">
      <c r="A511" t="s">
        <v>595</v>
      </c>
      <c r="B511" s="3">
        <v>46151</v>
      </c>
      <c r="C511" t="s">
        <v>46</v>
      </c>
      <c r="D511" t="s">
        <v>47</v>
      </c>
      <c r="E511" t="s">
        <v>37</v>
      </c>
      <c r="F511" t="s">
        <v>20</v>
      </c>
      <c r="G511" t="s">
        <v>15</v>
      </c>
      <c r="H511" s="5">
        <v>2425000</v>
      </c>
      <c r="I511">
        <v>0</v>
      </c>
      <c r="J511">
        <v>0</v>
      </c>
    </row>
    <row r="512" spans="1:10" x14ac:dyDescent="0.3">
      <c r="A512" t="s">
        <v>596</v>
      </c>
      <c r="B512" s="3">
        <v>46151</v>
      </c>
      <c r="C512" t="s">
        <v>29</v>
      </c>
      <c r="D512" t="s">
        <v>30</v>
      </c>
      <c r="E512" t="s">
        <v>13</v>
      </c>
      <c r="F512" t="s">
        <v>20</v>
      </c>
      <c r="G512" t="s">
        <v>28</v>
      </c>
      <c r="H512" s="5">
        <v>305000</v>
      </c>
      <c r="I512">
        <v>0</v>
      </c>
      <c r="J512">
        <v>0</v>
      </c>
    </row>
    <row r="513" spans="1:10" x14ac:dyDescent="0.3">
      <c r="A513" t="s">
        <v>597</v>
      </c>
      <c r="B513" s="3">
        <v>46151</v>
      </c>
      <c r="C513" t="s">
        <v>55</v>
      </c>
      <c r="D513" t="s">
        <v>56</v>
      </c>
      <c r="E513" t="s">
        <v>24</v>
      </c>
      <c r="F513" t="s">
        <v>20</v>
      </c>
      <c r="G513" t="s">
        <v>40</v>
      </c>
      <c r="H513" s="5">
        <v>225000</v>
      </c>
      <c r="I513">
        <v>175000</v>
      </c>
      <c r="J513">
        <v>50000</v>
      </c>
    </row>
    <row r="514" spans="1:10" x14ac:dyDescent="0.3">
      <c r="A514" t="s">
        <v>598</v>
      </c>
      <c r="B514" s="3">
        <v>46151</v>
      </c>
      <c r="C514" t="s">
        <v>62</v>
      </c>
      <c r="D514" t="s">
        <v>63</v>
      </c>
      <c r="E514" t="s">
        <v>52</v>
      </c>
      <c r="F514" t="s">
        <v>14</v>
      </c>
      <c r="G514" t="s">
        <v>58</v>
      </c>
      <c r="H514" s="5">
        <v>1150000</v>
      </c>
      <c r="I514">
        <v>850000</v>
      </c>
      <c r="J514">
        <v>300000</v>
      </c>
    </row>
    <row r="515" spans="1:10" x14ac:dyDescent="0.3">
      <c r="A515" t="s">
        <v>599</v>
      </c>
      <c r="B515" s="3">
        <v>46152</v>
      </c>
      <c r="C515" t="s">
        <v>46</v>
      </c>
      <c r="D515" t="s">
        <v>47</v>
      </c>
      <c r="E515" t="s">
        <v>37</v>
      </c>
      <c r="F515" t="s">
        <v>20</v>
      </c>
      <c r="G515" t="s">
        <v>57</v>
      </c>
      <c r="H515" s="5">
        <v>155000</v>
      </c>
      <c r="I515">
        <v>125000</v>
      </c>
      <c r="J515">
        <v>30000</v>
      </c>
    </row>
    <row r="516" spans="1:10" x14ac:dyDescent="0.3">
      <c r="A516" t="s">
        <v>600</v>
      </c>
      <c r="B516" s="3">
        <v>46152</v>
      </c>
      <c r="C516" t="s">
        <v>32</v>
      </c>
      <c r="D516" t="s">
        <v>33</v>
      </c>
      <c r="E516" t="s">
        <v>27</v>
      </c>
      <c r="F516" t="s">
        <v>20</v>
      </c>
      <c r="G516" t="s">
        <v>58</v>
      </c>
      <c r="H516" s="5">
        <v>225000</v>
      </c>
      <c r="I516">
        <v>175000</v>
      </c>
      <c r="J516">
        <v>50000</v>
      </c>
    </row>
    <row r="517" spans="1:10" x14ac:dyDescent="0.3">
      <c r="A517" t="s">
        <v>601</v>
      </c>
      <c r="B517" s="3">
        <v>46152</v>
      </c>
      <c r="C517" t="s">
        <v>62</v>
      </c>
      <c r="D517" t="s">
        <v>63</v>
      </c>
      <c r="E517" t="s">
        <v>52</v>
      </c>
      <c r="F517" t="s">
        <v>20</v>
      </c>
      <c r="G517" t="s">
        <v>58</v>
      </c>
      <c r="H517" s="5">
        <v>325000</v>
      </c>
      <c r="I517">
        <v>300000</v>
      </c>
      <c r="J517">
        <v>25000</v>
      </c>
    </row>
    <row r="518" spans="1:10" x14ac:dyDescent="0.3">
      <c r="A518" t="s">
        <v>602</v>
      </c>
      <c r="B518" s="3">
        <v>46152</v>
      </c>
      <c r="C518" t="s">
        <v>11</v>
      </c>
      <c r="D518" t="s">
        <v>12</v>
      </c>
      <c r="E518" t="s">
        <v>13</v>
      </c>
      <c r="F518" t="s">
        <v>20</v>
      </c>
      <c r="G518" t="s">
        <v>58</v>
      </c>
      <c r="H518" s="5">
        <v>250000</v>
      </c>
      <c r="I518">
        <v>0</v>
      </c>
      <c r="J518">
        <v>0</v>
      </c>
    </row>
    <row r="519" spans="1:10" x14ac:dyDescent="0.3">
      <c r="A519" t="s">
        <v>603</v>
      </c>
      <c r="B519" s="3">
        <v>46152</v>
      </c>
      <c r="C519" t="s">
        <v>35</v>
      </c>
      <c r="D519" t="s">
        <v>36</v>
      </c>
      <c r="E519" t="s">
        <v>37</v>
      </c>
      <c r="F519" t="s">
        <v>20</v>
      </c>
      <c r="G519" t="s">
        <v>34</v>
      </c>
      <c r="H519" s="5">
        <v>550000</v>
      </c>
      <c r="I519">
        <v>450000</v>
      </c>
      <c r="J519">
        <v>100000</v>
      </c>
    </row>
    <row r="520" spans="1:10" x14ac:dyDescent="0.3">
      <c r="A520" t="s">
        <v>604</v>
      </c>
      <c r="B520" s="3">
        <v>46152</v>
      </c>
      <c r="C520" t="s">
        <v>44</v>
      </c>
      <c r="D520" t="s">
        <v>45</v>
      </c>
      <c r="E520" t="s">
        <v>43</v>
      </c>
      <c r="F520" t="s">
        <v>14</v>
      </c>
      <c r="G520" t="s">
        <v>31</v>
      </c>
      <c r="H520" s="5">
        <v>1450000</v>
      </c>
      <c r="I520">
        <v>0</v>
      </c>
      <c r="J520">
        <v>0</v>
      </c>
    </row>
    <row r="521" spans="1:10" x14ac:dyDescent="0.3">
      <c r="A521" t="s">
        <v>605</v>
      </c>
      <c r="B521" s="3">
        <v>46153</v>
      </c>
      <c r="C521" t="s">
        <v>32</v>
      </c>
      <c r="D521" t="s">
        <v>33</v>
      </c>
      <c r="E521" t="s">
        <v>27</v>
      </c>
      <c r="F521" t="s">
        <v>20</v>
      </c>
      <c r="G521" t="s">
        <v>40</v>
      </c>
      <c r="H521" s="5">
        <v>725000</v>
      </c>
      <c r="I521">
        <v>700000</v>
      </c>
      <c r="J521">
        <v>25000</v>
      </c>
    </row>
    <row r="522" spans="1:10" x14ac:dyDescent="0.3">
      <c r="A522" t="s">
        <v>606</v>
      </c>
      <c r="B522" s="3">
        <v>46153</v>
      </c>
      <c r="C522" t="s">
        <v>44</v>
      </c>
      <c r="D522" t="s">
        <v>45</v>
      </c>
      <c r="E522" t="s">
        <v>43</v>
      </c>
      <c r="F522" t="s">
        <v>14</v>
      </c>
      <c r="G522" t="s">
        <v>28</v>
      </c>
      <c r="H522" s="5">
        <v>455000</v>
      </c>
      <c r="I522">
        <v>350000</v>
      </c>
      <c r="J522">
        <v>105000</v>
      </c>
    </row>
    <row r="523" spans="1:10" x14ac:dyDescent="0.3">
      <c r="A523" t="s">
        <v>607</v>
      </c>
      <c r="B523" s="3">
        <v>46153</v>
      </c>
      <c r="C523" t="s">
        <v>64</v>
      </c>
      <c r="D523" t="s">
        <v>65</v>
      </c>
      <c r="E523" t="s">
        <v>37</v>
      </c>
      <c r="F523" t="s">
        <v>20</v>
      </c>
      <c r="G523" t="s">
        <v>34</v>
      </c>
      <c r="H523" s="5">
        <v>600000</v>
      </c>
      <c r="I523">
        <v>450000</v>
      </c>
      <c r="J523">
        <v>150000</v>
      </c>
    </row>
    <row r="524" spans="1:10" x14ac:dyDescent="0.3">
      <c r="A524" t="s">
        <v>608</v>
      </c>
      <c r="B524" s="3">
        <v>46153</v>
      </c>
      <c r="C524" t="s">
        <v>22</v>
      </c>
      <c r="D524" t="s">
        <v>23</v>
      </c>
      <c r="E524" t="s">
        <v>24</v>
      </c>
      <c r="F524" t="s">
        <v>14</v>
      </c>
      <c r="G524" t="s">
        <v>31</v>
      </c>
      <c r="H524" s="5">
        <v>525000</v>
      </c>
      <c r="I524">
        <v>375000</v>
      </c>
      <c r="J524">
        <v>150000</v>
      </c>
    </row>
    <row r="525" spans="1:10" x14ac:dyDescent="0.3">
      <c r="A525" t="s">
        <v>609</v>
      </c>
      <c r="B525" s="3">
        <v>46153</v>
      </c>
      <c r="C525" t="s">
        <v>22</v>
      </c>
      <c r="D525" t="s">
        <v>23</v>
      </c>
      <c r="E525" t="s">
        <v>24</v>
      </c>
      <c r="F525" t="s">
        <v>14</v>
      </c>
      <c r="G525" t="s">
        <v>15</v>
      </c>
      <c r="H525" s="5">
        <v>3525000</v>
      </c>
      <c r="I525">
        <v>0</v>
      </c>
      <c r="J525">
        <v>0</v>
      </c>
    </row>
    <row r="526" spans="1:10" x14ac:dyDescent="0.3">
      <c r="A526" t="s">
        <v>610</v>
      </c>
      <c r="B526" s="3">
        <v>46153</v>
      </c>
      <c r="C526" t="s">
        <v>59</v>
      </c>
      <c r="D526" t="s">
        <v>60</v>
      </c>
      <c r="E526" t="s">
        <v>19</v>
      </c>
      <c r="F526" t="s">
        <v>14</v>
      </c>
      <c r="G526" t="s">
        <v>57</v>
      </c>
      <c r="H526" s="5">
        <v>205000</v>
      </c>
      <c r="I526">
        <v>200000</v>
      </c>
      <c r="J526">
        <v>5000</v>
      </c>
    </row>
    <row r="527" spans="1:10" x14ac:dyDescent="0.3">
      <c r="A527" t="s">
        <v>611</v>
      </c>
      <c r="B527" s="3">
        <v>46153</v>
      </c>
      <c r="C527" t="s">
        <v>59</v>
      </c>
      <c r="D527" t="s">
        <v>60</v>
      </c>
      <c r="E527" t="s">
        <v>19</v>
      </c>
      <c r="F527" t="s">
        <v>14</v>
      </c>
      <c r="G527" t="s">
        <v>57</v>
      </c>
      <c r="H527" s="5">
        <v>30000</v>
      </c>
      <c r="I527">
        <v>25000</v>
      </c>
      <c r="J527">
        <v>5000</v>
      </c>
    </row>
    <row r="528" spans="1:10" x14ac:dyDescent="0.3">
      <c r="A528" t="s">
        <v>612</v>
      </c>
      <c r="B528" s="3">
        <v>46154</v>
      </c>
      <c r="C528" t="s">
        <v>22</v>
      </c>
      <c r="D528" t="s">
        <v>23</v>
      </c>
      <c r="E528" t="s">
        <v>24</v>
      </c>
      <c r="F528" t="s">
        <v>14</v>
      </c>
      <c r="G528" t="s">
        <v>34</v>
      </c>
      <c r="H528" s="5">
        <v>250000</v>
      </c>
      <c r="I528">
        <v>0</v>
      </c>
      <c r="J528">
        <v>0</v>
      </c>
    </row>
    <row r="529" spans="1:10" x14ac:dyDescent="0.3">
      <c r="A529" t="s">
        <v>613</v>
      </c>
      <c r="B529" s="3">
        <v>46154</v>
      </c>
      <c r="C529" t="s">
        <v>25</v>
      </c>
      <c r="D529" t="s">
        <v>26</v>
      </c>
      <c r="E529" t="s">
        <v>27</v>
      </c>
      <c r="F529" t="s">
        <v>14</v>
      </c>
      <c r="G529" t="s">
        <v>31</v>
      </c>
      <c r="H529" s="5">
        <v>500000</v>
      </c>
      <c r="I529">
        <v>375000</v>
      </c>
      <c r="J529">
        <v>125000</v>
      </c>
    </row>
    <row r="530" spans="1:10" x14ac:dyDescent="0.3">
      <c r="A530" t="s">
        <v>614</v>
      </c>
      <c r="B530" s="3">
        <v>46155</v>
      </c>
      <c r="C530" t="s">
        <v>44</v>
      </c>
      <c r="D530" t="s">
        <v>45</v>
      </c>
      <c r="E530" t="s">
        <v>43</v>
      </c>
      <c r="F530" t="s">
        <v>20</v>
      </c>
      <c r="G530" t="s">
        <v>28</v>
      </c>
      <c r="H530" s="5">
        <v>30000</v>
      </c>
      <c r="I530">
        <v>25000</v>
      </c>
      <c r="J530">
        <v>5000</v>
      </c>
    </row>
    <row r="531" spans="1:10" x14ac:dyDescent="0.3">
      <c r="A531" t="s">
        <v>615</v>
      </c>
      <c r="B531" s="3">
        <v>46155</v>
      </c>
      <c r="C531" t="s">
        <v>44</v>
      </c>
      <c r="D531" t="s">
        <v>45</v>
      </c>
      <c r="E531" t="s">
        <v>43</v>
      </c>
      <c r="F531" t="s">
        <v>20</v>
      </c>
      <c r="G531" t="s">
        <v>57</v>
      </c>
      <c r="H531" s="5">
        <v>405000</v>
      </c>
      <c r="I531">
        <v>0</v>
      </c>
      <c r="J531">
        <v>0</v>
      </c>
    </row>
    <row r="532" spans="1:10" x14ac:dyDescent="0.3">
      <c r="A532" t="s">
        <v>616</v>
      </c>
      <c r="B532" s="3">
        <v>46156</v>
      </c>
      <c r="C532" t="s">
        <v>55</v>
      </c>
      <c r="D532" t="s">
        <v>56</v>
      </c>
      <c r="E532" t="s">
        <v>24</v>
      </c>
      <c r="F532" t="s">
        <v>14</v>
      </c>
      <c r="G532" t="s">
        <v>28</v>
      </c>
      <c r="H532" s="5">
        <v>155000</v>
      </c>
      <c r="I532">
        <v>125000</v>
      </c>
      <c r="J532">
        <v>30000</v>
      </c>
    </row>
    <row r="533" spans="1:10" x14ac:dyDescent="0.3">
      <c r="A533" t="s">
        <v>617</v>
      </c>
      <c r="B533" s="3">
        <v>46156</v>
      </c>
      <c r="C533" t="s">
        <v>62</v>
      </c>
      <c r="D533" t="s">
        <v>63</v>
      </c>
      <c r="E533" t="s">
        <v>52</v>
      </c>
      <c r="F533" t="s">
        <v>20</v>
      </c>
      <c r="G533" t="s">
        <v>40</v>
      </c>
      <c r="H533" s="5">
        <v>525000</v>
      </c>
      <c r="I533">
        <v>525000</v>
      </c>
      <c r="J533">
        <v>0</v>
      </c>
    </row>
    <row r="534" spans="1:10" x14ac:dyDescent="0.3">
      <c r="A534" t="s">
        <v>618</v>
      </c>
      <c r="B534" s="3">
        <v>46156</v>
      </c>
      <c r="C534" t="s">
        <v>41</v>
      </c>
      <c r="D534" t="s">
        <v>42</v>
      </c>
      <c r="E534" t="s">
        <v>43</v>
      </c>
      <c r="F534" t="s">
        <v>14</v>
      </c>
      <c r="G534" t="s">
        <v>34</v>
      </c>
      <c r="H534" s="5">
        <v>100000</v>
      </c>
      <c r="I534">
        <v>0</v>
      </c>
      <c r="J534">
        <v>0</v>
      </c>
    </row>
    <row r="535" spans="1:10" x14ac:dyDescent="0.3">
      <c r="A535" t="s">
        <v>619</v>
      </c>
      <c r="B535" s="3">
        <v>46156</v>
      </c>
      <c r="C535" t="s">
        <v>11</v>
      </c>
      <c r="D535" t="s">
        <v>12</v>
      </c>
      <c r="E535" t="s">
        <v>13</v>
      </c>
      <c r="F535" t="s">
        <v>14</v>
      </c>
      <c r="G535" t="s">
        <v>58</v>
      </c>
      <c r="H535" s="5">
        <v>925000</v>
      </c>
      <c r="I535">
        <v>0</v>
      </c>
      <c r="J535">
        <v>0</v>
      </c>
    </row>
    <row r="536" spans="1:10" x14ac:dyDescent="0.3">
      <c r="A536" t="s">
        <v>620</v>
      </c>
      <c r="B536" s="3">
        <v>46157</v>
      </c>
      <c r="C536" t="s">
        <v>55</v>
      </c>
      <c r="D536" t="s">
        <v>56</v>
      </c>
      <c r="E536" t="s">
        <v>24</v>
      </c>
      <c r="F536" t="s">
        <v>20</v>
      </c>
      <c r="G536" t="s">
        <v>31</v>
      </c>
      <c r="H536" s="5">
        <v>850000</v>
      </c>
      <c r="I536">
        <v>0</v>
      </c>
      <c r="J536">
        <v>0</v>
      </c>
    </row>
    <row r="537" spans="1:10" x14ac:dyDescent="0.3">
      <c r="A537" t="s">
        <v>621</v>
      </c>
      <c r="B537" s="3">
        <v>46157</v>
      </c>
      <c r="C537" t="s">
        <v>41</v>
      </c>
      <c r="D537" t="s">
        <v>42</v>
      </c>
      <c r="E537" t="s">
        <v>43</v>
      </c>
      <c r="F537" t="s">
        <v>20</v>
      </c>
      <c r="G537" t="s">
        <v>57</v>
      </c>
      <c r="H537" s="5">
        <v>105000</v>
      </c>
      <c r="I537">
        <v>100000</v>
      </c>
      <c r="J537">
        <v>5000</v>
      </c>
    </row>
    <row r="538" spans="1:10" x14ac:dyDescent="0.3">
      <c r="A538" t="s">
        <v>622</v>
      </c>
      <c r="B538" s="3">
        <v>46157</v>
      </c>
      <c r="C538" t="s">
        <v>41</v>
      </c>
      <c r="D538" t="s">
        <v>42</v>
      </c>
      <c r="E538" t="s">
        <v>43</v>
      </c>
      <c r="F538" t="s">
        <v>20</v>
      </c>
      <c r="G538" t="s">
        <v>61</v>
      </c>
      <c r="H538" s="5">
        <v>700000</v>
      </c>
      <c r="I538">
        <v>525000</v>
      </c>
      <c r="J538">
        <v>175000</v>
      </c>
    </row>
    <row r="539" spans="1:10" x14ac:dyDescent="0.3">
      <c r="A539" t="s">
        <v>623</v>
      </c>
      <c r="B539" s="3">
        <v>46157</v>
      </c>
      <c r="C539" t="s">
        <v>41</v>
      </c>
      <c r="D539" t="s">
        <v>42</v>
      </c>
      <c r="E539" t="s">
        <v>43</v>
      </c>
      <c r="F539" t="s">
        <v>14</v>
      </c>
      <c r="G539" t="s">
        <v>28</v>
      </c>
      <c r="H539" s="5">
        <v>280000</v>
      </c>
      <c r="I539">
        <v>250000</v>
      </c>
      <c r="J539">
        <v>30000</v>
      </c>
    </row>
    <row r="540" spans="1:10" x14ac:dyDescent="0.3">
      <c r="A540" t="s">
        <v>624</v>
      </c>
      <c r="B540" s="3">
        <v>46157</v>
      </c>
      <c r="C540" t="s">
        <v>59</v>
      </c>
      <c r="D540" t="s">
        <v>60</v>
      </c>
      <c r="E540" t="s">
        <v>19</v>
      </c>
      <c r="F540" t="s">
        <v>20</v>
      </c>
      <c r="G540" t="s">
        <v>61</v>
      </c>
      <c r="H540" s="5">
        <v>175000</v>
      </c>
      <c r="I540">
        <v>125000</v>
      </c>
      <c r="J540">
        <v>50000</v>
      </c>
    </row>
    <row r="541" spans="1:10" x14ac:dyDescent="0.3">
      <c r="A541" t="s">
        <v>625</v>
      </c>
      <c r="B541" s="3">
        <v>46158</v>
      </c>
      <c r="C541" t="s">
        <v>29</v>
      </c>
      <c r="D541" t="s">
        <v>30</v>
      </c>
      <c r="E541" t="s">
        <v>13</v>
      </c>
      <c r="F541" t="s">
        <v>14</v>
      </c>
      <c r="G541" t="s">
        <v>34</v>
      </c>
      <c r="H541" s="5">
        <v>575000</v>
      </c>
      <c r="I541">
        <v>425000</v>
      </c>
      <c r="J541">
        <v>150000</v>
      </c>
    </row>
    <row r="542" spans="1:10" x14ac:dyDescent="0.3">
      <c r="A542" t="s">
        <v>626</v>
      </c>
      <c r="B542" s="3">
        <v>46158</v>
      </c>
      <c r="C542" t="s">
        <v>32</v>
      </c>
      <c r="D542" t="s">
        <v>33</v>
      </c>
      <c r="E542" t="s">
        <v>27</v>
      </c>
      <c r="F542" t="s">
        <v>14</v>
      </c>
      <c r="G542" t="s">
        <v>58</v>
      </c>
      <c r="H542" s="5">
        <v>250000</v>
      </c>
      <c r="I542">
        <v>250000</v>
      </c>
      <c r="J542">
        <v>0</v>
      </c>
    </row>
    <row r="543" spans="1:10" x14ac:dyDescent="0.3">
      <c r="A543" t="s">
        <v>627</v>
      </c>
      <c r="B543" s="3">
        <v>46158</v>
      </c>
      <c r="C543" t="s">
        <v>32</v>
      </c>
      <c r="D543" t="s">
        <v>33</v>
      </c>
      <c r="E543" t="s">
        <v>27</v>
      </c>
      <c r="F543" t="s">
        <v>20</v>
      </c>
      <c r="G543" t="s">
        <v>28</v>
      </c>
      <c r="H543" s="5">
        <v>330000</v>
      </c>
      <c r="I543">
        <v>300000</v>
      </c>
      <c r="J543">
        <v>30000</v>
      </c>
    </row>
    <row r="544" spans="1:10" x14ac:dyDescent="0.3">
      <c r="A544" t="s">
        <v>628</v>
      </c>
      <c r="B544" s="3">
        <v>46158</v>
      </c>
      <c r="C544" t="s">
        <v>66</v>
      </c>
      <c r="D544" t="s">
        <v>67</v>
      </c>
      <c r="E544" t="s">
        <v>13</v>
      </c>
      <c r="F544" t="s">
        <v>14</v>
      </c>
      <c r="G544" t="s">
        <v>61</v>
      </c>
      <c r="H544" s="5">
        <v>700000</v>
      </c>
      <c r="I544">
        <v>625000</v>
      </c>
      <c r="J544">
        <v>75000</v>
      </c>
    </row>
    <row r="545" spans="1:10" x14ac:dyDescent="0.3">
      <c r="A545" t="s">
        <v>629</v>
      </c>
      <c r="B545" s="3">
        <v>46159</v>
      </c>
      <c r="C545" t="s">
        <v>44</v>
      </c>
      <c r="D545" t="s">
        <v>45</v>
      </c>
      <c r="E545" t="s">
        <v>43</v>
      </c>
      <c r="F545" t="s">
        <v>20</v>
      </c>
      <c r="G545" t="s">
        <v>15</v>
      </c>
      <c r="H545" s="5">
        <v>1550000</v>
      </c>
      <c r="I545">
        <v>0</v>
      </c>
      <c r="J545">
        <v>0</v>
      </c>
    </row>
    <row r="546" spans="1:10" x14ac:dyDescent="0.3">
      <c r="A546" t="s">
        <v>630</v>
      </c>
      <c r="B546" s="3">
        <v>46159</v>
      </c>
      <c r="C546" t="s">
        <v>17</v>
      </c>
      <c r="D546" t="s">
        <v>18</v>
      </c>
      <c r="E546" t="s">
        <v>19</v>
      </c>
      <c r="F546" t="s">
        <v>14</v>
      </c>
      <c r="G546" t="s">
        <v>31</v>
      </c>
      <c r="H546" s="5">
        <v>1425000</v>
      </c>
      <c r="I546">
        <v>1025000</v>
      </c>
      <c r="J546">
        <v>400000</v>
      </c>
    </row>
    <row r="547" spans="1:10" x14ac:dyDescent="0.3">
      <c r="A547" t="s">
        <v>631</v>
      </c>
      <c r="B547" s="3">
        <v>46159</v>
      </c>
      <c r="C547" t="s">
        <v>17</v>
      </c>
      <c r="D547" t="s">
        <v>18</v>
      </c>
      <c r="E547" t="s">
        <v>19</v>
      </c>
      <c r="F547" t="s">
        <v>14</v>
      </c>
      <c r="G547" t="s">
        <v>40</v>
      </c>
      <c r="H547" s="5">
        <v>300000</v>
      </c>
      <c r="I547">
        <v>225000</v>
      </c>
      <c r="J547">
        <v>75000</v>
      </c>
    </row>
    <row r="548" spans="1:10" x14ac:dyDescent="0.3">
      <c r="A548" t="s">
        <v>632</v>
      </c>
      <c r="B548" s="3">
        <v>46159</v>
      </c>
      <c r="C548" t="s">
        <v>50</v>
      </c>
      <c r="D548" t="s">
        <v>51</v>
      </c>
      <c r="E548" t="s">
        <v>52</v>
      </c>
      <c r="F548" t="s">
        <v>14</v>
      </c>
      <c r="G548" t="s">
        <v>34</v>
      </c>
      <c r="H548" s="5">
        <v>400000</v>
      </c>
      <c r="I548">
        <v>350000</v>
      </c>
      <c r="J548">
        <v>50000</v>
      </c>
    </row>
    <row r="549" spans="1:10" x14ac:dyDescent="0.3">
      <c r="A549" t="s">
        <v>633</v>
      </c>
      <c r="B549" s="3">
        <v>46159</v>
      </c>
      <c r="C549" t="s">
        <v>22</v>
      </c>
      <c r="D549" t="s">
        <v>23</v>
      </c>
      <c r="E549" t="s">
        <v>24</v>
      </c>
      <c r="F549" t="s">
        <v>14</v>
      </c>
      <c r="G549" t="s">
        <v>58</v>
      </c>
      <c r="H549" s="5">
        <v>700000</v>
      </c>
      <c r="I549">
        <v>650000</v>
      </c>
      <c r="J549">
        <v>50000</v>
      </c>
    </row>
    <row r="550" spans="1:10" x14ac:dyDescent="0.3">
      <c r="A550" t="s">
        <v>634</v>
      </c>
      <c r="B550" s="3">
        <v>46159</v>
      </c>
      <c r="C550" t="s">
        <v>25</v>
      </c>
      <c r="D550" t="s">
        <v>26</v>
      </c>
      <c r="E550" t="s">
        <v>27</v>
      </c>
      <c r="F550" t="s">
        <v>14</v>
      </c>
      <c r="G550" t="s">
        <v>15</v>
      </c>
      <c r="H550" s="5">
        <v>2000000</v>
      </c>
      <c r="I550">
        <v>1600000</v>
      </c>
      <c r="J550">
        <v>400000</v>
      </c>
    </row>
    <row r="551" spans="1:10" x14ac:dyDescent="0.3">
      <c r="A551" t="s">
        <v>635</v>
      </c>
      <c r="B551" s="3">
        <v>46160</v>
      </c>
      <c r="C551" t="s">
        <v>35</v>
      </c>
      <c r="D551" t="s">
        <v>36</v>
      </c>
      <c r="E551" t="s">
        <v>37</v>
      </c>
      <c r="F551" t="s">
        <v>20</v>
      </c>
      <c r="G551" t="s">
        <v>40</v>
      </c>
      <c r="H551" s="5">
        <v>425000</v>
      </c>
      <c r="I551">
        <v>0</v>
      </c>
      <c r="J551">
        <v>0</v>
      </c>
    </row>
    <row r="552" spans="1:10" x14ac:dyDescent="0.3">
      <c r="A552" t="s">
        <v>636</v>
      </c>
      <c r="B552" s="3">
        <v>46160</v>
      </c>
      <c r="C552" t="s">
        <v>22</v>
      </c>
      <c r="D552" t="s">
        <v>23</v>
      </c>
      <c r="E552" t="s">
        <v>24</v>
      </c>
      <c r="F552" t="s">
        <v>20</v>
      </c>
      <c r="G552" t="s">
        <v>34</v>
      </c>
      <c r="H552" s="5">
        <v>175000</v>
      </c>
      <c r="I552">
        <v>0</v>
      </c>
      <c r="J552">
        <v>0</v>
      </c>
    </row>
    <row r="553" spans="1:10" x14ac:dyDescent="0.3">
      <c r="A553" t="s">
        <v>637</v>
      </c>
      <c r="B553" s="3">
        <v>46161</v>
      </c>
      <c r="C553" t="s">
        <v>48</v>
      </c>
      <c r="D553" t="s">
        <v>49</v>
      </c>
      <c r="E553" t="s">
        <v>19</v>
      </c>
      <c r="F553" t="s">
        <v>14</v>
      </c>
      <c r="G553" t="s">
        <v>34</v>
      </c>
      <c r="H553" s="5">
        <v>275000</v>
      </c>
      <c r="I553">
        <v>0</v>
      </c>
      <c r="J553">
        <v>0</v>
      </c>
    </row>
    <row r="554" spans="1:10" x14ac:dyDescent="0.3">
      <c r="A554" t="s">
        <v>638</v>
      </c>
      <c r="B554" s="3">
        <v>46161</v>
      </c>
      <c r="C554" t="s">
        <v>17</v>
      </c>
      <c r="D554" t="s">
        <v>18</v>
      </c>
      <c r="E554" t="s">
        <v>19</v>
      </c>
      <c r="F554" t="s">
        <v>20</v>
      </c>
      <c r="G554" t="s">
        <v>34</v>
      </c>
      <c r="H554" s="5">
        <v>275000</v>
      </c>
      <c r="I554">
        <v>0</v>
      </c>
      <c r="J554">
        <v>0</v>
      </c>
    </row>
    <row r="555" spans="1:10" x14ac:dyDescent="0.3">
      <c r="A555" t="s">
        <v>639</v>
      </c>
      <c r="B555" s="3">
        <v>46161</v>
      </c>
      <c r="C555" t="s">
        <v>59</v>
      </c>
      <c r="D555" t="s">
        <v>60</v>
      </c>
      <c r="E555" t="s">
        <v>19</v>
      </c>
      <c r="F555" t="s">
        <v>20</v>
      </c>
      <c r="G555" t="s">
        <v>58</v>
      </c>
      <c r="H555" s="5">
        <v>675000</v>
      </c>
      <c r="I555">
        <v>625000</v>
      </c>
      <c r="J555">
        <v>50000</v>
      </c>
    </row>
    <row r="556" spans="1:10" x14ac:dyDescent="0.3">
      <c r="A556" t="s">
        <v>640</v>
      </c>
      <c r="B556" s="3">
        <v>46161</v>
      </c>
      <c r="C556" t="s">
        <v>25</v>
      </c>
      <c r="D556" t="s">
        <v>26</v>
      </c>
      <c r="E556" t="s">
        <v>27</v>
      </c>
      <c r="F556" t="s">
        <v>14</v>
      </c>
      <c r="G556" t="s">
        <v>31</v>
      </c>
      <c r="H556" s="5">
        <v>1225000</v>
      </c>
      <c r="I556">
        <v>925000</v>
      </c>
      <c r="J556">
        <v>300000</v>
      </c>
    </row>
    <row r="557" spans="1:10" x14ac:dyDescent="0.3">
      <c r="A557" t="s">
        <v>641</v>
      </c>
      <c r="B557" s="3">
        <v>46162</v>
      </c>
      <c r="C557" t="s">
        <v>32</v>
      </c>
      <c r="D557" t="s">
        <v>33</v>
      </c>
      <c r="E557" t="s">
        <v>27</v>
      </c>
      <c r="F557" t="s">
        <v>14</v>
      </c>
      <c r="G557" t="s">
        <v>61</v>
      </c>
      <c r="H557" s="5">
        <v>600000</v>
      </c>
      <c r="I557">
        <v>575000</v>
      </c>
      <c r="J557">
        <v>25000</v>
      </c>
    </row>
    <row r="558" spans="1:10" x14ac:dyDescent="0.3">
      <c r="A558" t="s">
        <v>642</v>
      </c>
      <c r="B558" s="3">
        <v>46162</v>
      </c>
      <c r="C558" t="s">
        <v>11</v>
      </c>
      <c r="D558" t="s">
        <v>12</v>
      </c>
      <c r="E558" t="s">
        <v>13</v>
      </c>
      <c r="F558" t="s">
        <v>14</v>
      </c>
      <c r="G558" t="s">
        <v>40</v>
      </c>
      <c r="H558" s="5">
        <v>275000</v>
      </c>
      <c r="I558">
        <v>225000</v>
      </c>
      <c r="J558">
        <v>50000</v>
      </c>
    </row>
    <row r="559" spans="1:10" x14ac:dyDescent="0.3">
      <c r="A559" t="s">
        <v>643</v>
      </c>
      <c r="B559" s="3">
        <v>46162</v>
      </c>
      <c r="C559" t="s">
        <v>11</v>
      </c>
      <c r="D559" t="s">
        <v>12</v>
      </c>
      <c r="E559" t="s">
        <v>13</v>
      </c>
      <c r="F559" t="s">
        <v>14</v>
      </c>
      <c r="G559" t="s">
        <v>40</v>
      </c>
      <c r="H559" s="5">
        <v>600000</v>
      </c>
      <c r="I559">
        <v>425000</v>
      </c>
      <c r="J559">
        <v>175000</v>
      </c>
    </row>
    <row r="560" spans="1:10" x14ac:dyDescent="0.3">
      <c r="A560" t="s">
        <v>644</v>
      </c>
      <c r="B560" s="3">
        <v>46162</v>
      </c>
      <c r="C560" t="s">
        <v>35</v>
      </c>
      <c r="D560" t="s">
        <v>36</v>
      </c>
      <c r="E560" t="s">
        <v>37</v>
      </c>
      <c r="F560" t="s">
        <v>14</v>
      </c>
      <c r="G560" t="s">
        <v>40</v>
      </c>
      <c r="H560" s="5">
        <v>875000</v>
      </c>
      <c r="I560">
        <v>725000</v>
      </c>
      <c r="J560">
        <v>150000</v>
      </c>
    </row>
    <row r="561" spans="1:10" x14ac:dyDescent="0.3">
      <c r="A561" t="s">
        <v>645</v>
      </c>
      <c r="B561" s="3">
        <v>46162</v>
      </c>
      <c r="C561" t="s">
        <v>38</v>
      </c>
      <c r="D561" t="s">
        <v>39</v>
      </c>
      <c r="E561" t="s">
        <v>24</v>
      </c>
      <c r="F561" t="s">
        <v>20</v>
      </c>
      <c r="G561" t="s">
        <v>31</v>
      </c>
      <c r="H561" s="5">
        <v>1000000</v>
      </c>
      <c r="I561">
        <v>775000</v>
      </c>
      <c r="J561">
        <v>225000</v>
      </c>
    </row>
    <row r="562" spans="1:10" x14ac:dyDescent="0.3">
      <c r="A562" t="s">
        <v>646</v>
      </c>
      <c r="B562" s="3">
        <v>46162</v>
      </c>
      <c r="C562" t="s">
        <v>44</v>
      </c>
      <c r="D562" t="s">
        <v>45</v>
      </c>
      <c r="E562" t="s">
        <v>43</v>
      </c>
      <c r="F562" t="s">
        <v>20</v>
      </c>
      <c r="G562" t="s">
        <v>40</v>
      </c>
      <c r="H562" s="5">
        <v>775000</v>
      </c>
      <c r="I562">
        <v>0</v>
      </c>
      <c r="J562">
        <v>0</v>
      </c>
    </row>
    <row r="563" spans="1:10" x14ac:dyDescent="0.3">
      <c r="A563" t="s">
        <v>647</v>
      </c>
      <c r="B563" s="3">
        <v>46162</v>
      </c>
      <c r="C563" t="s">
        <v>64</v>
      </c>
      <c r="D563" t="s">
        <v>65</v>
      </c>
      <c r="E563" t="s">
        <v>37</v>
      </c>
      <c r="F563" t="s">
        <v>20</v>
      </c>
      <c r="G563" t="s">
        <v>15</v>
      </c>
      <c r="H563" s="5">
        <v>1275000</v>
      </c>
      <c r="I563">
        <v>1250000</v>
      </c>
      <c r="J563">
        <v>25000</v>
      </c>
    </row>
    <row r="564" spans="1:10" x14ac:dyDescent="0.3">
      <c r="A564" t="s">
        <v>648</v>
      </c>
      <c r="B564" s="3">
        <v>46162</v>
      </c>
      <c r="C564" t="s">
        <v>59</v>
      </c>
      <c r="D564" t="s">
        <v>60</v>
      </c>
      <c r="E564" t="s">
        <v>19</v>
      </c>
      <c r="F564" t="s">
        <v>20</v>
      </c>
      <c r="G564" t="s">
        <v>31</v>
      </c>
      <c r="H564" s="5">
        <v>1475000</v>
      </c>
      <c r="I564">
        <v>1125000</v>
      </c>
      <c r="J564">
        <v>350000</v>
      </c>
    </row>
    <row r="565" spans="1:10" x14ac:dyDescent="0.3">
      <c r="A565" t="s">
        <v>649</v>
      </c>
      <c r="B565" s="3">
        <v>46163</v>
      </c>
      <c r="C565" t="s">
        <v>48</v>
      </c>
      <c r="D565" t="s">
        <v>49</v>
      </c>
      <c r="E565" t="s">
        <v>19</v>
      </c>
      <c r="F565" t="s">
        <v>14</v>
      </c>
      <c r="G565" t="s">
        <v>58</v>
      </c>
      <c r="H565" s="5">
        <v>1075000</v>
      </c>
      <c r="I565">
        <v>950000</v>
      </c>
      <c r="J565">
        <v>125000</v>
      </c>
    </row>
    <row r="566" spans="1:10" x14ac:dyDescent="0.3">
      <c r="A566" t="s">
        <v>650</v>
      </c>
      <c r="B566" s="3">
        <v>46163</v>
      </c>
      <c r="C566" t="s">
        <v>62</v>
      </c>
      <c r="D566" t="s">
        <v>63</v>
      </c>
      <c r="E566" t="s">
        <v>52</v>
      </c>
      <c r="F566" t="s">
        <v>14</v>
      </c>
      <c r="G566" t="s">
        <v>34</v>
      </c>
      <c r="H566" s="5">
        <v>100000</v>
      </c>
      <c r="I566">
        <v>75000</v>
      </c>
      <c r="J566">
        <v>25000</v>
      </c>
    </row>
    <row r="567" spans="1:10" x14ac:dyDescent="0.3">
      <c r="A567" t="s">
        <v>651</v>
      </c>
      <c r="B567" s="3">
        <v>46163</v>
      </c>
      <c r="C567" t="s">
        <v>44</v>
      </c>
      <c r="D567" t="s">
        <v>45</v>
      </c>
      <c r="E567" t="s">
        <v>43</v>
      </c>
      <c r="F567" t="s">
        <v>20</v>
      </c>
      <c r="G567" t="s">
        <v>58</v>
      </c>
      <c r="H567" s="5">
        <v>225000</v>
      </c>
      <c r="I567">
        <v>175000</v>
      </c>
      <c r="J567">
        <v>50000</v>
      </c>
    </row>
    <row r="568" spans="1:10" x14ac:dyDescent="0.3">
      <c r="A568" t="s">
        <v>652</v>
      </c>
      <c r="B568" s="3">
        <v>46163</v>
      </c>
      <c r="C568" t="s">
        <v>44</v>
      </c>
      <c r="D568" t="s">
        <v>45</v>
      </c>
      <c r="E568" t="s">
        <v>43</v>
      </c>
      <c r="F568" t="s">
        <v>20</v>
      </c>
      <c r="G568" t="s">
        <v>57</v>
      </c>
      <c r="H568" s="5">
        <v>80000</v>
      </c>
      <c r="I568">
        <v>50000</v>
      </c>
      <c r="J568">
        <v>30000</v>
      </c>
    </row>
    <row r="569" spans="1:10" x14ac:dyDescent="0.3">
      <c r="A569" t="s">
        <v>653</v>
      </c>
      <c r="B569" s="3">
        <v>46163</v>
      </c>
      <c r="C569" t="s">
        <v>59</v>
      </c>
      <c r="D569" t="s">
        <v>60</v>
      </c>
      <c r="E569" t="s">
        <v>19</v>
      </c>
      <c r="F569" t="s">
        <v>14</v>
      </c>
      <c r="G569" t="s">
        <v>15</v>
      </c>
      <c r="H569" s="5">
        <v>2800000</v>
      </c>
      <c r="I569">
        <v>2775000</v>
      </c>
      <c r="J569">
        <v>25000</v>
      </c>
    </row>
    <row r="570" spans="1:10" x14ac:dyDescent="0.3">
      <c r="A570" t="s">
        <v>654</v>
      </c>
      <c r="B570" s="3">
        <v>46164</v>
      </c>
      <c r="C570" t="s">
        <v>46</v>
      </c>
      <c r="D570" t="s">
        <v>47</v>
      </c>
      <c r="E570" t="s">
        <v>37</v>
      </c>
      <c r="F570" t="s">
        <v>14</v>
      </c>
      <c r="G570" t="s">
        <v>61</v>
      </c>
      <c r="H570" s="5">
        <v>475000</v>
      </c>
      <c r="I570">
        <v>400000</v>
      </c>
      <c r="J570">
        <v>75000</v>
      </c>
    </row>
    <row r="571" spans="1:10" x14ac:dyDescent="0.3">
      <c r="A571" t="s">
        <v>655</v>
      </c>
      <c r="B571" s="3">
        <v>46164</v>
      </c>
      <c r="C571" t="s">
        <v>29</v>
      </c>
      <c r="D571" t="s">
        <v>30</v>
      </c>
      <c r="E571" t="s">
        <v>13</v>
      </c>
      <c r="F571" t="s">
        <v>20</v>
      </c>
      <c r="G571" t="s">
        <v>31</v>
      </c>
      <c r="H571" s="5">
        <v>1200000</v>
      </c>
      <c r="I571">
        <v>1175000</v>
      </c>
      <c r="J571">
        <v>25000</v>
      </c>
    </row>
    <row r="572" spans="1:10" x14ac:dyDescent="0.3">
      <c r="A572" t="s">
        <v>656</v>
      </c>
      <c r="B572" s="3">
        <v>46164</v>
      </c>
      <c r="C572" t="s">
        <v>53</v>
      </c>
      <c r="D572" t="s">
        <v>54</v>
      </c>
      <c r="E572" t="s">
        <v>43</v>
      </c>
      <c r="F572" t="s">
        <v>14</v>
      </c>
      <c r="G572" t="s">
        <v>40</v>
      </c>
      <c r="H572" s="5">
        <v>250000</v>
      </c>
      <c r="I572">
        <v>225000</v>
      </c>
      <c r="J572">
        <v>25000</v>
      </c>
    </row>
    <row r="573" spans="1:10" x14ac:dyDescent="0.3">
      <c r="A573" t="s">
        <v>657</v>
      </c>
      <c r="B573" s="3">
        <v>46165</v>
      </c>
      <c r="C573" t="s">
        <v>29</v>
      </c>
      <c r="D573" t="s">
        <v>30</v>
      </c>
      <c r="E573" t="s">
        <v>13</v>
      </c>
      <c r="F573" t="s">
        <v>20</v>
      </c>
      <c r="G573" t="s">
        <v>61</v>
      </c>
      <c r="H573" s="5">
        <v>225000</v>
      </c>
      <c r="I573">
        <v>175000</v>
      </c>
      <c r="J573">
        <v>50000</v>
      </c>
    </row>
    <row r="574" spans="1:10" x14ac:dyDescent="0.3">
      <c r="A574" t="s">
        <v>658</v>
      </c>
      <c r="B574" s="3">
        <v>46165</v>
      </c>
      <c r="C574" t="s">
        <v>29</v>
      </c>
      <c r="D574" t="s">
        <v>30</v>
      </c>
      <c r="E574" t="s">
        <v>13</v>
      </c>
      <c r="F574" t="s">
        <v>14</v>
      </c>
      <c r="G574" t="s">
        <v>57</v>
      </c>
      <c r="H574" s="5">
        <v>130000</v>
      </c>
      <c r="I574">
        <v>100000</v>
      </c>
      <c r="J574">
        <v>30000</v>
      </c>
    </row>
    <row r="575" spans="1:10" x14ac:dyDescent="0.3">
      <c r="A575" t="s">
        <v>659</v>
      </c>
      <c r="B575" s="3">
        <v>46165</v>
      </c>
      <c r="C575" t="s">
        <v>62</v>
      </c>
      <c r="D575" t="s">
        <v>63</v>
      </c>
      <c r="E575" t="s">
        <v>52</v>
      </c>
      <c r="F575" t="s">
        <v>14</v>
      </c>
      <c r="G575" t="s">
        <v>40</v>
      </c>
      <c r="H575" s="5">
        <v>725000</v>
      </c>
      <c r="I575">
        <v>625000</v>
      </c>
      <c r="J575">
        <v>100000</v>
      </c>
    </row>
    <row r="576" spans="1:10" x14ac:dyDescent="0.3">
      <c r="A576" t="s">
        <v>660</v>
      </c>
      <c r="B576" s="3">
        <v>46165</v>
      </c>
      <c r="C576" t="s">
        <v>68</v>
      </c>
      <c r="D576" t="s">
        <v>69</v>
      </c>
      <c r="E576" t="s">
        <v>27</v>
      </c>
      <c r="F576" t="s">
        <v>20</v>
      </c>
      <c r="G576" t="s">
        <v>61</v>
      </c>
      <c r="H576" s="5">
        <v>400000</v>
      </c>
      <c r="I576">
        <v>0</v>
      </c>
      <c r="J576">
        <v>0</v>
      </c>
    </row>
    <row r="577" spans="1:10" x14ac:dyDescent="0.3">
      <c r="A577" t="s">
        <v>661</v>
      </c>
      <c r="B577" s="3">
        <v>46165</v>
      </c>
      <c r="C577" t="s">
        <v>68</v>
      </c>
      <c r="D577" t="s">
        <v>69</v>
      </c>
      <c r="E577" t="s">
        <v>27</v>
      </c>
      <c r="F577" t="s">
        <v>14</v>
      </c>
      <c r="G577" t="s">
        <v>15</v>
      </c>
      <c r="H577" s="5">
        <v>1775000</v>
      </c>
      <c r="I577">
        <v>0</v>
      </c>
      <c r="J577">
        <v>0</v>
      </c>
    </row>
    <row r="578" spans="1:10" x14ac:dyDescent="0.3">
      <c r="A578" t="s">
        <v>662</v>
      </c>
      <c r="B578" s="3">
        <v>46165</v>
      </c>
      <c r="C578" t="s">
        <v>50</v>
      </c>
      <c r="D578" t="s">
        <v>51</v>
      </c>
      <c r="E578" t="s">
        <v>52</v>
      </c>
      <c r="F578" t="s">
        <v>20</v>
      </c>
      <c r="G578" t="s">
        <v>61</v>
      </c>
      <c r="H578" s="5">
        <v>325000</v>
      </c>
      <c r="I578">
        <v>250000</v>
      </c>
      <c r="J578">
        <v>75000</v>
      </c>
    </row>
    <row r="579" spans="1:10" x14ac:dyDescent="0.3">
      <c r="A579" t="s">
        <v>663</v>
      </c>
      <c r="B579" s="3">
        <v>46166</v>
      </c>
      <c r="C579" t="s">
        <v>35</v>
      </c>
      <c r="D579" t="s">
        <v>36</v>
      </c>
      <c r="E579" t="s">
        <v>37</v>
      </c>
      <c r="F579" t="s">
        <v>14</v>
      </c>
      <c r="G579" t="s">
        <v>31</v>
      </c>
      <c r="H579" s="5">
        <v>225000</v>
      </c>
      <c r="I579">
        <v>175000</v>
      </c>
      <c r="J579">
        <v>50000</v>
      </c>
    </row>
    <row r="580" spans="1:10" x14ac:dyDescent="0.3">
      <c r="A580" t="s">
        <v>664</v>
      </c>
      <c r="B580" s="3">
        <v>46166</v>
      </c>
      <c r="C580" t="s">
        <v>35</v>
      </c>
      <c r="D580" t="s">
        <v>36</v>
      </c>
      <c r="E580" t="s">
        <v>37</v>
      </c>
      <c r="F580" t="s">
        <v>14</v>
      </c>
      <c r="G580" t="s">
        <v>31</v>
      </c>
      <c r="H580" s="5">
        <v>500000</v>
      </c>
      <c r="I580">
        <v>425000</v>
      </c>
      <c r="J580">
        <v>75000</v>
      </c>
    </row>
    <row r="581" spans="1:10" x14ac:dyDescent="0.3">
      <c r="A581" t="s">
        <v>665</v>
      </c>
      <c r="B581" s="3">
        <v>46166</v>
      </c>
      <c r="C581" t="s">
        <v>68</v>
      </c>
      <c r="D581" t="s">
        <v>69</v>
      </c>
      <c r="E581" t="s">
        <v>27</v>
      </c>
      <c r="F581" t="s">
        <v>20</v>
      </c>
      <c r="G581" t="s">
        <v>28</v>
      </c>
      <c r="H581" s="5">
        <v>180000</v>
      </c>
      <c r="I581">
        <v>150000</v>
      </c>
      <c r="J581">
        <v>30000</v>
      </c>
    </row>
    <row r="582" spans="1:10" x14ac:dyDescent="0.3">
      <c r="A582" t="s">
        <v>666</v>
      </c>
      <c r="B582" s="3">
        <v>46167</v>
      </c>
      <c r="C582" t="s">
        <v>38</v>
      </c>
      <c r="D582" t="s">
        <v>39</v>
      </c>
      <c r="E582" t="s">
        <v>24</v>
      </c>
      <c r="F582" t="s">
        <v>14</v>
      </c>
      <c r="G582" t="s">
        <v>58</v>
      </c>
      <c r="H582" s="5">
        <v>350000</v>
      </c>
      <c r="I582">
        <v>0</v>
      </c>
      <c r="J582">
        <v>0</v>
      </c>
    </row>
    <row r="583" spans="1:10" x14ac:dyDescent="0.3">
      <c r="A583" t="s">
        <v>667</v>
      </c>
      <c r="B583" s="3">
        <v>46167</v>
      </c>
      <c r="C583" t="s">
        <v>44</v>
      </c>
      <c r="D583" t="s">
        <v>45</v>
      </c>
      <c r="E583" t="s">
        <v>43</v>
      </c>
      <c r="F583" t="s">
        <v>20</v>
      </c>
      <c r="G583" t="s">
        <v>15</v>
      </c>
      <c r="H583" s="5">
        <v>2325000</v>
      </c>
      <c r="I583">
        <v>1750000</v>
      </c>
      <c r="J583">
        <v>575000</v>
      </c>
    </row>
    <row r="584" spans="1:10" x14ac:dyDescent="0.3">
      <c r="A584" t="s">
        <v>668</v>
      </c>
      <c r="B584" s="3">
        <v>46167</v>
      </c>
      <c r="C584" t="s">
        <v>44</v>
      </c>
      <c r="D584" t="s">
        <v>45</v>
      </c>
      <c r="E584" t="s">
        <v>43</v>
      </c>
      <c r="F584" t="s">
        <v>20</v>
      </c>
      <c r="G584" t="s">
        <v>15</v>
      </c>
      <c r="H584" s="5">
        <v>2400000</v>
      </c>
      <c r="I584">
        <v>2200000</v>
      </c>
      <c r="J584">
        <v>200000</v>
      </c>
    </row>
    <row r="585" spans="1:10" x14ac:dyDescent="0.3">
      <c r="A585" t="s">
        <v>669</v>
      </c>
      <c r="B585" s="3">
        <v>46167</v>
      </c>
      <c r="C585" t="s">
        <v>66</v>
      </c>
      <c r="D585" t="s">
        <v>67</v>
      </c>
      <c r="E585" t="s">
        <v>13</v>
      </c>
      <c r="F585" t="s">
        <v>14</v>
      </c>
      <c r="G585" t="s">
        <v>61</v>
      </c>
      <c r="H585" s="5">
        <v>550000</v>
      </c>
      <c r="I585">
        <v>475000</v>
      </c>
      <c r="J585">
        <v>75000</v>
      </c>
    </row>
    <row r="586" spans="1:10" x14ac:dyDescent="0.3">
      <c r="A586" t="s">
        <v>670</v>
      </c>
      <c r="B586" s="3">
        <v>46167</v>
      </c>
      <c r="C586" t="s">
        <v>22</v>
      </c>
      <c r="D586" t="s">
        <v>23</v>
      </c>
      <c r="E586" t="s">
        <v>24</v>
      </c>
      <c r="F586" t="s">
        <v>14</v>
      </c>
      <c r="G586" t="s">
        <v>34</v>
      </c>
      <c r="H586" s="5">
        <v>375000</v>
      </c>
      <c r="I586">
        <v>300000</v>
      </c>
      <c r="J586">
        <v>75000</v>
      </c>
    </row>
    <row r="587" spans="1:10" x14ac:dyDescent="0.3">
      <c r="A587" t="s">
        <v>671</v>
      </c>
      <c r="B587" s="3">
        <v>46167</v>
      </c>
      <c r="C587" t="s">
        <v>59</v>
      </c>
      <c r="D587" t="s">
        <v>60</v>
      </c>
      <c r="E587" t="s">
        <v>19</v>
      </c>
      <c r="F587" t="s">
        <v>14</v>
      </c>
      <c r="G587" t="s">
        <v>15</v>
      </c>
      <c r="H587" s="5">
        <v>950000</v>
      </c>
      <c r="I587">
        <v>775000</v>
      </c>
      <c r="J587">
        <v>175000</v>
      </c>
    </row>
    <row r="588" spans="1:10" x14ac:dyDescent="0.3">
      <c r="A588" t="s">
        <v>672</v>
      </c>
      <c r="B588" s="3">
        <v>46168</v>
      </c>
      <c r="C588" t="s">
        <v>68</v>
      </c>
      <c r="D588" t="s">
        <v>69</v>
      </c>
      <c r="E588" t="s">
        <v>27</v>
      </c>
      <c r="F588" t="s">
        <v>20</v>
      </c>
      <c r="G588" t="s">
        <v>34</v>
      </c>
      <c r="H588" s="5">
        <v>450000</v>
      </c>
      <c r="I588">
        <v>450000</v>
      </c>
      <c r="J588">
        <v>0</v>
      </c>
    </row>
    <row r="589" spans="1:10" x14ac:dyDescent="0.3">
      <c r="A589" t="s">
        <v>673</v>
      </c>
      <c r="B589" s="3">
        <v>46168</v>
      </c>
      <c r="C589" t="s">
        <v>22</v>
      </c>
      <c r="D589" t="s">
        <v>23</v>
      </c>
      <c r="E589" t="s">
        <v>24</v>
      </c>
      <c r="F589" t="s">
        <v>14</v>
      </c>
      <c r="G589" t="s">
        <v>31</v>
      </c>
      <c r="H589" s="5">
        <v>325000</v>
      </c>
      <c r="I589">
        <v>0</v>
      </c>
      <c r="J589">
        <v>0</v>
      </c>
    </row>
    <row r="590" spans="1:10" x14ac:dyDescent="0.3">
      <c r="A590" t="s">
        <v>674</v>
      </c>
      <c r="B590" s="3">
        <v>46169</v>
      </c>
      <c r="C590" t="s">
        <v>11</v>
      </c>
      <c r="D590" t="s">
        <v>12</v>
      </c>
      <c r="E590" t="s">
        <v>13</v>
      </c>
      <c r="F590" t="s">
        <v>20</v>
      </c>
      <c r="G590" t="s">
        <v>28</v>
      </c>
      <c r="H590" s="5">
        <v>455000</v>
      </c>
      <c r="I590">
        <v>425000</v>
      </c>
      <c r="J590">
        <v>30000</v>
      </c>
    </row>
    <row r="591" spans="1:10" x14ac:dyDescent="0.3">
      <c r="A591" t="s">
        <v>675</v>
      </c>
      <c r="B591" s="3">
        <v>46169</v>
      </c>
      <c r="C591" t="s">
        <v>38</v>
      </c>
      <c r="D591" t="s">
        <v>39</v>
      </c>
      <c r="E591" t="s">
        <v>24</v>
      </c>
      <c r="F591" t="s">
        <v>20</v>
      </c>
      <c r="G591" t="s">
        <v>31</v>
      </c>
      <c r="H591" s="5">
        <v>375000</v>
      </c>
      <c r="I591">
        <v>325000</v>
      </c>
      <c r="J591">
        <v>50000</v>
      </c>
    </row>
    <row r="592" spans="1:10" x14ac:dyDescent="0.3">
      <c r="A592" t="s">
        <v>676</v>
      </c>
      <c r="B592" s="3">
        <v>46169</v>
      </c>
      <c r="C592" t="s">
        <v>38</v>
      </c>
      <c r="D592" t="s">
        <v>39</v>
      </c>
      <c r="E592" t="s">
        <v>24</v>
      </c>
      <c r="F592" t="s">
        <v>20</v>
      </c>
      <c r="G592" t="s">
        <v>15</v>
      </c>
      <c r="H592" s="5">
        <v>3275000</v>
      </c>
      <c r="I592">
        <v>0</v>
      </c>
      <c r="J592">
        <v>0</v>
      </c>
    </row>
    <row r="593" spans="1:10" x14ac:dyDescent="0.3">
      <c r="A593" t="s">
        <v>677</v>
      </c>
      <c r="B593" s="3">
        <v>46169</v>
      </c>
      <c r="C593" t="s">
        <v>50</v>
      </c>
      <c r="D593" t="s">
        <v>51</v>
      </c>
      <c r="E593" t="s">
        <v>52</v>
      </c>
      <c r="F593" t="s">
        <v>20</v>
      </c>
      <c r="G593" t="s">
        <v>57</v>
      </c>
      <c r="H593" s="5">
        <v>130000</v>
      </c>
      <c r="I593">
        <v>100000</v>
      </c>
      <c r="J593">
        <v>30000</v>
      </c>
    </row>
    <row r="594" spans="1:10" x14ac:dyDescent="0.3">
      <c r="A594" t="s">
        <v>678</v>
      </c>
      <c r="B594" s="3">
        <v>46169</v>
      </c>
      <c r="C594" t="s">
        <v>64</v>
      </c>
      <c r="D594" t="s">
        <v>65</v>
      </c>
      <c r="E594" t="s">
        <v>37</v>
      </c>
      <c r="F594" t="s">
        <v>20</v>
      </c>
      <c r="G594" t="s">
        <v>61</v>
      </c>
      <c r="H594" s="5">
        <v>300000</v>
      </c>
      <c r="I594">
        <v>0</v>
      </c>
      <c r="J594">
        <v>0</v>
      </c>
    </row>
    <row r="595" spans="1:10" x14ac:dyDescent="0.3">
      <c r="A595" t="s">
        <v>679</v>
      </c>
      <c r="B595" s="3">
        <v>46169</v>
      </c>
      <c r="C595" t="s">
        <v>53</v>
      </c>
      <c r="D595" t="s">
        <v>54</v>
      </c>
      <c r="E595" t="s">
        <v>43</v>
      </c>
      <c r="F595" t="s">
        <v>14</v>
      </c>
      <c r="G595" t="s">
        <v>40</v>
      </c>
      <c r="H595" s="5">
        <v>900000</v>
      </c>
      <c r="I595">
        <v>700000</v>
      </c>
      <c r="J595">
        <v>200000</v>
      </c>
    </row>
    <row r="596" spans="1:10" x14ac:dyDescent="0.3">
      <c r="A596" t="s">
        <v>680</v>
      </c>
      <c r="B596" s="3">
        <v>46170</v>
      </c>
      <c r="C596" t="s">
        <v>62</v>
      </c>
      <c r="D596" t="s">
        <v>63</v>
      </c>
      <c r="E596" t="s">
        <v>52</v>
      </c>
      <c r="F596" t="s">
        <v>14</v>
      </c>
      <c r="G596" t="s">
        <v>15</v>
      </c>
      <c r="H596" s="5">
        <v>650000</v>
      </c>
      <c r="I596">
        <v>525000</v>
      </c>
      <c r="J596">
        <v>125000</v>
      </c>
    </row>
    <row r="597" spans="1:10" x14ac:dyDescent="0.3">
      <c r="A597" t="s">
        <v>681</v>
      </c>
      <c r="B597" s="3">
        <v>46170</v>
      </c>
      <c r="C597" t="s">
        <v>11</v>
      </c>
      <c r="D597" t="s">
        <v>12</v>
      </c>
      <c r="E597" t="s">
        <v>13</v>
      </c>
      <c r="F597" t="s">
        <v>14</v>
      </c>
      <c r="G597" t="s">
        <v>61</v>
      </c>
      <c r="H597" s="5">
        <v>75000</v>
      </c>
      <c r="I597">
        <v>50000</v>
      </c>
      <c r="J597">
        <v>25000</v>
      </c>
    </row>
    <row r="598" spans="1:10" x14ac:dyDescent="0.3">
      <c r="A598" t="s">
        <v>682</v>
      </c>
      <c r="B598" s="3">
        <v>46170</v>
      </c>
      <c r="C598" t="s">
        <v>38</v>
      </c>
      <c r="D598" t="s">
        <v>39</v>
      </c>
      <c r="E598" t="s">
        <v>24</v>
      </c>
      <c r="F598" t="s">
        <v>14</v>
      </c>
      <c r="G598" t="s">
        <v>34</v>
      </c>
      <c r="H598" s="5">
        <v>275000</v>
      </c>
      <c r="I598">
        <v>250000</v>
      </c>
      <c r="J598">
        <v>25000</v>
      </c>
    </row>
    <row r="599" spans="1:10" x14ac:dyDescent="0.3">
      <c r="A599" t="s">
        <v>683</v>
      </c>
      <c r="B599" s="3">
        <v>46170</v>
      </c>
      <c r="C599" t="s">
        <v>17</v>
      </c>
      <c r="D599" t="s">
        <v>18</v>
      </c>
      <c r="E599" t="s">
        <v>19</v>
      </c>
      <c r="F599" t="s">
        <v>20</v>
      </c>
      <c r="G599" t="s">
        <v>57</v>
      </c>
      <c r="H599" s="5">
        <v>130000</v>
      </c>
      <c r="I599">
        <v>100000</v>
      </c>
      <c r="J599">
        <v>30000</v>
      </c>
    </row>
    <row r="600" spans="1:10" x14ac:dyDescent="0.3">
      <c r="A600" t="s">
        <v>684</v>
      </c>
      <c r="B600" s="3">
        <v>46170</v>
      </c>
      <c r="C600" t="s">
        <v>59</v>
      </c>
      <c r="D600" t="s">
        <v>60</v>
      </c>
      <c r="E600" t="s">
        <v>19</v>
      </c>
      <c r="F600" t="s">
        <v>20</v>
      </c>
      <c r="G600" t="s">
        <v>61</v>
      </c>
      <c r="H600" s="5">
        <v>575000</v>
      </c>
      <c r="I600">
        <v>0</v>
      </c>
      <c r="J600">
        <v>0</v>
      </c>
    </row>
    <row r="601" spans="1:10" x14ac:dyDescent="0.3">
      <c r="A601" t="s">
        <v>685</v>
      </c>
      <c r="B601" s="3">
        <v>46171</v>
      </c>
      <c r="C601" t="s">
        <v>46</v>
      </c>
      <c r="D601" t="s">
        <v>47</v>
      </c>
      <c r="E601" t="s">
        <v>37</v>
      </c>
      <c r="F601" t="s">
        <v>20</v>
      </c>
      <c r="G601" t="s">
        <v>40</v>
      </c>
      <c r="H601" s="5">
        <v>675000</v>
      </c>
      <c r="I601">
        <v>600000</v>
      </c>
      <c r="J601">
        <v>75000</v>
      </c>
    </row>
    <row r="602" spans="1:10" x14ac:dyDescent="0.3">
      <c r="A602" t="s">
        <v>686</v>
      </c>
      <c r="B602" s="3">
        <v>46171</v>
      </c>
      <c r="C602" t="s">
        <v>46</v>
      </c>
      <c r="D602" t="s">
        <v>47</v>
      </c>
      <c r="E602" t="s">
        <v>37</v>
      </c>
      <c r="F602" t="s">
        <v>20</v>
      </c>
      <c r="G602" t="s">
        <v>31</v>
      </c>
      <c r="H602" s="5">
        <v>1225000</v>
      </c>
      <c r="I602">
        <v>1050000</v>
      </c>
      <c r="J602">
        <v>175000</v>
      </c>
    </row>
    <row r="603" spans="1:10" x14ac:dyDescent="0.3">
      <c r="A603" t="s">
        <v>687</v>
      </c>
      <c r="B603" s="3">
        <v>46171</v>
      </c>
      <c r="C603" t="s">
        <v>41</v>
      </c>
      <c r="D603" t="s">
        <v>42</v>
      </c>
      <c r="E603" t="s">
        <v>43</v>
      </c>
      <c r="F603" t="s">
        <v>20</v>
      </c>
      <c r="G603" t="s">
        <v>28</v>
      </c>
      <c r="H603" s="5">
        <v>255000</v>
      </c>
      <c r="I603">
        <v>200000</v>
      </c>
      <c r="J603">
        <v>55000</v>
      </c>
    </row>
    <row r="604" spans="1:10" x14ac:dyDescent="0.3">
      <c r="A604" t="s">
        <v>688</v>
      </c>
      <c r="B604" s="3">
        <v>46171</v>
      </c>
      <c r="C604" t="s">
        <v>17</v>
      </c>
      <c r="D604" t="s">
        <v>18</v>
      </c>
      <c r="E604" t="s">
        <v>19</v>
      </c>
      <c r="F604" t="s">
        <v>14</v>
      </c>
      <c r="G604" t="s">
        <v>57</v>
      </c>
      <c r="H604" s="5">
        <v>405000</v>
      </c>
      <c r="I604">
        <v>0</v>
      </c>
      <c r="J604">
        <v>0</v>
      </c>
    </row>
    <row r="605" spans="1:10" x14ac:dyDescent="0.3">
      <c r="A605" t="s">
        <v>689</v>
      </c>
      <c r="B605" s="3">
        <v>46171</v>
      </c>
      <c r="C605" t="s">
        <v>66</v>
      </c>
      <c r="D605" t="s">
        <v>67</v>
      </c>
      <c r="E605" t="s">
        <v>13</v>
      </c>
      <c r="F605" t="s">
        <v>20</v>
      </c>
      <c r="G605" t="s">
        <v>58</v>
      </c>
      <c r="H605" s="5">
        <v>750000</v>
      </c>
      <c r="I605">
        <v>0</v>
      </c>
      <c r="J605">
        <v>0</v>
      </c>
    </row>
    <row r="606" spans="1:10" x14ac:dyDescent="0.3">
      <c r="A606" t="s">
        <v>690</v>
      </c>
      <c r="B606" s="3">
        <v>46171</v>
      </c>
      <c r="C606" t="s">
        <v>22</v>
      </c>
      <c r="D606" t="s">
        <v>23</v>
      </c>
      <c r="E606" t="s">
        <v>24</v>
      </c>
      <c r="F606" t="s">
        <v>14</v>
      </c>
      <c r="G606" t="s">
        <v>40</v>
      </c>
      <c r="H606" s="5">
        <v>825000</v>
      </c>
      <c r="I606">
        <v>750000</v>
      </c>
      <c r="J606">
        <v>75000</v>
      </c>
    </row>
    <row r="607" spans="1:10" x14ac:dyDescent="0.3">
      <c r="A607" t="s">
        <v>691</v>
      </c>
      <c r="B607" s="3">
        <v>46172</v>
      </c>
      <c r="C607" t="s">
        <v>29</v>
      </c>
      <c r="D607" t="s">
        <v>30</v>
      </c>
      <c r="E607" t="s">
        <v>13</v>
      </c>
      <c r="F607" t="s">
        <v>20</v>
      </c>
      <c r="G607" t="s">
        <v>57</v>
      </c>
      <c r="H607" s="5">
        <v>130000</v>
      </c>
      <c r="I607">
        <v>100000</v>
      </c>
      <c r="J607">
        <v>30000</v>
      </c>
    </row>
    <row r="608" spans="1:10" x14ac:dyDescent="0.3">
      <c r="A608" t="s">
        <v>692</v>
      </c>
      <c r="B608" s="3">
        <v>46172</v>
      </c>
      <c r="C608" t="s">
        <v>35</v>
      </c>
      <c r="D608" t="s">
        <v>36</v>
      </c>
      <c r="E608" t="s">
        <v>37</v>
      </c>
      <c r="F608" t="s">
        <v>14</v>
      </c>
      <c r="G608" t="s">
        <v>28</v>
      </c>
      <c r="H608" s="5">
        <v>430000</v>
      </c>
      <c r="I608">
        <v>400000</v>
      </c>
      <c r="J608">
        <v>30000</v>
      </c>
    </row>
    <row r="609" spans="1:10" x14ac:dyDescent="0.3">
      <c r="A609" t="s">
        <v>693</v>
      </c>
      <c r="B609" s="3">
        <v>46172</v>
      </c>
      <c r="C609" t="s">
        <v>59</v>
      </c>
      <c r="D609" t="s">
        <v>60</v>
      </c>
      <c r="E609" t="s">
        <v>19</v>
      </c>
      <c r="F609" t="s">
        <v>20</v>
      </c>
      <c r="G609" t="s">
        <v>57</v>
      </c>
      <c r="H609" s="5">
        <v>130000</v>
      </c>
      <c r="I609">
        <v>100000</v>
      </c>
      <c r="J609">
        <v>30000</v>
      </c>
    </row>
    <row r="610" spans="1:10" x14ac:dyDescent="0.3">
      <c r="A610" t="s">
        <v>694</v>
      </c>
      <c r="B610" s="3">
        <v>46173</v>
      </c>
      <c r="C610" t="s">
        <v>32</v>
      </c>
      <c r="D610" t="s">
        <v>33</v>
      </c>
      <c r="E610" t="s">
        <v>27</v>
      </c>
      <c r="F610" t="s">
        <v>20</v>
      </c>
      <c r="G610" t="s">
        <v>34</v>
      </c>
      <c r="H610" s="5">
        <v>50000</v>
      </c>
      <c r="I610">
        <v>50000</v>
      </c>
      <c r="J610">
        <v>0</v>
      </c>
    </row>
    <row r="611" spans="1:10" x14ac:dyDescent="0.3">
      <c r="A611" t="s">
        <v>695</v>
      </c>
      <c r="B611" s="3">
        <v>46173</v>
      </c>
      <c r="C611" t="s">
        <v>32</v>
      </c>
      <c r="D611" t="s">
        <v>33</v>
      </c>
      <c r="E611" t="s">
        <v>27</v>
      </c>
      <c r="F611" t="s">
        <v>14</v>
      </c>
      <c r="G611" t="s">
        <v>61</v>
      </c>
      <c r="H611" s="5">
        <v>150000</v>
      </c>
      <c r="I611">
        <v>150000</v>
      </c>
      <c r="J611">
        <v>0</v>
      </c>
    </row>
    <row r="612" spans="1:10" x14ac:dyDescent="0.3">
      <c r="A612" t="s">
        <v>696</v>
      </c>
      <c r="B612" s="3">
        <v>46173</v>
      </c>
      <c r="C612" t="s">
        <v>35</v>
      </c>
      <c r="D612" t="s">
        <v>36</v>
      </c>
      <c r="E612" t="s">
        <v>37</v>
      </c>
      <c r="F612" t="s">
        <v>14</v>
      </c>
      <c r="G612" t="s">
        <v>58</v>
      </c>
      <c r="H612" s="5">
        <v>300000</v>
      </c>
      <c r="I612">
        <v>275000</v>
      </c>
      <c r="J612">
        <v>25000</v>
      </c>
    </row>
    <row r="613" spans="1:10" x14ac:dyDescent="0.3">
      <c r="A613" t="s">
        <v>697</v>
      </c>
      <c r="B613" s="3">
        <v>46173</v>
      </c>
      <c r="C613" t="s">
        <v>59</v>
      </c>
      <c r="D613" t="s">
        <v>60</v>
      </c>
      <c r="E613" t="s">
        <v>19</v>
      </c>
      <c r="F613" t="s">
        <v>20</v>
      </c>
      <c r="G613" t="s">
        <v>34</v>
      </c>
      <c r="H613" s="5">
        <v>125000</v>
      </c>
      <c r="I613">
        <v>100000</v>
      </c>
      <c r="J613">
        <v>25000</v>
      </c>
    </row>
    <row r="614" spans="1:10" x14ac:dyDescent="0.3">
      <c r="A614" t="s">
        <v>698</v>
      </c>
      <c r="B614" s="3">
        <v>46174</v>
      </c>
      <c r="C614" t="s">
        <v>46</v>
      </c>
      <c r="D614" t="s">
        <v>47</v>
      </c>
      <c r="E614" t="s">
        <v>37</v>
      </c>
      <c r="F614" t="s">
        <v>20</v>
      </c>
      <c r="G614" t="s">
        <v>31</v>
      </c>
      <c r="H614" s="5">
        <v>100000</v>
      </c>
      <c r="I614">
        <v>75000</v>
      </c>
      <c r="J614">
        <v>25000</v>
      </c>
    </row>
    <row r="615" spans="1:10" x14ac:dyDescent="0.3">
      <c r="A615" t="s">
        <v>699</v>
      </c>
      <c r="B615" s="3">
        <v>46174</v>
      </c>
      <c r="C615" t="s">
        <v>55</v>
      </c>
      <c r="D615" t="s">
        <v>56</v>
      </c>
      <c r="E615" t="s">
        <v>24</v>
      </c>
      <c r="F615" t="s">
        <v>20</v>
      </c>
      <c r="G615" t="s">
        <v>58</v>
      </c>
      <c r="H615" s="5">
        <v>825000</v>
      </c>
      <c r="I615">
        <v>675000</v>
      </c>
      <c r="J615">
        <v>150000</v>
      </c>
    </row>
    <row r="616" spans="1:10" x14ac:dyDescent="0.3">
      <c r="A616" t="s">
        <v>700</v>
      </c>
      <c r="B616" s="3">
        <v>46174</v>
      </c>
      <c r="C616" t="s">
        <v>41</v>
      </c>
      <c r="D616" t="s">
        <v>42</v>
      </c>
      <c r="E616" t="s">
        <v>43</v>
      </c>
      <c r="F616" t="s">
        <v>20</v>
      </c>
      <c r="G616" t="s">
        <v>28</v>
      </c>
      <c r="H616" s="5">
        <v>305000</v>
      </c>
      <c r="I616">
        <v>225000</v>
      </c>
      <c r="J616">
        <v>80000</v>
      </c>
    </row>
    <row r="617" spans="1:10" x14ac:dyDescent="0.3">
      <c r="A617" t="s">
        <v>701</v>
      </c>
      <c r="B617" s="3">
        <v>46174</v>
      </c>
      <c r="C617" t="s">
        <v>44</v>
      </c>
      <c r="D617" t="s">
        <v>45</v>
      </c>
      <c r="E617" t="s">
        <v>43</v>
      </c>
      <c r="F617" t="s">
        <v>20</v>
      </c>
      <c r="G617" t="s">
        <v>34</v>
      </c>
      <c r="H617" s="5">
        <v>375000</v>
      </c>
      <c r="I617">
        <v>275000</v>
      </c>
      <c r="J617">
        <v>100000</v>
      </c>
    </row>
    <row r="618" spans="1:10" x14ac:dyDescent="0.3">
      <c r="A618" t="s">
        <v>702</v>
      </c>
      <c r="B618" s="3">
        <v>46174</v>
      </c>
      <c r="C618" t="s">
        <v>50</v>
      </c>
      <c r="D618" t="s">
        <v>51</v>
      </c>
      <c r="E618" t="s">
        <v>52</v>
      </c>
      <c r="F618" t="s">
        <v>14</v>
      </c>
      <c r="G618" t="s">
        <v>34</v>
      </c>
      <c r="H618" s="5">
        <v>350000</v>
      </c>
      <c r="I618">
        <v>0</v>
      </c>
      <c r="J618">
        <v>0</v>
      </c>
    </row>
    <row r="619" spans="1:10" x14ac:dyDescent="0.3">
      <c r="A619" t="s">
        <v>703</v>
      </c>
      <c r="B619" s="3">
        <v>46174</v>
      </c>
      <c r="C619" t="s">
        <v>66</v>
      </c>
      <c r="D619" t="s">
        <v>67</v>
      </c>
      <c r="E619" t="s">
        <v>13</v>
      </c>
      <c r="F619" t="s">
        <v>20</v>
      </c>
      <c r="G619" t="s">
        <v>58</v>
      </c>
      <c r="H619" s="5">
        <v>400000</v>
      </c>
      <c r="I619">
        <v>375000</v>
      </c>
      <c r="J619">
        <v>25000</v>
      </c>
    </row>
    <row r="620" spans="1:10" x14ac:dyDescent="0.3">
      <c r="A620" t="s">
        <v>704</v>
      </c>
      <c r="B620" s="3">
        <v>46174</v>
      </c>
      <c r="C620" t="s">
        <v>59</v>
      </c>
      <c r="D620" t="s">
        <v>60</v>
      </c>
      <c r="E620" t="s">
        <v>19</v>
      </c>
      <c r="F620" t="s">
        <v>20</v>
      </c>
      <c r="G620" t="s">
        <v>15</v>
      </c>
      <c r="H620" s="5">
        <v>750000</v>
      </c>
      <c r="I620">
        <v>700000</v>
      </c>
      <c r="J620">
        <v>50000</v>
      </c>
    </row>
    <row r="621" spans="1:10" x14ac:dyDescent="0.3">
      <c r="A621" t="s">
        <v>705</v>
      </c>
      <c r="B621" s="3">
        <v>46175</v>
      </c>
      <c r="C621" t="s">
        <v>29</v>
      </c>
      <c r="D621" t="s">
        <v>30</v>
      </c>
      <c r="E621" t="s">
        <v>13</v>
      </c>
      <c r="F621" t="s">
        <v>14</v>
      </c>
      <c r="G621" t="s">
        <v>34</v>
      </c>
      <c r="H621" s="5">
        <v>125000</v>
      </c>
      <c r="I621">
        <v>0</v>
      </c>
      <c r="J621">
        <v>0</v>
      </c>
    </row>
    <row r="622" spans="1:10" x14ac:dyDescent="0.3">
      <c r="A622" t="s">
        <v>706</v>
      </c>
      <c r="B622" s="3">
        <v>46175</v>
      </c>
      <c r="C622" t="s">
        <v>62</v>
      </c>
      <c r="D622" t="s">
        <v>63</v>
      </c>
      <c r="E622" t="s">
        <v>52</v>
      </c>
      <c r="F622" t="s">
        <v>20</v>
      </c>
      <c r="G622" t="s">
        <v>61</v>
      </c>
      <c r="H622" s="5">
        <v>450000</v>
      </c>
      <c r="I622">
        <v>400000</v>
      </c>
      <c r="J622">
        <v>50000</v>
      </c>
    </row>
    <row r="623" spans="1:10" x14ac:dyDescent="0.3">
      <c r="A623" t="s">
        <v>707</v>
      </c>
      <c r="B623" s="3">
        <v>46175</v>
      </c>
      <c r="C623" t="s">
        <v>41</v>
      </c>
      <c r="D623" t="s">
        <v>42</v>
      </c>
      <c r="E623" t="s">
        <v>43</v>
      </c>
      <c r="F623" t="s">
        <v>20</v>
      </c>
      <c r="G623" t="s">
        <v>57</v>
      </c>
      <c r="H623" s="5">
        <v>230000</v>
      </c>
      <c r="I623">
        <v>175000</v>
      </c>
      <c r="J623">
        <v>55000</v>
      </c>
    </row>
    <row r="624" spans="1:10" x14ac:dyDescent="0.3">
      <c r="A624" t="s">
        <v>708</v>
      </c>
      <c r="B624" s="3">
        <v>46175</v>
      </c>
      <c r="C624" t="s">
        <v>38</v>
      </c>
      <c r="D624" t="s">
        <v>39</v>
      </c>
      <c r="E624" t="s">
        <v>24</v>
      </c>
      <c r="F624" t="s">
        <v>14</v>
      </c>
      <c r="G624" t="s">
        <v>57</v>
      </c>
      <c r="H624" s="5">
        <v>480000</v>
      </c>
      <c r="I624">
        <v>0</v>
      </c>
      <c r="J624">
        <v>0</v>
      </c>
    </row>
    <row r="625" spans="1:10" x14ac:dyDescent="0.3">
      <c r="A625" t="s">
        <v>709</v>
      </c>
      <c r="B625" s="3">
        <v>46176</v>
      </c>
      <c r="C625" t="s">
        <v>46</v>
      </c>
      <c r="D625" t="s">
        <v>47</v>
      </c>
      <c r="E625" t="s">
        <v>37</v>
      </c>
      <c r="F625" t="s">
        <v>20</v>
      </c>
      <c r="G625" t="s">
        <v>31</v>
      </c>
      <c r="H625" s="5">
        <v>1250000</v>
      </c>
      <c r="I625">
        <v>925000</v>
      </c>
      <c r="J625">
        <v>325000</v>
      </c>
    </row>
    <row r="626" spans="1:10" x14ac:dyDescent="0.3">
      <c r="A626" t="s">
        <v>710</v>
      </c>
      <c r="B626" s="3">
        <v>46176</v>
      </c>
      <c r="C626" t="s">
        <v>32</v>
      </c>
      <c r="D626" t="s">
        <v>33</v>
      </c>
      <c r="E626" t="s">
        <v>27</v>
      </c>
      <c r="F626" t="s">
        <v>20</v>
      </c>
      <c r="G626" t="s">
        <v>58</v>
      </c>
      <c r="H626" s="5">
        <v>750000</v>
      </c>
      <c r="I626">
        <v>550000</v>
      </c>
      <c r="J626">
        <v>200000</v>
      </c>
    </row>
    <row r="627" spans="1:10" x14ac:dyDescent="0.3">
      <c r="A627" t="s">
        <v>711</v>
      </c>
      <c r="B627" s="3">
        <v>46176</v>
      </c>
      <c r="C627" t="s">
        <v>35</v>
      </c>
      <c r="D627" t="s">
        <v>36</v>
      </c>
      <c r="E627" t="s">
        <v>37</v>
      </c>
      <c r="F627" t="s">
        <v>20</v>
      </c>
      <c r="G627" t="s">
        <v>58</v>
      </c>
      <c r="H627" s="5">
        <v>600000</v>
      </c>
      <c r="I627">
        <v>475000</v>
      </c>
      <c r="J627">
        <v>125000</v>
      </c>
    </row>
    <row r="628" spans="1:10" x14ac:dyDescent="0.3">
      <c r="A628" t="s">
        <v>712</v>
      </c>
      <c r="B628" s="3">
        <v>46176</v>
      </c>
      <c r="C628" t="s">
        <v>50</v>
      </c>
      <c r="D628" t="s">
        <v>51</v>
      </c>
      <c r="E628" t="s">
        <v>52</v>
      </c>
      <c r="F628" t="s">
        <v>14</v>
      </c>
      <c r="G628" t="s">
        <v>61</v>
      </c>
      <c r="H628" s="5">
        <v>525000</v>
      </c>
      <c r="I628">
        <v>525000</v>
      </c>
      <c r="J628">
        <v>0</v>
      </c>
    </row>
    <row r="629" spans="1:10" x14ac:dyDescent="0.3">
      <c r="A629" t="s">
        <v>713</v>
      </c>
      <c r="B629" s="3">
        <v>46176</v>
      </c>
      <c r="C629" t="s">
        <v>64</v>
      </c>
      <c r="D629" t="s">
        <v>65</v>
      </c>
      <c r="E629" t="s">
        <v>37</v>
      </c>
      <c r="F629" t="s">
        <v>20</v>
      </c>
      <c r="G629" t="s">
        <v>31</v>
      </c>
      <c r="H629" s="5">
        <v>700000</v>
      </c>
      <c r="I629">
        <v>575000</v>
      </c>
      <c r="J629">
        <v>125000</v>
      </c>
    </row>
    <row r="630" spans="1:10" x14ac:dyDescent="0.3">
      <c r="A630" t="s">
        <v>714</v>
      </c>
      <c r="B630" s="3">
        <v>46176</v>
      </c>
      <c r="C630" t="s">
        <v>66</v>
      </c>
      <c r="D630" t="s">
        <v>67</v>
      </c>
      <c r="E630" t="s">
        <v>13</v>
      </c>
      <c r="F630" t="s">
        <v>20</v>
      </c>
      <c r="G630" t="s">
        <v>57</v>
      </c>
      <c r="H630" s="5">
        <v>105000</v>
      </c>
      <c r="I630">
        <v>75000</v>
      </c>
      <c r="J630">
        <v>30000</v>
      </c>
    </row>
    <row r="631" spans="1:10" x14ac:dyDescent="0.3">
      <c r="A631" t="s">
        <v>715</v>
      </c>
      <c r="B631" s="3">
        <v>46176</v>
      </c>
      <c r="C631" t="s">
        <v>53</v>
      </c>
      <c r="D631" t="s">
        <v>54</v>
      </c>
      <c r="E631" t="s">
        <v>43</v>
      </c>
      <c r="F631" t="s">
        <v>14</v>
      </c>
      <c r="G631" t="s">
        <v>34</v>
      </c>
      <c r="H631" s="5">
        <v>200000</v>
      </c>
      <c r="I631">
        <v>150000</v>
      </c>
      <c r="J631">
        <v>50000</v>
      </c>
    </row>
    <row r="632" spans="1:10" x14ac:dyDescent="0.3">
      <c r="A632" t="s">
        <v>716</v>
      </c>
      <c r="B632" s="3">
        <v>46176</v>
      </c>
      <c r="C632" t="s">
        <v>22</v>
      </c>
      <c r="D632" t="s">
        <v>23</v>
      </c>
      <c r="E632" t="s">
        <v>24</v>
      </c>
      <c r="F632" t="s">
        <v>20</v>
      </c>
      <c r="G632" t="s">
        <v>34</v>
      </c>
      <c r="H632" s="5">
        <v>125000</v>
      </c>
      <c r="I632">
        <v>125000</v>
      </c>
      <c r="J632">
        <v>0</v>
      </c>
    </row>
    <row r="633" spans="1:10" x14ac:dyDescent="0.3">
      <c r="A633" t="s">
        <v>717</v>
      </c>
      <c r="B633" s="3">
        <v>46176</v>
      </c>
      <c r="C633" t="s">
        <v>59</v>
      </c>
      <c r="D633" t="s">
        <v>60</v>
      </c>
      <c r="E633" t="s">
        <v>19</v>
      </c>
      <c r="F633" t="s">
        <v>14</v>
      </c>
      <c r="G633" t="s">
        <v>40</v>
      </c>
      <c r="H633" s="5">
        <v>300000</v>
      </c>
      <c r="I633">
        <v>225000</v>
      </c>
      <c r="J633">
        <v>75000</v>
      </c>
    </row>
    <row r="634" spans="1:10" x14ac:dyDescent="0.3">
      <c r="A634" t="s">
        <v>718</v>
      </c>
      <c r="B634" s="3">
        <v>46176</v>
      </c>
      <c r="C634" t="s">
        <v>59</v>
      </c>
      <c r="D634" t="s">
        <v>60</v>
      </c>
      <c r="E634" t="s">
        <v>19</v>
      </c>
      <c r="F634" t="s">
        <v>20</v>
      </c>
      <c r="G634" t="s">
        <v>34</v>
      </c>
      <c r="H634" s="5">
        <v>400000</v>
      </c>
      <c r="I634">
        <v>0</v>
      </c>
      <c r="J634">
        <v>0</v>
      </c>
    </row>
    <row r="635" spans="1:10" x14ac:dyDescent="0.3">
      <c r="A635" t="s">
        <v>719</v>
      </c>
      <c r="B635" s="3">
        <v>46177</v>
      </c>
      <c r="C635" t="s">
        <v>46</v>
      </c>
      <c r="D635" t="s">
        <v>47</v>
      </c>
      <c r="E635" t="s">
        <v>37</v>
      </c>
      <c r="F635" t="s">
        <v>14</v>
      </c>
      <c r="G635" t="s">
        <v>40</v>
      </c>
      <c r="H635" s="5">
        <v>250000</v>
      </c>
      <c r="I635">
        <v>0</v>
      </c>
      <c r="J635">
        <v>0</v>
      </c>
    </row>
    <row r="636" spans="1:10" x14ac:dyDescent="0.3">
      <c r="A636" t="s">
        <v>720</v>
      </c>
      <c r="B636" s="3">
        <v>46177</v>
      </c>
      <c r="C636" t="s">
        <v>32</v>
      </c>
      <c r="D636" t="s">
        <v>33</v>
      </c>
      <c r="E636" t="s">
        <v>27</v>
      </c>
      <c r="F636" t="s">
        <v>14</v>
      </c>
      <c r="G636" t="s">
        <v>61</v>
      </c>
      <c r="H636" s="5">
        <v>300000</v>
      </c>
      <c r="I636">
        <v>250000</v>
      </c>
      <c r="J636">
        <v>50000</v>
      </c>
    </row>
    <row r="637" spans="1:10" x14ac:dyDescent="0.3">
      <c r="A637" t="s">
        <v>721</v>
      </c>
      <c r="B637" s="3">
        <v>46177</v>
      </c>
      <c r="C637" t="s">
        <v>32</v>
      </c>
      <c r="D637" t="s">
        <v>33</v>
      </c>
      <c r="E637" t="s">
        <v>27</v>
      </c>
      <c r="F637" t="s">
        <v>20</v>
      </c>
      <c r="G637" t="s">
        <v>57</v>
      </c>
      <c r="H637" s="5">
        <v>480000</v>
      </c>
      <c r="I637">
        <v>400000</v>
      </c>
      <c r="J637">
        <v>80000</v>
      </c>
    </row>
    <row r="638" spans="1:10" x14ac:dyDescent="0.3">
      <c r="A638" t="s">
        <v>722</v>
      </c>
      <c r="B638" s="3">
        <v>46177</v>
      </c>
      <c r="C638" t="s">
        <v>55</v>
      </c>
      <c r="D638" t="s">
        <v>56</v>
      </c>
      <c r="E638" t="s">
        <v>24</v>
      </c>
      <c r="F638" t="s">
        <v>20</v>
      </c>
      <c r="G638" t="s">
        <v>58</v>
      </c>
      <c r="H638" s="5">
        <v>650000</v>
      </c>
      <c r="I638">
        <v>625000</v>
      </c>
      <c r="J638">
        <v>25000</v>
      </c>
    </row>
    <row r="639" spans="1:10" x14ac:dyDescent="0.3">
      <c r="A639" t="s">
        <v>723</v>
      </c>
      <c r="B639" s="3">
        <v>46177</v>
      </c>
      <c r="C639" t="s">
        <v>41</v>
      </c>
      <c r="D639" t="s">
        <v>42</v>
      </c>
      <c r="E639" t="s">
        <v>43</v>
      </c>
      <c r="F639" t="s">
        <v>20</v>
      </c>
      <c r="G639" t="s">
        <v>34</v>
      </c>
      <c r="H639" s="5">
        <v>100000</v>
      </c>
      <c r="I639">
        <v>100000</v>
      </c>
      <c r="J639">
        <v>0</v>
      </c>
    </row>
    <row r="640" spans="1:10" x14ac:dyDescent="0.3">
      <c r="A640" t="s">
        <v>724</v>
      </c>
      <c r="B640" s="3">
        <v>46177</v>
      </c>
      <c r="C640" t="s">
        <v>59</v>
      </c>
      <c r="D640" t="s">
        <v>60</v>
      </c>
      <c r="E640" t="s">
        <v>19</v>
      </c>
      <c r="F640" t="s">
        <v>14</v>
      </c>
      <c r="G640" t="s">
        <v>31</v>
      </c>
      <c r="H640" s="5">
        <v>575000</v>
      </c>
      <c r="I640">
        <v>0</v>
      </c>
      <c r="J640">
        <v>0</v>
      </c>
    </row>
    <row r="641" spans="1:10" x14ac:dyDescent="0.3">
      <c r="A641" t="s">
        <v>725</v>
      </c>
      <c r="B641" s="3">
        <v>46177</v>
      </c>
      <c r="C641" t="s">
        <v>25</v>
      </c>
      <c r="D641" t="s">
        <v>26</v>
      </c>
      <c r="E641" t="s">
        <v>27</v>
      </c>
      <c r="F641" t="s">
        <v>20</v>
      </c>
      <c r="G641" t="s">
        <v>58</v>
      </c>
      <c r="H641" s="5">
        <v>850000</v>
      </c>
      <c r="I641">
        <v>0</v>
      </c>
      <c r="J641">
        <v>0</v>
      </c>
    </row>
    <row r="642" spans="1:10" x14ac:dyDescent="0.3">
      <c r="A642" t="s">
        <v>726</v>
      </c>
      <c r="B642" s="3">
        <v>46178</v>
      </c>
      <c r="C642" t="s">
        <v>35</v>
      </c>
      <c r="D642" t="s">
        <v>36</v>
      </c>
      <c r="E642" t="s">
        <v>37</v>
      </c>
      <c r="F642" t="s">
        <v>20</v>
      </c>
      <c r="G642" t="s">
        <v>15</v>
      </c>
      <c r="H642" s="5">
        <v>3325000</v>
      </c>
      <c r="I642">
        <v>0</v>
      </c>
      <c r="J642">
        <v>0</v>
      </c>
    </row>
    <row r="643" spans="1:10" x14ac:dyDescent="0.3">
      <c r="A643" t="s">
        <v>727</v>
      </c>
      <c r="B643" s="3">
        <v>46178</v>
      </c>
      <c r="C643" t="s">
        <v>50</v>
      </c>
      <c r="D643" t="s">
        <v>51</v>
      </c>
      <c r="E643" t="s">
        <v>52</v>
      </c>
      <c r="F643" t="s">
        <v>20</v>
      </c>
      <c r="G643" t="s">
        <v>31</v>
      </c>
      <c r="H643" s="5">
        <v>800000</v>
      </c>
      <c r="I643">
        <v>0</v>
      </c>
      <c r="J643">
        <v>0</v>
      </c>
    </row>
    <row r="644" spans="1:10" x14ac:dyDescent="0.3">
      <c r="A644" t="s">
        <v>728</v>
      </c>
      <c r="B644" s="3">
        <v>46178</v>
      </c>
      <c r="C644" t="s">
        <v>64</v>
      </c>
      <c r="D644" t="s">
        <v>65</v>
      </c>
      <c r="E644" t="s">
        <v>37</v>
      </c>
      <c r="F644" t="s">
        <v>20</v>
      </c>
      <c r="G644" t="s">
        <v>28</v>
      </c>
      <c r="H644" s="5">
        <v>380000</v>
      </c>
      <c r="I644">
        <v>300000</v>
      </c>
      <c r="J644">
        <v>80000</v>
      </c>
    </row>
    <row r="645" spans="1:10" x14ac:dyDescent="0.3">
      <c r="A645" t="s">
        <v>729</v>
      </c>
      <c r="B645" s="3">
        <v>46178</v>
      </c>
      <c r="C645" t="s">
        <v>25</v>
      </c>
      <c r="D645" t="s">
        <v>26</v>
      </c>
      <c r="E645" t="s">
        <v>27</v>
      </c>
      <c r="F645" t="s">
        <v>20</v>
      </c>
      <c r="G645" t="s">
        <v>40</v>
      </c>
      <c r="H645" s="5">
        <v>650000</v>
      </c>
      <c r="I645">
        <v>550000</v>
      </c>
      <c r="J645">
        <v>100000</v>
      </c>
    </row>
    <row r="646" spans="1:10" x14ac:dyDescent="0.3">
      <c r="A646" t="s">
        <v>730</v>
      </c>
      <c r="B646" s="3">
        <v>46179</v>
      </c>
      <c r="C646" t="s">
        <v>32</v>
      </c>
      <c r="D646" t="s">
        <v>33</v>
      </c>
      <c r="E646" t="s">
        <v>27</v>
      </c>
      <c r="F646" t="s">
        <v>20</v>
      </c>
      <c r="G646" t="s">
        <v>31</v>
      </c>
      <c r="H646" s="5">
        <v>350000</v>
      </c>
      <c r="I646">
        <v>300000</v>
      </c>
      <c r="J646">
        <v>50000</v>
      </c>
    </row>
    <row r="647" spans="1:10" x14ac:dyDescent="0.3">
      <c r="A647" t="s">
        <v>731</v>
      </c>
      <c r="B647" s="3">
        <v>46179</v>
      </c>
      <c r="C647" t="s">
        <v>50</v>
      </c>
      <c r="D647" t="s">
        <v>51</v>
      </c>
      <c r="E647" t="s">
        <v>52</v>
      </c>
      <c r="F647" t="s">
        <v>20</v>
      </c>
      <c r="G647" t="s">
        <v>31</v>
      </c>
      <c r="H647" s="5">
        <v>1325000</v>
      </c>
      <c r="I647">
        <v>1150000</v>
      </c>
      <c r="J647">
        <v>175000</v>
      </c>
    </row>
    <row r="648" spans="1:10" x14ac:dyDescent="0.3">
      <c r="A648" t="s">
        <v>732</v>
      </c>
      <c r="B648" s="3">
        <v>46179</v>
      </c>
      <c r="C648" t="s">
        <v>59</v>
      </c>
      <c r="D648" t="s">
        <v>60</v>
      </c>
      <c r="E648" t="s">
        <v>19</v>
      </c>
      <c r="F648" t="s">
        <v>20</v>
      </c>
      <c r="G648" t="s">
        <v>28</v>
      </c>
      <c r="H648" s="5">
        <v>230000</v>
      </c>
      <c r="I648">
        <v>200000</v>
      </c>
      <c r="J648">
        <v>30000</v>
      </c>
    </row>
    <row r="649" spans="1:10" x14ac:dyDescent="0.3">
      <c r="A649" t="s">
        <v>733</v>
      </c>
      <c r="B649" s="3">
        <v>46180</v>
      </c>
      <c r="C649" t="s">
        <v>41</v>
      </c>
      <c r="D649" t="s">
        <v>42</v>
      </c>
      <c r="E649" t="s">
        <v>43</v>
      </c>
      <c r="F649" t="s">
        <v>14</v>
      </c>
      <c r="G649" t="s">
        <v>57</v>
      </c>
      <c r="H649" s="5">
        <v>105000</v>
      </c>
      <c r="I649">
        <v>0</v>
      </c>
      <c r="J649">
        <v>0</v>
      </c>
    </row>
    <row r="650" spans="1:10" x14ac:dyDescent="0.3">
      <c r="A650" t="s">
        <v>734</v>
      </c>
      <c r="B650" s="3">
        <v>46180</v>
      </c>
      <c r="C650" t="s">
        <v>38</v>
      </c>
      <c r="D650" t="s">
        <v>39</v>
      </c>
      <c r="E650" t="s">
        <v>24</v>
      </c>
      <c r="F650" t="s">
        <v>14</v>
      </c>
      <c r="G650" t="s">
        <v>58</v>
      </c>
      <c r="H650" s="5">
        <v>1000000</v>
      </c>
      <c r="I650">
        <v>950000</v>
      </c>
      <c r="J650">
        <v>50000</v>
      </c>
    </row>
    <row r="651" spans="1:10" x14ac:dyDescent="0.3">
      <c r="A651" t="s">
        <v>735</v>
      </c>
      <c r="B651" s="3">
        <v>46180</v>
      </c>
      <c r="C651" t="s">
        <v>44</v>
      </c>
      <c r="D651" t="s">
        <v>45</v>
      </c>
      <c r="E651" t="s">
        <v>43</v>
      </c>
      <c r="F651" t="s">
        <v>20</v>
      </c>
      <c r="G651" t="s">
        <v>28</v>
      </c>
      <c r="H651" s="5">
        <v>455000</v>
      </c>
      <c r="I651">
        <v>350000</v>
      </c>
      <c r="J651">
        <v>105000</v>
      </c>
    </row>
    <row r="652" spans="1:10" x14ac:dyDescent="0.3">
      <c r="A652" t="s">
        <v>736</v>
      </c>
      <c r="B652" s="3">
        <v>46180</v>
      </c>
      <c r="C652" t="s">
        <v>50</v>
      </c>
      <c r="D652" t="s">
        <v>51</v>
      </c>
      <c r="E652" t="s">
        <v>52</v>
      </c>
      <c r="F652" t="s">
        <v>20</v>
      </c>
      <c r="G652" t="s">
        <v>15</v>
      </c>
      <c r="H652" s="5">
        <v>2625000</v>
      </c>
      <c r="I652">
        <v>0</v>
      </c>
      <c r="J652">
        <v>0</v>
      </c>
    </row>
    <row r="653" spans="1:10" x14ac:dyDescent="0.3">
      <c r="A653" t="s">
        <v>737</v>
      </c>
      <c r="B653" s="3">
        <v>46181</v>
      </c>
      <c r="C653" t="s">
        <v>29</v>
      </c>
      <c r="D653" t="s">
        <v>30</v>
      </c>
      <c r="E653" t="s">
        <v>13</v>
      </c>
      <c r="F653" t="s">
        <v>20</v>
      </c>
      <c r="G653" t="s">
        <v>31</v>
      </c>
      <c r="H653" s="5">
        <v>1125000</v>
      </c>
      <c r="I653">
        <v>900000</v>
      </c>
      <c r="J653">
        <v>225000</v>
      </c>
    </row>
    <row r="654" spans="1:10" x14ac:dyDescent="0.3">
      <c r="A654" t="s">
        <v>738</v>
      </c>
      <c r="B654" s="3">
        <v>46181</v>
      </c>
      <c r="C654" t="s">
        <v>32</v>
      </c>
      <c r="D654" t="s">
        <v>33</v>
      </c>
      <c r="E654" t="s">
        <v>27</v>
      </c>
      <c r="F654" t="s">
        <v>20</v>
      </c>
      <c r="G654" t="s">
        <v>61</v>
      </c>
      <c r="H654" s="5">
        <v>400000</v>
      </c>
      <c r="I654">
        <v>0</v>
      </c>
      <c r="J654">
        <v>0</v>
      </c>
    </row>
    <row r="655" spans="1:10" x14ac:dyDescent="0.3">
      <c r="A655" t="s">
        <v>739</v>
      </c>
      <c r="B655" s="3">
        <v>46181</v>
      </c>
      <c r="C655" t="s">
        <v>62</v>
      </c>
      <c r="D655" t="s">
        <v>63</v>
      </c>
      <c r="E655" t="s">
        <v>52</v>
      </c>
      <c r="F655" t="s">
        <v>20</v>
      </c>
      <c r="G655" t="s">
        <v>61</v>
      </c>
      <c r="H655" s="5">
        <v>475000</v>
      </c>
      <c r="I655">
        <v>450000</v>
      </c>
      <c r="J655">
        <v>25000</v>
      </c>
    </row>
    <row r="656" spans="1:10" x14ac:dyDescent="0.3">
      <c r="A656" t="s">
        <v>740</v>
      </c>
      <c r="B656" s="3">
        <v>46181</v>
      </c>
      <c r="C656" t="s">
        <v>41</v>
      </c>
      <c r="D656" t="s">
        <v>42</v>
      </c>
      <c r="E656" t="s">
        <v>43</v>
      </c>
      <c r="F656" t="s">
        <v>20</v>
      </c>
      <c r="G656" t="s">
        <v>57</v>
      </c>
      <c r="H656" s="5">
        <v>230000</v>
      </c>
      <c r="I656">
        <v>175000</v>
      </c>
      <c r="J656">
        <v>55000</v>
      </c>
    </row>
    <row r="657" spans="1:10" x14ac:dyDescent="0.3">
      <c r="A657" t="s">
        <v>741</v>
      </c>
      <c r="B657" s="3">
        <v>46181</v>
      </c>
      <c r="C657" t="s">
        <v>35</v>
      </c>
      <c r="D657" t="s">
        <v>36</v>
      </c>
      <c r="E657" t="s">
        <v>37</v>
      </c>
      <c r="F657" t="s">
        <v>20</v>
      </c>
      <c r="G657" t="s">
        <v>57</v>
      </c>
      <c r="H657" s="5">
        <v>380000</v>
      </c>
      <c r="I657">
        <v>0</v>
      </c>
      <c r="J657">
        <v>0</v>
      </c>
    </row>
    <row r="658" spans="1:10" x14ac:dyDescent="0.3">
      <c r="A658" t="s">
        <v>742</v>
      </c>
      <c r="B658" s="3">
        <v>46181</v>
      </c>
      <c r="C658" t="s">
        <v>44</v>
      </c>
      <c r="D658" t="s">
        <v>45</v>
      </c>
      <c r="E658" t="s">
        <v>43</v>
      </c>
      <c r="F658" t="s">
        <v>20</v>
      </c>
      <c r="G658" t="s">
        <v>15</v>
      </c>
      <c r="H658" s="5">
        <v>850000</v>
      </c>
      <c r="I658">
        <v>625000</v>
      </c>
      <c r="J658">
        <v>225000</v>
      </c>
    </row>
    <row r="659" spans="1:10" x14ac:dyDescent="0.3">
      <c r="A659" t="s">
        <v>743</v>
      </c>
      <c r="B659" s="3">
        <v>46181</v>
      </c>
      <c r="C659" t="s">
        <v>50</v>
      </c>
      <c r="D659" t="s">
        <v>51</v>
      </c>
      <c r="E659" t="s">
        <v>52</v>
      </c>
      <c r="F659" t="s">
        <v>20</v>
      </c>
      <c r="G659" t="s">
        <v>40</v>
      </c>
      <c r="H659" s="5">
        <v>450000</v>
      </c>
      <c r="I659">
        <v>350000</v>
      </c>
      <c r="J659">
        <v>100000</v>
      </c>
    </row>
    <row r="660" spans="1:10" x14ac:dyDescent="0.3">
      <c r="A660" t="s">
        <v>744</v>
      </c>
      <c r="B660" s="3">
        <v>46181</v>
      </c>
      <c r="C660" t="s">
        <v>59</v>
      </c>
      <c r="D660" t="s">
        <v>60</v>
      </c>
      <c r="E660" t="s">
        <v>19</v>
      </c>
      <c r="F660" t="s">
        <v>20</v>
      </c>
      <c r="G660" t="s">
        <v>28</v>
      </c>
      <c r="H660" s="5">
        <v>180000</v>
      </c>
      <c r="I660">
        <v>150000</v>
      </c>
      <c r="J660">
        <v>30000</v>
      </c>
    </row>
    <row r="661" spans="1:10" x14ac:dyDescent="0.3">
      <c r="A661" t="s">
        <v>745</v>
      </c>
      <c r="B661" s="3">
        <v>46181</v>
      </c>
      <c r="C661" t="s">
        <v>25</v>
      </c>
      <c r="D661" t="s">
        <v>26</v>
      </c>
      <c r="E661" t="s">
        <v>27</v>
      </c>
      <c r="F661" t="s">
        <v>20</v>
      </c>
      <c r="G661" t="s">
        <v>40</v>
      </c>
      <c r="H661" s="5">
        <v>500000</v>
      </c>
      <c r="I661">
        <v>375000</v>
      </c>
      <c r="J661">
        <v>125000</v>
      </c>
    </row>
    <row r="662" spans="1:10" x14ac:dyDescent="0.3">
      <c r="A662" t="s">
        <v>746</v>
      </c>
      <c r="B662" s="3">
        <v>46181</v>
      </c>
      <c r="C662" t="s">
        <v>25</v>
      </c>
      <c r="D662" t="s">
        <v>26</v>
      </c>
      <c r="E662" t="s">
        <v>27</v>
      </c>
      <c r="F662" t="s">
        <v>14</v>
      </c>
      <c r="G662" t="s">
        <v>31</v>
      </c>
      <c r="H662" s="5">
        <v>1050000</v>
      </c>
      <c r="I662">
        <v>825000</v>
      </c>
      <c r="J662">
        <v>225000</v>
      </c>
    </row>
    <row r="663" spans="1:10" x14ac:dyDescent="0.3">
      <c r="A663" t="s">
        <v>747</v>
      </c>
      <c r="B663" s="3">
        <v>46182</v>
      </c>
      <c r="C663" t="s">
        <v>46</v>
      </c>
      <c r="D663" t="s">
        <v>47</v>
      </c>
      <c r="E663" t="s">
        <v>37</v>
      </c>
      <c r="F663" t="s">
        <v>20</v>
      </c>
      <c r="G663" t="s">
        <v>31</v>
      </c>
      <c r="H663" s="5">
        <v>600000</v>
      </c>
      <c r="I663">
        <v>550000</v>
      </c>
      <c r="J663">
        <v>50000</v>
      </c>
    </row>
    <row r="664" spans="1:10" x14ac:dyDescent="0.3">
      <c r="A664" t="s">
        <v>748</v>
      </c>
      <c r="B664" s="3">
        <v>46182</v>
      </c>
      <c r="C664" t="s">
        <v>32</v>
      </c>
      <c r="D664" t="s">
        <v>33</v>
      </c>
      <c r="E664" t="s">
        <v>27</v>
      </c>
      <c r="F664" t="s">
        <v>20</v>
      </c>
      <c r="G664" t="s">
        <v>40</v>
      </c>
      <c r="H664" s="5">
        <v>875000</v>
      </c>
      <c r="I664">
        <v>850000</v>
      </c>
      <c r="J664">
        <v>25000</v>
      </c>
    </row>
    <row r="665" spans="1:10" x14ac:dyDescent="0.3">
      <c r="A665" t="s">
        <v>749</v>
      </c>
      <c r="B665" s="3">
        <v>46182</v>
      </c>
      <c r="C665" t="s">
        <v>62</v>
      </c>
      <c r="D665" t="s">
        <v>63</v>
      </c>
      <c r="E665" t="s">
        <v>52</v>
      </c>
      <c r="F665" t="s">
        <v>20</v>
      </c>
      <c r="G665" t="s">
        <v>15</v>
      </c>
      <c r="H665" s="5">
        <v>1650000</v>
      </c>
      <c r="I665">
        <v>0</v>
      </c>
      <c r="J665">
        <v>0</v>
      </c>
    </row>
    <row r="666" spans="1:10" x14ac:dyDescent="0.3">
      <c r="A666" t="s">
        <v>750</v>
      </c>
      <c r="B666" s="3">
        <v>46182</v>
      </c>
      <c r="C666" t="s">
        <v>64</v>
      </c>
      <c r="D666" t="s">
        <v>65</v>
      </c>
      <c r="E666" t="s">
        <v>37</v>
      </c>
      <c r="F666" t="s">
        <v>20</v>
      </c>
      <c r="G666" t="s">
        <v>57</v>
      </c>
      <c r="H666" s="5">
        <v>180000</v>
      </c>
      <c r="I666">
        <v>150000</v>
      </c>
      <c r="J666">
        <v>30000</v>
      </c>
    </row>
    <row r="667" spans="1:10" x14ac:dyDescent="0.3">
      <c r="A667" t="s">
        <v>751</v>
      </c>
      <c r="B667" s="3">
        <v>46183</v>
      </c>
      <c r="C667" t="s">
        <v>46</v>
      </c>
      <c r="D667" t="s">
        <v>47</v>
      </c>
      <c r="E667" t="s">
        <v>37</v>
      </c>
      <c r="F667" t="s">
        <v>14</v>
      </c>
      <c r="G667" t="s">
        <v>28</v>
      </c>
      <c r="H667" s="5">
        <v>405000</v>
      </c>
      <c r="I667">
        <v>375000</v>
      </c>
      <c r="J667">
        <v>30000</v>
      </c>
    </row>
    <row r="668" spans="1:10" x14ac:dyDescent="0.3">
      <c r="A668" t="s">
        <v>752</v>
      </c>
      <c r="B668" s="3">
        <v>46183</v>
      </c>
      <c r="C668" t="s">
        <v>48</v>
      </c>
      <c r="D668" t="s">
        <v>49</v>
      </c>
      <c r="E668" t="s">
        <v>19</v>
      </c>
      <c r="F668" t="s">
        <v>20</v>
      </c>
      <c r="G668" t="s">
        <v>61</v>
      </c>
      <c r="H668" s="5">
        <v>500000</v>
      </c>
      <c r="I668">
        <v>450000</v>
      </c>
      <c r="J668">
        <v>50000</v>
      </c>
    </row>
    <row r="669" spans="1:10" x14ac:dyDescent="0.3">
      <c r="A669" t="s">
        <v>753</v>
      </c>
      <c r="B669" s="3">
        <v>46183</v>
      </c>
      <c r="C669" t="s">
        <v>68</v>
      </c>
      <c r="D669" t="s">
        <v>69</v>
      </c>
      <c r="E669" t="s">
        <v>27</v>
      </c>
      <c r="F669" t="s">
        <v>14</v>
      </c>
      <c r="G669" t="s">
        <v>34</v>
      </c>
      <c r="H669" s="5">
        <v>275000</v>
      </c>
      <c r="I669">
        <v>225000</v>
      </c>
      <c r="J669">
        <v>50000</v>
      </c>
    </row>
    <row r="670" spans="1:10" x14ac:dyDescent="0.3">
      <c r="A670" t="s">
        <v>754</v>
      </c>
      <c r="B670" s="3">
        <v>46183</v>
      </c>
      <c r="C670" t="s">
        <v>68</v>
      </c>
      <c r="D670" t="s">
        <v>69</v>
      </c>
      <c r="E670" t="s">
        <v>27</v>
      </c>
      <c r="F670" t="s">
        <v>20</v>
      </c>
      <c r="G670" t="s">
        <v>34</v>
      </c>
      <c r="H670" s="5">
        <v>300000</v>
      </c>
      <c r="I670">
        <v>0</v>
      </c>
      <c r="J670">
        <v>0</v>
      </c>
    </row>
    <row r="671" spans="1:10" x14ac:dyDescent="0.3">
      <c r="A671" t="s">
        <v>755</v>
      </c>
      <c r="B671" s="3">
        <v>46183</v>
      </c>
      <c r="C671" t="s">
        <v>44</v>
      </c>
      <c r="D671" t="s">
        <v>45</v>
      </c>
      <c r="E671" t="s">
        <v>43</v>
      </c>
      <c r="F671" t="s">
        <v>20</v>
      </c>
      <c r="G671" t="s">
        <v>57</v>
      </c>
      <c r="H671" s="5">
        <v>55000</v>
      </c>
      <c r="I671">
        <v>50000</v>
      </c>
      <c r="J671">
        <v>5000</v>
      </c>
    </row>
    <row r="672" spans="1:10" x14ac:dyDescent="0.3">
      <c r="A672" t="s">
        <v>756</v>
      </c>
      <c r="B672" s="3">
        <v>46183</v>
      </c>
      <c r="C672" t="s">
        <v>64</v>
      </c>
      <c r="D672" t="s">
        <v>65</v>
      </c>
      <c r="E672" t="s">
        <v>37</v>
      </c>
      <c r="F672" t="s">
        <v>14</v>
      </c>
      <c r="G672" t="s">
        <v>40</v>
      </c>
      <c r="H672" s="5">
        <v>425000</v>
      </c>
      <c r="I672">
        <v>325000</v>
      </c>
      <c r="J672">
        <v>100000</v>
      </c>
    </row>
    <row r="673" spans="1:10" x14ac:dyDescent="0.3">
      <c r="A673" t="s">
        <v>757</v>
      </c>
      <c r="B673" s="3">
        <v>46183</v>
      </c>
      <c r="C673" t="s">
        <v>66</v>
      </c>
      <c r="D673" t="s">
        <v>67</v>
      </c>
      <c r="E673" t="s">
        <v>13</v>
      </c>
      <c r="F673" t="s">
        <v>20</v>
      </c>
      <c r="G673" t="s">
        <v>28</v>
      </c>
      <c r="H673" s="5">
        <v>30000</v>
      </c>
      <c r="I673">
        <v>0</v>
      </c>
      <c r="J673">
        <v>0</v>
      </c>
    </row>
    <row r="674" spans="1:10" x14ac:dyDescent="0.3">
      <c r="A674" t="s">
        <v>758</v>
      </c>
      <c r="B674" s="3">
        <v>46183</v>
      </c>
      <c r="C674" t="s">
        <v>22</v>
      </c>
      <c r="D674" t="s">
        <v>23</v>
      </c>
      <c r="E674" t="s">
        <v>24</v>
      </c>
      <c r="F674" t="s">
        <v>14</v>
      </c>
      <c r="G674" t="s">
        <v>40</v>
      </c>
      <c r="H674" s="5">
        <v>225000</v>
      </c>
      <c r="I674">
        <v>200000</v>
      </c>
      <c r="J674">
        <v>25000</v>
      </c>
    </row>
    <row r="675" spans="1:10" x14ac:dyDescent="0.3">
      <c r="A675" t="s">
        <v>759</v>
      </c>
      <c r="B675" s="3">
        <v>46184</v>
      </c>
      <c r="C675" t="s">
        <v>62</v>
      </c>
      <c r="D675" t="s">
        <v>63</v>
      </c>
      <c r="E675" t="s">
        <v>52</v>
      </c>
      <c r="F675" t="s">
        <v>20</v>
      </c>
      <c r="G675" t="s">
        <v>57</v>
      </c>
      <c r="H675" s="5">
        <v>55000</v>
      </c>
      <c r="I675">
        <v>0</v>
      </c>
      <c r="J675">
        <v>0</v>
      </c>
    </row>
    <row r="676" spans="1:10" x14ac:dyDescent="0.3">
      <c r="A676" t="s">
        <v>760</v>
      </c>
      <c r="B676" s="3">
        <v>46184</v>
      </c>
      <c r="C676" t="s">
        <v>44</v>
      </c>
      <c r="D676" t="s">
        <v>45</v>
      </c>
      <c r="E676" t="s">
        <v>43</v>
      </c>
      <c r="F676" t="s">
        <v>20</v>
      </c>
      <c r="G676" t="s">
        <v>40</v>
      </c>
      <c r="H676" s="5">
        <v>175000</v>
      </c>
      <c r="I676">
        <v>150000</v>
      </c>
      <c r="J676">
        <v>25000</v>
      </c>
    </row>
    <row r="677" spans="1:10" x14ac:dyDescent="0.3">
      <c r="A677" t="s">
        <v>761</v>
      </c>
      <c r="B677" s="3">
        <v>46185</v>
      </c>
      <c r="C677" t="s">
        <v>53</v>
      </c>
      <c r="D677" t="s">
        <v>54</v>
      </c>
      <c r="E677" t="s">
        <v>43</v>
      </c>
      <c r="F677" t="s">
        <v>20</v>
      </c>
      <c r="G677" t="s">
        <v>61</v>
      </c>
      <c r="H677" s="5">
        <v>150000</v>
      </c>
      <c r="I677">
        <v>150000</v>
      </c>
      <c r="J677">
        <v>0</v>
      </c>
    </row>
    <row r="678" spans="1:10" x14ac:dyDescent="0.3">
      <c r="A678" t="s">
        <v>762</v>
      </c>
      <c r="B678" s="3">
        <v>46186</v>
      </c>
      <c r="C678" t="s">
        <v>46</v>
      </c>
      <c r="D678" t="s">
        <v>47</v>
      </c>
      <c r="E678" t="s">
        <v>37</v>
      </c>
      <c r="F678" t="s">
        <v>20</v>
      </c>
      <c r="G678" t="s">
        <v>61</v>
      </c>
      <c r="H678" s="5">
        <v>75000</v>
      </c>
      <c r="I678">
        <v>50000</v>
      </c>
      <c r="J678">
        <v>25000</v>
      </c>
    </row>
    <row r="679" spans="1:10" x14ac:dyDescent="0.3">
      <c r="A679" t="s">
        <v>763</v>
      </c>
      <c r="B679" s="3">
        <v>46186</v>
      </c>
      <c r="C679" t="s">
        <v>44</v>
      </c>
      <c r="D679" t="s">
        <v>45</v>
      </c>
      <c r="E679" t="s">
        <v>43</v>
      </c>
      <c r="F679" t="s">
        <v>20</v>
      </c>
      <c r="G679" t="s">
        <v>57</v>
      </c>
      <c r="H679" s="5">
        <v>130000</v>
      </c>
      <c r="I679">
        <v>0</v>
      </c>
      <c r="J679">
        <v>0</v>
      </c>
    </row>
    <row r="680" spans="1:10" x14ac:dyDescent="0.3">
      <c r="A680" t="s">
        <v>764</v>
      </c>
      <c r="B680" s="3">
        <v>46186</v>
      </c>
      <c r="C680" t="s">
        <v>53</v>
      </c>
      <c r="D680" t="s">
        <v>54</v>
      </c>
      <c r="E680" t="s">
        <v>43</v>
      </c>
      <c r="F680" t="s">
        <v>20</v>
      </c>
      <c r="G680" t="s">
        <v>15</v>
      </c>
      <c r="H680" s="5">
        <v>3975000</v>
      </c>
      <c r="I680">
        <v>3500000</v>
      </c>
      <c r="J680">
        <v>475000</v>
      </c>
    </row>
    <row r="681" spans="1:10" x14ac:dyDescent="0.3">
      <c r="A681" t="s">
        <v>765</v>
      </c>
      <c r="B681" s="3">
        <v>46186</v>
      </c>
      <c r="C681" t="s">
        <v>25</v>
      </c>
      <c r="D681" t="s">
        <v>26</v>
      </c>
      <c r="E681" t="s">
        <v>27</v>
      </c>
      <c r="F681" t="s">
        <v>20</v>
      </c>
      <c r="G681" t="s">
        <v>58</v>
      </c>
      <c r="H681" s="5">
        <v>750000</v>
      </c>
      <c r="I681">
        <v>750000</v>
      </c>
      <c r="J681">
        <v>0</v>
      </c>
    </row>
    <row r="682" spans="1:10" x14ac:dyDescent="0.3">
      <c r="A682" t="s">
        <v>766</v>
      </c>
      <c r="B682" s="3">
        <v>46187</v>
      </c>
      <c r="C682" t="s">
        <v>32</v>
      </c>
      <c r="D682" t="s">
        <v>33</v>
      </c>
      <c r="E682" t="s">
        <v>27</v>
      </c>
      <c r="F682" t="s">
        <v>20</v>
      </c>
      <c r="G682" t="s">
        <v>15</v>
      </c>
      <c r="H682" s="5">
        <v>3225000</v>
      </c>
      <c r="I682">
        <v>2950000</v>
      </c>
      <c r="J682">
        <v>275000</v>
      </c>
    </row>
    <row r="683" spans="1:10" x14ac:dyDescent="0.3">
      <c r="A683" t="s">
        <v>767</v>
      </c>
      <c r="B683" s="3">
        <v>46187</v>
      </c>
      <c r="C683" t="s">
        <v>50</v>
      </c>
      <c r="D683" t="s">
        <v>51</v>
      </c>
      <c r="E683" t="s">
        <v>52</v>
      </c>
      <c r="F683" t="s">
        <v>20</v>
      </c>
      <c r="G683" t="s">
        <v>57</v>
      </c>
      <c r="H683" s="5">
        <v>80000</v>
      </c>
      <c r="I683">
        <v>0</v>
      </c>
      <c r="J683">
        <v>0</v>
      </c>
    </row>
    <row r="684" spans="1:10" x14ac:dyDescent="0.3">
      <c r="A684" t="s">
        <v>768</v>
      </c>
      <c r="B684" s="3">
        <v>46187</v>
      </c>
      <c r="C684" t="s">
        <v>53</v>
      </c>
      <c r="D684" t="s">
        <v>54</v>
      </c>
      <c r="E684" t="s">
        <v>43</v>
      </c>
      <c r="F684" t="s">
        <v>14</v>
      </c>
      <c r="G684" t="s">
        <v>61</v>
      </c>
      <c r="H684" s="5">
        <v>525000</v>
      </c>
      <c r="I684">
        <v>425000</v>
      </c>
      <c r="J684">
        <v>100000</v>
      </c>
    </row>
    <row r="685" spans="1:10" x14ac:dyDescent="0.3">
      <c r="A685" t="s">
        <v>769</v>
      </c>
      <c r="B685" s="3">
        <v>46187</v>
      </c>
      <c r="C685" t="s">
        <v>22</v>
      </c>
      <c r="D685" t="s">
        <v>23</v>
      </c>
      <c r="E685" t="s">
        <v>24</v>
      </c>
      <c r="F685" t="s">
        <v>20</v>
      </c>
      <c r="G685" t="s">
        <v>28</v>
      </c>
      <c r="H685" s="5">
        <v>355000</v>
      </c>
      <c r="I685">
        <v>0</v>
      </c>
      <c r="J685">
        <v>0</v>
      </c>
    </row>
    <row r="686" spans="1:10" x14ac:dyDescent="0.3">
      <c r="A686" t="s">
        <v>770</v>
      </c>
      <c r="B686" s="3">
        <v>46188</v>
      </c>
      <c r="C686" t="s">
        <v>48</v>
      </c>
      <c r="D686" t="s">
        <v>49</v>
      </c>
      <c r="E686" t="s">
        <v>19</v>
      </c>
      <c r="F686" t="s">
        <v>20</v>
      </c>
      <c r="G686" t="s">
        <v>28</v>
      </c>
      <c r="H686" s="5">
        <v>80000</v>
      </c>
      <c r="I686">
        <v>75000</v>
      </c>
      <c r="J686">
        <v>5000</v>
      </c>
    </row>
    <row r="687" spans="1:10" x14ac:dyDescent="0.3">
      <c r="A687" t="s">
        <v>771</v>
      </c>
      <c r="B687" s="3">
        <v>46188</v>
      </c>
      <c r="C687" t="s">
        <v>48</v>
      </c>
      <c r="D687" t="s">
        <v>49</v>
      </c>
      <c r="E687" t="s">
        <v>19</v>
      </c>
      <c r="F687" t="s">
        <v>20</v>
      </c>
      <c r="G687" t="s">
        <v>57</v>
      </c>
      <c r="H687" s="5">
        <v>355000</v>
      </c>
      <c r="I687">
        <v>325000</v>
      </c>
      <c r="J687">
        <v>30000</v>
      </c>
    </row>
    <row r="688" spans="1:10" x14ac:dyDescent="0.3">
      <c r="A688" t="s">
        <v>772</v>
      </c>
      <c r="B688" s="3">
        <v>46188</v>
      </c>
      <c r="C688" t="s">
        <v>68</v>
      </c>
      <c r="D688" t="s">
        <v>69</v>
      </c>
      <c r="E688" t="s">
        <v>27</v>
      </c>
      <c r="F688" t="s">
        <v>14</v>
      </c>
      <c r="G688" t="s">
        <v>57</v>
      </c>
      <c r="H688" s="5">
        <v>430000</v>
      </c>
      <c r="I688">
        <v>0</v>
      </c>
      <c r="J688">
        <v>0</v>
      </c>
    </row>
    <row r="689" spans="1:10" x14ac:dyDescent="0.3">
      <c r="A689" t="s">
        <v>773</v>
      </c>
      <c r="B689" s="3">
        <v>46188</v>
      </c>
      <c r="C689" t="s">
        <v>50</v>
      </c>
      <c r="D689" t="s">
        <v>51</v>
      </c>
      <c r="E689" t="s">
        <v>52</v>
      </c>
      <c r="F689" t="s">
        <v>14</v>
      </c>
      <c r="G689" t="s">
        <v>34</v>
      </c>
      <c r="H689" s="5">
        <v>450000</v>
      </c>
      <c r="I689">
        <v>400000</v>
      </c>
      <c r="J689">
        <v>50000</v>
      </c>
    </row>
    <row r="690" spans="1:10" x14ac:dyDescent="0.3">
      <c r="A690" t="s">
        <v>774</v>
      </c>
      <c r="B690" s="3">
        <v>46188</v>
      </c>
      <c r="C690" t="s">
        <v>22</v>
      </c>
      <c r="D690" t="s">
        <v>23</v>
      </c>
      <c r="E690" t="s">
        <v>24</v>
      </c>
      <c r="F690" t="s">
        <v>14</v>
      </c>
      <c r="G690" t="s">
        <v>57</v>
      </c>
      <c r="H690" s="5">
        <v>30000</v>
      </c>
      <c r="I690">
        <v>25000</v>
      </c>
      <c r="J690">
        <v>5000</v>
      </c>
    </row>
    <row r="691" spans="1:10" x14ac:dyDescent="0.3">
      <c r="A691" t="s">
        <v>775</v>
      </c>
      <c r="B691" s="3">
        <v>46188</v>
      </c>
      <c r="C691" t="s">
        <v>59</v>
      </c>
      <c r="D691" t="s">
        <v>60</v>
      </c>
      <c r="E691" t="s">
        <v>19</v>
      </c>
      <c r="F691" t="s">
        <v>20</v>
      </c>
      <c r="G691" t="s">
        <v>57</v>
      </c>
      <c r="H691" s="5">
        <v>430000</v>
      </c>
      <c r="I691">
        <v>375000</v>
      </c>
      <c r="J691">
        <v>55000</v>
      </c>
    </row>
    <row r="692" spans="1:10" x14ac:dyDescent="0.3">
      <c r="A692" t="s">
        <v>776</v>
      </c>
      <c r="B692" s="3">
        <v>46189</v>
      </c>
      <c r="C692" t="s">
        <v>35</v>
      </c>
      <c r="D692" t="s">
        <v>36</v>
      </c>
      <c r="E692" t="s">
        <v>37</v>
      </c>
      <c r="F692" t="s">
        <v>14</v>
      </c>
      <c r="G692" t="s">
        <v>15</v>
      </c>
      <c r="H692" s="5">
        <v>650000</v>
      </c>
      <c r="I692">
        <v>625000</v>
      </c>
      <c r="J692">
        <v>25000</v>
      </c>
    </row>
    <row r="693" spans="1:10" x14ac:dyDescent="0.3">
      <c r="A693" t="s">
        <v>777</v>
      </c>
      <c r="B693" s="3">
        <v>46189</v>
      </c>
      <c r="C693" t="s">
        <v>38</v>
      </c>
      <c r="D693" t="s">
        <v>39</v>
      </c>
      <c r="E693" t="s">
        <v>24</v>
      </c>
      <c r="F693" t="s">
        <v>14</v>
      </c>
      <c r="G693" t="s">
        <v>40</v>
      </c>
      <c r="H693" s="5">
        <v>675000</v>
      </c>
      <c r="I693">
        <v>600000</v>
      </c>
      <c r="J693">
        <v>75000</v>
      </c>
    </row>
    <row r="694" spans="1:10" x14ac:dyDescent="0.3">
      <c r="A694" t="s">
        <v>778</v>
      </c>
      <c r="B694" s="3">
        <v>46190</v>
      </c>
      <c r="C694" t="s">
        <v>55</v>
      </c>
      <c r="D694" t="s">
        <v>56</v>
      </c>
      <c r="E694" t="s">
        <v>24</v>
      </c>
      <c r="F694" t="s">
        <v>20</v>
      </c>
      <c r="G694" t="s">
        <v>31</v>
      </c>
      <c r="H694" s="5">
        <v>1300000</v>
      </c>
      <c r="I694">
        <v>1200000</v>
      </c>
      <c r="J694">
        <v>100000</v>
      </c>
    </row>
    <row r="695" spans="1:10" x14ac:dyDescent="0.3">
      <c r="A695" t="s">
        <v>779</v>
      </c>
      <c r="B695" s="3">
        <v>46190</v>
      </c>
      <c r="C695" t="s">
        <v>50</v>
      </c>
      <c r="D695" t="s">
        <v>51</v>
      </c>
      <c r="E695" t="s">
        <v>52</v>
      </c>
      <c r="F695" t="s">
        <v>20</v>
      </c>
      <c r="G695" t="s">
        <v>28</v>
      </c>
      <c r="H695" s="5">
        <v>105000</v>
      </c>
      <c r="I695">
        <v>0</v>
      </c>
      <c r="J695">
        <v>0</v>
      </c>
    </row>
    <row r="696" spans="1:10" x14ac:dyDescent="0.3">
      <c r="A696" t="s">
        <v>780</v>
      </c>
      <c r="B696" s="3">
        <v>46190</v>
      </c>
      <c r="C696" t="s">
        <v>53</v>
      </c>
      <c r="D696" t="s">
        <v>54</v>
      </c>
      <c r="E696" t="s">
        <v>43</v>
      </c>
      <c r="F696" t="s">
        <v>14</v>
      </c>
      <c r="G696" t="s">
        <v>15</v>
      </c>
      <c r="H696" s="5">
        <v>1650000</v>
      </c>
      <c r="I696">
        <v>1650000</v>
      </c>
      <c r="J696">
        <v>0</v>
      </c>
    </row>
    <row r="697" spans="1:10" x14ac:dyDescent="0.3">
      <c r="A697" t="s">
        <v>781</v>
      </c>
      <c r="B697" s="3">
        <v>46190</v>
      </c>
      <c r="C697" t="s">
        <v>59</v>
      </c>
      <c r="D697" t="s">
        <v>60</v>
      </c>
      <c r="E697" t="s">
        <v>19</v>
      </c>
      <c r="F697" t="s">
        <v>20</v>
      </c>
      <c r="G697" t="s">
        <v>31</v>
      </c>
      <c r="H697" s="5">
        <v>350000</v>
      </c>
      <c r="I697">
        <v>0</v>
      </c>
      <c r="J697">
        <v>0</v>
      </c>
    </row>
    <row r="698" spans="1:10" x14ac:dyDescent="0.3">
      <c r="A698" t="s">
        <v>782</v>
      </c>
      <c r="B698" s="3">
        <v>46191</v>
      </c>
      <c r="C698" t="s">
        <v>32</v>
      </c>
      <c r="D698" t="s">
        <v>33</v>
      </c>
      <c r="E698" t="s">
        <v>27</v>
      </c>
      <c r="F698" t="s">
        <v>20</v>
      </c>
      <c r="G698" t="s">
        <v>40</v>
      </c>
      <c r="H698" s="5">
        <v>200000</v>
      </c>
      <c r="I698">
        <v>175000</v>
      </c>
      <c r="J698">
        <v>25000</v>
      </c>
    </row>
    <row r="699" spans="1:10" x14ac:dyDescent="0.3">
      <c r="A699" t="s">
        <v>783</v>
      </c>
      <c r="B699" s="3">
        <v>46191</v>
      </c>
      <c r="C699" t="s">
        <v>35</v>
      </c>
      <c r="D699" t="s">
        <v>36</v>
      </c>
      <c r="E699" t="s">
        <v>37</v>
      </c>
      <c r="F699" t="s">
        <v>20</v>
      </c>
      <c r="G699" t="s">
        <v>57</v>
      </c>
      <c r="H699" s="5">
        <v>205000</v>
      </c>
      <c r="I699">
        <v>200000</v>
      </c>
      <c r="J699">
        <v>5000</v>
      </c>
    </row>
    <row r="700" spans="1:10" x14ac:dyDescent="0.3">
      <c r="A700" t="s">
        <v>784</v>
      </c>
      <c r="B700" s="3">
        <v>46191</v>
      </c>
      <c r="C700" t="s">
        <v>38</v>
      </c>
      <c r="D700" t="s">
        <v>39</v>
      </c>
      <c r="E700" t="s">
        <v>24</v>
      </c>
      <c r="F700" t="s">
        <v>20</v>
      </c>
      <c r="G700" t="s">
        <v>61</v>
      </c>
      <c r="H700" s="5">
        <v>150000</v>
      </c>
      <c r="I700">
        <v>0</v>
      </c>
      <c r="J700">
        <v>0</v>
      </c>
    </row>
    <row r="701" spans="1:10" x14ac:dyDescent="0.3">
      <c r="A701" t="s">
        <v>785</v>
      </c>
      <c r="B701" s="3">
        <v>46191</v>
      </c>
      <c r="C701" t="s">
        <v>50</v>
      </c>
      <c r="D701" t="s">
        <v>51</v>
      </c>
      <c r="E701" t="s">
        <v>52</v>
      </c>
      <c r="F701" t="s">
        <v>14</v>
      </c>
      <c r="G701" t="s">
        <v>57</v>
      </c>
      <c r="H701" s="5">
        <v>355000</v>
      </c>
      <c r="I701">
        <v>350000</v>
      </c>
      <c r="J701">
        <v>5000</v>
      </c>
    </row>
    <row r="702" spans="1:10" x14ac:dyDescent="0.3">
      <c r="A702" t="s">
        <v>786</v>
      </c>
      <c r="B702" s="3">
        <v>46191</v>
      </c>
      <c r="C702" t="s">
        <v>25</v>
      </c>
      <c r="D702" t="s">
        <v>26</v>
      </c>
      <c r="E702" t="s">
        <v>27</v>
      </c>
      <c r="F702" t="s">
        <v>14</v>
      </c>
      <c r="G702" t="s">
        <v>15</v>
      </c>
      <c r="H702" s="5">
        <v>1575000</v>
      </c>
      <c r="I702">
        <v>1575000</v>
      </c>
      <c r="J702">
        <v>0</v>
      </c>
    </row>
    <row r="703" spans="1:10" x14ac:dyDescent="0.3">
      <c r="A703" t="s">
        <v>787</v>
      </c>
      <c r="B703" s="3">
        <v>46192</v>
      </c>
      <c r="C703" t="s">
        <v>50</v>
      </c>
      <c r="D703" t="s">
        <v>51</v>
      </c>
      <c r="E703" t="s">
        <v>52</v>
      </c>
      <c r="F703" t="s">
        <v>20</v>
      </c>
      <c r="G703" t="s">
        <v>58</v>
      </c>
      <c r="H703" s="5">
        <v>550000</v>
      </c>
      <c r="I703">
        <v>425000</v>
      </c>
      <c r="J703">
        <v>125000</v>
      </c>
    </row>
    <row r="704" spans="1:10" x14ac:dyDescent="0.3">
      <c r="A704" t="s">
        <v>788</v>
      </c>
      <c r="B704" s="3">
        <v>46192</v>
      </c>
      <c r="C704" t="s">
        <v>59</v>
      </c>
      <c r="D704" t="s">
        <v>60</v>
      </c>
      <c r="E704" t="s">
        <v>19</v>
      </c>
      <c r="F704" t="s">
        <v>14</v>
      </c>
      <c r="G704" t="s">
        <v>58</v>
      </c>
      <c r="H704" s="5">
        <v>175000</v>
      </c>
      <c r="I704">
        <v>175000</v>
      </c>
      <c r="J704">
        <v>0</v>
      </c>
    </row>
    <row r="705" spans="1:10" x14ac:dyDescent="0.3">
      <c r="A705" t="s">
        <v>789</v>
      </c>
      <c r="B705" s="3">
        <v>46192</v>
      </c>
      <c r="C705" t="s">
        <v>25</v>
      </c>
      <c r="D705" t="s">
        <v>26</v>
      </c>
      <c r="E705" t="s">
        <v>27</v>
      </c>
      <c r="F705" t="s">
        <v>14</v>
      </c>
      <c r="G705" t="s">
        <v>28</v>
      </c>
      <c r="H705" s="5">
        <v>480000</v>
      </c>
      <c r="I705">
        <v>0</v>
      </c>
      <c r="J705">
        <v>0</v>
      </c>
    </row>
    <row r="706" spans="1:10" x14ac:dyDescent="0.3">
      <c r="A706" t="s">
        <v>790</v>
      </c>
      <c r="B706" s="3">
        <v>46193</v>
      </c>
      <c r="C706" t="s">
        <v>55</v>
      </c>
      <c r="D706" t="s">
        <v>56</v>
      </c>
      <c r="E706" t="s">
        <v>24</v>
      </c>
      <c r="F706" t="s">
        <v>20</v>
      </c>
      <c r="G706" t="s">
        <v>28</v>
      </c>
      <c r="H706" s="5">
        <v>30000</v>
      </c>
      <c r="I706">
        <v>0</v>
      </c>
      <c r="J706">
        <v>0</v>
      </c>
    </row>
    <row r="707" spans="1:10" x14ac:dyDescent="0.3">
      <c r="A707" t="s">
        <v>791</v>
      </c>
      <c r="B707" s="3">
        <v>46193</v>
      </c>
      <c r="C707" t="s">
        <v>11</v>
      </c>
      <c r="D707" t="s">
        <v>12</v>
      </c>
      <c r="E707" t="s">
        <v>13</v>
      </c>
      <c r="F707" t="s">
        <v>14</v>
      </c>
      <c r="G707" t="s">
        <v>34</v>
      </c>
      <c r="H707" s="5">
        <v>200000</v>
      </c>
      <c r="I707">
        <v>150000</v>
      </c>
      <c r="J707">
        <v>50000</v>
      </c>
    </row>
    <row r="708" spans="1:10" x14ac:dyDescent="0.3">
      <c r="A708" t="s">
        <v>792</v>
      </c>
      <c r="B708" s="3">
        <v>46193</v>
      </c>
      <c r="C708" t="s">
        <v>22</v>
      </c>
      <c r="D708" t="s">
        <v>23</v>
      </c>
      <c r="E708" t="s">
        <v>24</v>
      </c>
      <c r="F708" t="s">
        <v>20</v>
      </c>
      <c r="G708" t="s">
        <v>28</v>
      </c>
      <c r="H708" s="5">
        <v>180000</v>
      </c>
      <c r="I708">
        <v>0</v>
      </c>
      <c r="J708">
        <v>0</v>
      </c>
    </row>
    <row r="709" spans="1:10" x14ac:dyDescent="0.3">
      <c r="A709" t="s">
        <v>793</v>
      </c>
      <c r="B709" s="3">
        <v>46194</v>
      </c>
      <c r="C709" t="s">
        <v>29</v>
      </c>
      <c r="D709" t="s">
        <v>30</v>
      </c>
      <c r="E709" t="s">
        <v>13</v>
      </c>
      <c r="F709" t="s">
        <v>14</v>
      </c>
      <c r="G709" t="s">
        <v>15</v>
      </c>
      <c r="H709" s="5">
        <v>1500000</v>
      </c>
      <c r="I709">
        <v>1250000</v>
      </c>
      <c r="J709">
        <v>250000</v>
      </c>
    </row>
    <row r="710" spans="1:10" x14ac:dyDescent="0.3">
      <c r="A710" t="s">
        <v>794</v>
      </c>
      <c r="B710" s="3">
        <v>46194</v>
      </c>
      <c r="C710" t="s">
        <v>38</v>
      </c>
      <c r="D710" t="s">
        <v>39</v>
      </c>
      <c r="E710" t="s">
        <v>24</v>
      </c>
      <c r="F710" t="s">
        <v>20</v>
      </c>
      <c r="G710" t="s">
        <v>28</v>
      </c>
      <c r="H710" s="5">
        <v>105000</v>
      </c>
      <c r="I710">
        <v>75000</v>
      </c>
      <c r="J710">
        <v>30000</v>
      </c>
    </row>
    <row r="711" spans="1:10" x14ac:dyDescent="0.3">
      <c r="A711" t="s">
        <v>795</v>
      </c>
      <c r="B711" s="3">
        <v>46194</v>
      </c>
      <c r="C711" t="s">
        <v>44</v>
      </c>
      <c r="D711" t="s">
        <v>45</v>
      </c>
      <c r="E711" t="s">
        <v>43</v>
      </c>
      <c r="F711" t="s">
        <v>20</v>
      </c>
      <c r="G711" t="s">
        <v>28</v>
      </c>
      <c r="H711" s="5">
        <v>55000</v>
      </c>
      <c r="I711">
        <v>50000</v>
      </c>
      <c r="J711">
        <v>5000</v>
      </c>
    </row>
    <row r="712" spans="1:10" x14ac:dyDescent="0.3">
      <c r="A712" t="s">
        <v>796</v>
      </c>
      <c r="B712" s="3">
        <v>46194</v>
      </c>
      <c r="C712" t="s">
        <v>64</v>
      </c>
      <c r="D712" t="s">
        <v>65</v>
      </c>
      <c r="E712" t="s">
        <v>37</v>
      </c>
      <c r="F712" t="s">
        <v>20</v>
      </c>
      <c r="G712" t="s">
        <v>58</v>
      </c>
      <c r="H712" s="5">
        <v>850000</v>
      </c>
      <c r="I712">
        <v>750000</v>
      </c>
      <c r="J712">
        <v>100000</v>
      </c>
    </row>
    <row r="713" spans="1:10" x14ac:dyDescent="0.3">
      <c r="A713" t="s">
        <v>797</v>
      </c>
      <c r="B713" s="3">
        <v>46194</v>
      </c>
      <c r="C713" t="s">
        <v>59</v>
      </c>
      <c r="D713" t="s">
        <v>60</v>
      </c>
      <c r="E713" t="s">
        <v>19</v>
      </c>
      <c r="F713" t="s">
        <v>14</v>
      </c>
      <c r="G713" t="s">
        <v>57</v>
      </c>
      <c r="H713" s="5">
        <v>280000</v>
      </c>
      <c r="I713">
        <v>0</v>
      </c>
      <c r="J713">
        <v>0</v>
      </c>
    </row>
    <row r="714" spans="1:10" x14ac:dyDescent="0.3">
      <c r="A714" t="s">
        <v>798</v>
      </c>
      <c r="B714" s="3">
        <v>46195</v>
      </c>
      <c r="C714" t="s">
        <v>29</v>
      </c>
      <c r="D714" t="s">
        <v>30</v>
      </c>
      <c r="E714" t="s">
        <v>13</v>
      </c>
      <c r="F714" t="s">
        <v>14</v>
      </c>
      <c r="G714" t="s">
        <v>15</v>
      </c>
      <c r="H714" s="5">
        <v>1525000</v>
      </c>
      <c r="I714">
        <v>1525000</v>
      </c>
      <c r="J714">
        <v>0</v>
      </c>
    </row>
    <row r="715" spans="1:10" x14ac:dyDescent="0.3">
      <c r="A715" t="s">
        <v>799</v>
      </c>
      <c r="B715" s="3">
        <v>46195</v>
      </c>
      <c r="C715" t="s">
        <v>68</v>
      </c>
      <c r="D715" t="s">
        <v>69</v>
      </c>
      <c r="E715" t="s">
        <v>27</v>
      </c>
      <c r="F715" t="s">
        <v>20</v>
      </c>
      <c r="G715" t="s">
        <v>61</v>
      </c>
      <c r="H715" s="5">
        <v>625000</v>
      </c>
      <c r="I715">
        <v>475000</v>
      </c>
      <c r="J715">
        <v>150000</v>
      </c>
    </row>
    <row r="716" spans="1:10" x14ac:dyDescent="0.3">
      <c r="A716" t="s">
        <v>800</v>
      </c>
      <c r="B716" s="3">
        <v>46195</v>
      </c>
      <c r="C716" t="s">
        <v>44</v>
      </c>
      <c r="D716" t="s">
        <v>45</v>
      </c>
      <c r="E716" t="s">
        <v>43</v>
      </c>
      <c r="F716" t="s">
        <v>20</v>
      </c>
      <c r="G716" t="s">
        <v>61</v>
      </c>
      <c r="H716" s="5">
        <v>500000</v>
      </c>
      <c r="I716">
        <v>475000</v>
      </c>
      <c r="J716">
        <v>25000</v>
      </c>
    </row>
    <row r="717" spans="1:10" x14ac:dyDescent="0.3">
      <c r="A717" t="s">
        <v>801</v>
      </c>
      <c r="B717" s="3">
        <v>46196</v>
      </c>
      <c r="C717" t="s">
        <v>29</v>
      </c>
      <c r="D717" t="s">
        <v>30</v>
      </c>
      <c r="E717" t="s">
        <v>13</v>
      </c>
      <c r="F717" t="s">
        <v>20</v>
      </c>
      <c r="G717" t="s">
        <v>34</v>
      </c>
      <c r="H717" s="5">
        <v>75000</v>
      </c>
      <c r="I717">
        <v>50000</v>
      </c>
      <c r="J717">
        <v>25000</v>
      </c>
    </row>
    <row r="718" spans="1:10" x14ac:dyDescent="0.3">
      <c r="A718" t="s">
        <v>802</v>
      </c>
      <c r="B718" s="3">
        <v>46196</v>
      </c>
      <c r="C718" t="s">
        <v>59</v>
      </c>
      <c r="D718" t="s">
        <v>60</v>
      </c>
      <c r="E718" t="s">
        <v>19</v>
      </c>
      <c r="F718" t="s">
        <v>20</v>
      </c>
      <c r="G718" t="s">
        <v>31</v>
      </c>
      <c r="H718" s="5">
        <v>1275000</v>
      </c>
      <c r="I718">
        <v>1100000</v>
      </c>
      <c r="J718">
        <v>175000</v>
      </c>
    </row>
    <row r="719" spans="1:10" x14ac:dyDescent="0.3">
      <c r="A719" t="s">
        <v>803</v>
      </c>
      <c r="B719" s="3">
        <v>46197</v>
      </c>
      <c r="C719" t="s">
        <v>17</v>
      </c>
      <c r="D719" t="s">
        <v>18</v>
      </c>
      <c r="E719" t="s">
        <v>19</v>
      </c>
      <c r="F719" t="s">
        <v>20</v>
      </c>
      <c r="G719" t="s">
        <v>58</v>
      </c>
      <c r="H719" s="5">
        <v>750000</v>
      </c>
      <c r="I719">
        <v>700000</v>
      </c>
      <c r="J719">
        <v>50000</v>
      </c>
    </row>
    <row r="720" spans="1:10" x14ac:dyDescent="0.3">
      <c r="A720" t="s">
        <v>804</v>
      </c>
      <c r="B720" s="3">
        <v>46197</v>
      </c>
      <c r="C720" t="s">
        <v>17</v>
      </c>
      <c r="D720" t="s">
        <v>18</v>
      </c>
      <c r="E720" t="s">
        <v>19</v>
      </c>
      <c r="F720" t="s">
        <v>14</v>
      </c>
      <c r="G720" t="s">
        <v>40</v>
      </c>
      <c r="H720" s="5">
        <v>225000</v>
      </c>
      <c r="I720">
        <v>225000</v>
      </c>
      <c r="J720">
        <v>0</v>
      </c>
    </row>
    <row r="721" spans="1:10" x14ac:dyDescent="0.3">
      <c r="A721" t="s">
        <v>805</v>
      </c>
      <c r="B721" s="3">
        <v>46197</v>
      </c>
      <c r="C721" t="s">
        <v>64</v>
      </c>
      <c r="D721" t="s">
        <v>65</v>
      </c>
      <c r="E721" t="s">
        <v>37</v>
      </c>
      <c r="F721" t="s">
        <v>20</v>
      </c>
      <c r="G721" t="s">
        <v>34</v>
      </c>
      <c r="H721" s="5">
        <v>450000</v>
      </c>
      <c r="I721">
        <v>375000</v>
      </c>
      <c r="J721">
        <v>75000</v>
      </c>
    </row>
    <row r="722" spans="1:10" x14ac:dyDescent="0.3">
      <c r="A722" t="s">
        <v>806</v>
      </c>
      <c r="B722" s="3">
        <v>46197</v>
      </c>
      <c r="C722" t="s">
        <v>59</v>
      </c>
      <c r="D722" t="s">
        <v>60</v>
      </c>
      <c r="E722" t="s">
        <v>19</v>
      </c>
      <c r="F722" t="s">
        <v>20</v>
      </c>
      <c r="G722" t="s">
        <v>61</v>
      </c>
      <c r="H722" s="5">
        <v>350000</v>
      </c>
      <c r="I722">
        <v>350000</v>
      </c>
      <c r="J722">
        <v>0</v>
      </c>
    </row>
    <row r="723" spans="1:10" x14ac:dyDescent="0.3">
      <c r="A723" t="s">
        <v>807</v>
      </c>
      <c r="B723" s="3">
        <v>46197</v>
      </c>
      <c r="C723" t="s">
        <v>59</v>
      </c>
      <c r="D723" t="s">
        <v>60</v>
      </c>
      <c r="E723" t="s">
        <v>19</v>
      </c>
      <c r="F723" t="s">
        <v>20</v>
      </c>
      <c r="G723" t="s">
        <v>28</v>
      </c>
      <c r="H723" s="5">
        <v>105000</v>
      </c>
      <c r="I723">
        <v>100000</v>
      </c>
      <c r="J723">
        <v>5000</v>
      </c>
    </row>
    <row r="724" spans="1:10" x14ac:dyDescent="0.3">
      <c r="A724" t="s">
        <v>808</v>
      </c>
      <c r="B724" s="3">
        <v>46198</v>
      </c>
      <c r="C724" t="s">
        <v>55</v>
      </c>
      <c r="D724" t="s">
        <v>56</v>
      </c>
      <c r="E724" t="s">
        <v>24</v>
      </c>
      <c r="F724" t="s">
        <v>14</v>
      </c>
      <c r="G724" t="s">
        <v>57</v>
      </c>
      <c r="H724" s="5">
        <v>80000</v>
      </c>
      <c r="I724">
        <v>75000</v>
      </c>
      <c r="J724">
        <v>5000</v>
      </c>
    </row>
    <row r="725" spans="1:10" x14ac:dyDescent="0.3">
      <c r="A725" t="s">
        <v>809</v>
      </c>
      <c r="B725" s="3">
        <v>46198</v>
      </c>
      <c r="C725" t="s">
        <v>55</v>
      </c>
      <c r="D725" t="s">
        <v>56</v>
      </c>
      <c r="E725" t="s">
        <v>24</v>
      </c>
      <c r="F725" t="s">
        <v>14</v>
      </c>
      <c r="G725" t="s">
        <v>58</v>
      </c>
      <c r="H725" s="5">
        <v>925000</v>
      </c>
      <c r="I725">
        <v>825000</v>
      </c>
      <c r="J725">
        <v>100000</v>
      </c>
    </row>
    <row r="726" spans="1:10" x14ac:dyDescent="0.3">
      <c r="A726" t="s">
        <v>810</v>
      </c>
      <c r="B726" s="3">
        <v>46199</v>
      </c>
      <c r="C726" t="s">
        <v>48</v>
      </c>
      <c r="D726" t="s">
        <v>49</v>
      </c>
      <c r="E726" t="s">
        <v>19</v>
      </c>
      <c r="F726" t="s">
        <v>20</v>
      </c>
      <c r="G726" t="s">
        <v>57</v>
      </c>
      <c r="H726" s="5">
        <v>405000</v>
      </c>
      <c r="I726">
        <v>300000</v>
      </c>
      <c r="J726">
        <v>105000</v>
      </c>
    </row>
    <row r="727" spans="1:10" x14ac:dyDescent="0.3">
      <c r="A727" t="s">
        <v>811</v>
      </c>
      <c r="B727" s="3">
        <v>46199</v>
      </c>
      <c r="C727" t="s">
        <v>22</v>
      </c>
      <c r="D727" t="s">
        <v>23</v>
      </c>
      <c r="E727" t="s">
        <v>24</v>
      </c>
      <c r="F727" t="s">
        <v>20</v>
      </c>
      <c r="G727" t="s">
        <v>57</v>
      </c>
      <c r="H727" s="5">
        <v>480000</v>
      </c>
      <c r="I727">
        <v>475000</v>
      </c>
      <c r="J727">
        <v>5000</v>
      </c>
    </row>
    <row r="728" spans="1:10" x14ac:dyDescent="0.3">
      <c r="A728" t="s">
        <v>812</v>
      </c>
      <c r="B728" s="3">
        <v>46199</v>
      </c>
      <c r="C728" t="s">
        <v>59</v>
      </c>
      <c r="D728" t="s">
        <v>60</v>
      </c>
      <c r="E728" t="s">
        <v>19</v>
      </c>
      <c r="F728" t="s">
        <v>14</v>
      </c>
      <c r="G728" t="s">
        <v>34</v>
      </c>
      <c r="H728" s="5">
        <v>250000</v>
      </c>
      <c r="I728">
        <v>225000</v>
      </c>
      <c r="J728">
        <v>25000</v>
      </c>
    </row>
    <row r="729" spans="1:10" x14ac:dyDescent="0.3">
      <c r="A729" t="s">
        <v>813</v>
      </c>
      <c r="B729" s="3">
        <v>46199</v>
      </c>
      <c r="C729" t="s">
        <v>25</v>
      </c>
      <c r="D729" t="s">
        <v>26</v>
      </c>
      <c r="E729" t="s">
        <v>27</v>
      </c>
      <c r="F729" t="s">
        <v>14</v>
      </c>
      <c r="G729" t="s">
        <v>31</v>
      </c>
      <c r="H729" s="5">
        <v>225000</v>
      </c>
      <c r="I729">
        <v>225000</v>
      </c>
      <c r="J729">
        <v>0</v>
      </c>
    </row>
    <row r="730" spans="1:10" x14ac:dyDescent="0.3">
      <c r="A730" t="s">
        <v>814</v>
      </c>
      <c r="B730" s="3">
        <v>46200</v>
      </c>
      <c r="C730" t="s">
        <v>38</v>
      </c>
      <c r="D730" t="s">
        <v>39</v>
      </c>
      <c r="E730" t="s">
        <v>24</v>
      </c>
      <c r="F730" t="s">
        <v>14</v>
      </c>
      <c r="G730" t="s">
        <v>15</v>
      </c>
      <c r="H730" s="5">
        <v>2850000</v>
      </c>
      <c r="I730">
        <v>2550000</v>
      </c>
      <c r="J730">
        <v>300000</v>
      </c>
    </row>
    <row r="731" spans="1:10" x14ac:dyDescent="0.3">
      <c r="A731" t="s">
        <v>815</v>
      </c>
      <c r="B731" s="3">
        <v>46200</v>
      </c>
      <c r="C731" t="s">
        <v>66</v>
      </c>
      <c r="D731" t="s">
        <v>67</v>
      </c>
      <c r="E731" t="s">
        <v>13</v>
      </c>
      <c r="F731" t="s">
        <v>14</v>
      </c>
      <c r="G731" t="s">
        <v>15</v>
      </c>
      <c r="H731" s="5">
        <v>3475000</v>
      </c>
      <c r="I731">
        <v>3000000</v>
      </c>
      <c r="J731">
        <v>475000</v>
      </c>
    </row>
    <row r="732" spans="1:10" x14ac:dyDescent="0.3">
      <c r="A732" t="s">
        <v>816</v>
      </c>
      <c r="B732" s="3">
        <v>46200</v>
      </c>
      <c r="C732" t="s">
        <v>59</v>
      </c>
      <c r="D732" t="s">
        <v>60</v>
      </c>
      <c r="E732" t="s">
        <v>19</v>
      </c>
      <c r="F732" t="s">
        <v>20</v>
      </c>
      <c r="G732" t="s">
        <v>31</v>
      </c>
      <c r="H732" s="5">
        <v>250000</v>
      </c>
      <c r="I732">
        <v>225000</v>
      </c>
      <c r="J732">
        <v>25000</v>
      </c>
    </row>
    <row r="733" spans="1:10" x14ac:dyDescent="0.3">
      <c r="A733" t="s">
        <v>817</v>
      </c>
      <c r="B733" s="3">
        <v>46200</v>
      </c>
      <c r="C733" t="s">
        <v>59</v>
      </c>
      <c r="D733" t="s">
        <v>60</v>
      </c>
      <c r="E733" t="s">
        <v>19</v>
      </c>
      <c r="F733" t="s">
        <v>20</v>
      </c>
      <c r="G733" t="s">
        <v>57</v>
      </c>
      <c r="H733" s="5">
        <v>305000</v>
      </c>
      <c r="I733">
        <v>0</v>
      </c>
      <c r="J733">
        <v>0</v>
      </c>
    </row>
    <row r="734" spans="1:10" x14ac:dyDescent="0.3">
      <c r="A734" t="s">
        <v>818</v>
      </c>
      <c r="B734" s="3">
        <v>46200</v>
      </c>
      <c r="C734" t="s">
        <v>59</v>
      </c>
      <c r="D734" t="s">
        <v>60</v>
      </c>
      <c r="E734" t="s">
        <v>19</v>
      </c>
      <c r="F734" t="s">
        <v>20</v>
      </c>
      <c r="G734" t="s">
        <v>58</v>
      </c>
      <c r="H734" s="5">
        <v>175000</v>
      </c>
      <c r="I734">
        <v>150000</v>
      </c>
      <c r="J734">
        <v>25000</v>
      </c>
    </row>
    <row r="735" spans="1:10" x14ac:dyDescent="0.3">
      <c r="A735" t="s">
        <v>819</v>
      </c>
      <c r="B735" s="3">
        <v>46200</v>
      </c>
      <c r="C735" t="s">
        <v>25</v>
      </c>
      <c r="D735" t="s">
        <v>26</v>
      </c>
      <c r="E735" t="s">
        <v>27</v>
      </c>
      <c r="F735" t="s">
        <v>20</v>
      </c>
      <c r="G735" t="s">
        <v>34</v>
      </c>
      <c r="H735" s="5">
        <v>375000</v>
      </c>
      <c r="I735">
        <v>325000</v>
      </c>
      <c r="J735">
        <v>50000</v>
      </c>
    </row>
    <row r="736" spans="1:10" x14ac:dyDescent="0.3">
      <c r="A736" t="s">
        <v>820</v>
      </c>
      <c r="B736" s="3">
        <v>46201</v>
      </c>
      <c r="C736" t="s">
        <v>46</v>
      </c>
      <c r="D736" t="s">
        <v>47</v>
      </c>
      <c r="E736" t="s">
        <v>37</v>
      </c>
      <c r="F736" t="s">
        <v>20</v>
      </c>
      <c r="G736" t="s">
        <v>31</v>
      </c>
      <c r="H736" s="5">
        <v>300000</v>
      </c>
      <c r="I736">
        <v>250000</v>
      </c>
      <c r="J736">
        <v>50000</v>
      </c>
    </row>
    <row r="737" spans="1:10" x14ac:dyDescent="0.3">
      <c r="A737" t="s">
        <v>821</v>
      </c>
      <c r="B737" s="3">
        <v>46201</v>
      </c>
      <c r="C737" t="s">
        <v>41</v>
      </c>
      <c r="D737" t="s">
        <v>42</v>
      </c>
      <c r="E737" t="s">
        <v>43</v>
      </c>
      <c r="F737" t="s">
        <v>20</v>
      </c>
      <c r="G737" t="s">
        <v>40</v>
      </c>
      <c r="H737" s="5">
        <v>550000</v>
      </c>
      <c r="I737">
        <v>450000</v>
      </c>
      <c r="J737">
        <v>100000</v>
      </c>
    </row>
    <row r="738" spans="1:10" x14ac:dyDescent="0.3">
      <c r="A738" t="s">
        <v>822</v>
      </c>
      <c r="B738" s="3">
        <v>46201</v>
      </c>
      <c r="C738" t="s">
        <v>50</v>
      </c>
      <c r="D738" t="s">
        <v>51</v>
      </c>
      <c r="E738" t="s">
        <v>52</v>
      </c>
      <c r="F738" t="s">
        <v>20</v>
      </c>
      <c r="G738" t="s">
        <v>57</v>
      </c>
      <c r="H738" s="5">
        <v>130000</v>
      </c>
      <c r="I738">
        <v>100000</v>
      </c>
      <c r="J738">
        <v>30000</v>
      </c>
    </row>
    <row r="739" spans="1:10" x14ac:dyDescent="0.3">
      <c r="A739" t="s">
        <v>823</v>
      </c>
      <c r="B739" s="3">
        <v>46201</v>
      </c>
      <c r="C739" t="s">
        <v>66</v>
      </c>
      <c r="D739" t="s">
        <v>67</v>
      </c>
      <c r="E739" t="s">
        <v>13</v>
      </c>
      <c r="F739" t="s">
        <v>20</v>
      </c>
      <c r="G739" t="s">
        <v>58</v>
      </c>
      <c r="H739" s="5">
        <v>950000</v>
      </c>
      <c r="I739">
        <v>875000</v>
      </c>
      <c r="J739">
        <v>75000</v>
      </c>
    </row>
    <row r="740" spans="1:10" x14ac:dyDescent="0.3">
      <c r="A740" t="s">
        <v>824</v>
      </c>
      <c r="B740" s="3">
        <v>46201</v>
      </c>
      <c r="C740" t="s">
        <v>22</v>
      </c>
      <c r="D740" t="s">
        <v>23</v>
      </c>
      <c r="E740" t="s">
        <v>24</v>
      </c>
      <c r="F740" t="s">
        <v>20</v>
      </c>
      <c r="G740" t="s">
        <v>28</v>
      </c>
      <c r="H740" s="5">
        <v>455000</v>
      </c>
      <c r="I740">
        <v>350000</v>
      </c>
      <c r="J740">
        <v>105000</v>
      </c>
    </row>
    <row r="741" spans="1:10" x14ac:dyDescent="0.3">
      <c r="A741" t="s">
        <v>825</v>
      </c>
      <c r="B741" s="3">
        <v>46202</v>
      </c>
      <c r="C741" t="s">
        <v>29</v>
      </c>
      <c r="D741" t="s">
        <v>30</v>
      </c>
      <c r="E741" t="s">
        <v>13</v>
      </c>
      <c r="F741" t="s">
        <v>20</v>
      </c>
      <c r="G741" t="s">
        <v>31</v>
      </c>
      <c r="H741" s="5">
        <v>1375000</v>
      </c>
      <c r="I741">
        <v>0</v>
      </c>
      <c r="J741">
        <v>0</v>
      </c>
    </row>
    <row r="742" spans="1:10" x14ac:dyDescent="0.3">
      <c r="A742" t="s">
        <v>826</v>
      </c>
      <c r="B742" s="3">
        <v>46202</v>
      </c>
      <c r="C742" t="s">
        <v>62</v>
      </c>
      <c r="D742" t="s">
        <v>63</v>
      </c>
      <c r="E742" t="s">
        <v>52</v>
      </c>
      <c r="F742" t="s">
        <v>14</v>
      </c>
      <c r="G742" t="s">
        <v>28</v>
      </c>
      <c r="H742" s="5">
        <v>380000</v>
      </c>
      <c r="I742">
        <v>300000</v>
      </c>
      <c r="J742">
        <v>80000</v>
      </c>
    </row>
    <row r="743" spans="1:10" x14ac:dyDescent="0.3">
      <c r="A743" t="s">
        <v>827</v>
      </c>
      <c r="B743" s="3">
        <v>46202</v>
      </c>
      <c r="C743" t="s">
        <v>38</v>
      </c>
      <c r="D743" t="s">
        <v>39</v>
      </c>
      <c r="E743" t="s">
        <v>24</v>
      </c>
      <c r="F743" t="s">
        <v>20</v>
      </c>
      <c r="G743" t="s">
        <v>57</v>
      </c>
      <c r="H743" s="5">
        <v>105000</v>
      </c>
      <c r="I743">
        <v>100000</v>
      </c>
      <c r="J743">
        <v>5000</v>
      </c>
    </row>
    <row r="744" spans="1:10" x14ac:dyDescent="0.3">
      <c r="A744" t="s">
        <v>828</v>
      </c>
      <c r="B744" s="3">
        <v>46202</v>
      </c>
      <c r="C744" t="s">
        <v>53</v>
      </c>
      <c r="D744" t="s">
        <v>54</v>
      </c>
      <c r="E744" t="s">
        <v>43</v>
      </c>
      <c r="F744" t="s">
        <v>14</v>
      </c>
      <c r="G744" t="s">
        <v>28</v>
      </c>
      <c r="H744" s="5">
        <v>55000</v>
      </c>
      <c r="I744">
        <v>50000</v>
      </c>
      <c r="J744">
        <v>5000</v>
      </c>
    </row>
    <row r="745" spans="1:10" x14ac:dyDescent="0.3">
      <c r="A745" t="s">
        <v>829</v>
      </c>
      <c r="B745" s="3">
        <v>46203</v>
      </c>
      <c r="C745" t="s">
        <v>48</v>
      </c>
      <c r="D745" t="s">
        <v>49</v>
      </c>
      <c r="E745" t="s">
        <v>19</v>
      </c>
      <c r="F745" t="s">
        <v>20</v>
      </c>
      <c r="G745" t="s">
        <v>34</v>
      </c>
      <c r="H745" s="5">
        <v>150000</v>
      </c>
      <c r="I745">
        <v>125000</v>
      </c>
      <c r="J745">
        <v>25000</v>
      </c>
    </row>
    <row r="746" spans="1:10" x14ac:dyDescent="0.3">
      <c r="A746" t="s">
        <v>830</v>
      </c>
      <c r="B746" s="3">
        <v>46203</v>
      </c>
      <c r="C746" t="s">
        <v>38</v>
      </c>
      <c r="D746" t="s">
        <v>39</v>
      </c>
      <c r="E746" t="s">
        <v>24</v>
      </c>
      <c r="F746" t="s">
        <v>14</v>
      </c>
      <c r="G746" t="s">
        <v>61</v>
      </c>
      <c r="H746" s="5">
        <v>250000</v>
      </c>
      <c r="I746">
        <v>0</v>
      </c>
      <c r="J746">
        <v>0</v>
      </c>
    </row>
    <row r="747" spans="1:10" x14ac:dyDescent="0.3">
      <c r="A747" t="s">
        <v>831</v>
      </c>
      <c r="B747" s="3">
        <v>46203</v>
      </c>
      <c r="C747" t="s">
        <v>59</v>
      </c>
      <c r="D747" t="s">
        <v>60</v>
      </c>
      <c r="E747" t="s">
        <v>19</v>
      </c>
      <c r="F747" t="s">
        <v>14</v>
      </c>
      <c r="G747" t="s">
        <v>40</v>
      </c>
      <c r="H747" s="5">
        <v>775000</v>
      </c>
      <c r="I747">
        <v>625000</v>
      </c>
      <c r="J747">
        <v>150000</v>
      </c>
    </row>
    <row r="748" spans="1:10" x14ac:dyDescent="0.3">
      <c r="A748" t="s">
        <v>832</v>
      </c>
      <c r="B748" s="3">
        <v>46204</v>
      </c>
      <c r="C748" t="s">
        <v>38</v>
      </c>
      <c r="D748" t="s">
        <v>39</v>
      </c>
      <c r="E748" t="s">
        <v>24</v>
      </c>
      <c r="F748" t="s">
        <v>20</v>
      </c>
      <c r="G748" t="s">
        <v>40</v>
      </c>
      <c r="H748" s="5">
        <v>500000</v>
      </c>
      <c r="I748">
        <v>425000</v>
      </c>
      <c r="J748">
        <v>75000</v>
      </c>
    </row>
    <row r="749" spans="1:10" x14ac:dyDescent="0.3">
      <c r="A749" t="s">
        <v>833</v>
      </c>
      <c r="B749" s="3">
        <v>46204</v>
      </c>
      <c r="C749" t="s">
        <v>44</v>
      </c>
      <c r="D749" t="s">
        <v>45</v>
      </c>
      <c r="E749" t="s">
        <v>43</v>
      </c>
      <c r="F749" t="s">
        <v>14</v>
      </c>
      <c r="G749" t="s">
        <v>58</v>
      </c>
      <c r="H749" s="5">
        <v>875000</v>
      </c>
      <c r="I749">
        <v>750000</v>
      </c>
      <c r="J749">
        <v>125000</v>
      </c>
    </row>
    <row r="750" spans="1:10" x14ac:dyDescent="0.3">
      <c r="A750" t="s">
        <v>834</v>
      </c>
      <c r="B750" s="3">
        <v>46204</v>
      </c>
      <c r="C750" t="s">
        <v>66</v>
      </c>
      <c r="D750" t="s">
        <v>67</v>
      </c>
      <c r="E750" t="s">
        <v>13</v>
      </c>
      <c r="F750" t="s">
        <v>14</v>
      </c>
      <c r="G750" t="s">
        <v>28</v>
      </c>
      <c r="H750" s="5">
        <v>355000</v>
      </c>
      <c r="I750">
        <v>275000</v>
      </c>
      <c r="J750">
        <v>80000</v>
      </c>
    </row>
    <row r="751" spans="1:10" x14ac:dyDescent="0.3">
      <c r="A751" t="s">
        <v>835</v>
      </c>
      <c r="B751" s="3">
        <v>46204</v>
      </c>
      <c r="C751" t="s">
        <v>22</v>
      </c>
      <c r="D751" t="s">
        <v>23</v>
      </c>
      <c r="E751" t="s">
        <v>24</v>
      </c>
      <c r="F751" t="s">
        <v>14</v>
      </c>
      <c r="G751" t="s">
        <v>40</v>
      </c>
      <c r="H751" s="5">
        <v>550000</v>
      </c>
      <c r="I751">
        <v>550000</v>
      </c>
      <c r="J751">
        <v>0</v>
      </c>
    </row>
    <row r="752" spans="1:10" x14ac:dyDescent="0.3">
      <c r="A752" t="s">
        <v>836</v>
      </c>
      <c r="B752" s="3">
        <v>46204</v>
      </c>
      <c r="C752" t="s">
        <v>22</v>
      </c>
      <c r="D752" t="s">
        <v>23</v>
      </c>
      <c r="E752" t="s">
        <v>24</v>
      </c>
      <c r="F752" t="s">
        <v>14</v>
      </c>
      <c r="G752" t="s">
        <v>31</v>
      </c>
      <c r="H752" s="5">
        <v>300000</v>
      </c>
      <c r="I752">
        <v>300000</v>
      </c>
      <c r="J752">
        <v>0</v>
      </c>
    </row>
    <row r="753" spans="1:10" x14ac:dyDescent="0.3">
      <c r="A753" t="s">
        <v>837</v>
      </c>
      <c r="B753" s="3">
        <v>46205</v>
      </c>
      <c r="C753" t="s">
        <v>11</v>
      </c>
      <c r="D753" t="s">
        <v>12</v>
      </c>
      <c r="E753" t="s">
        <v>13</v>
      </c>
      <c r="F753" t="s">
        <v>14</v>
      </c>
      <c r="G753" t="s">
        <v>40</v>
      </c>
      <c r="H753" s="5">
        <v>725000</v>
      </c>
      <c r="I753">
        <v>0</v>
      </c>
      <c r="J753">
        <v>0</v>
      </c>
    </row>
    <row r="754" spans="1:10" x14ac:dyDescent="0.3">
      <c r="A754" t="s">
        <v>838</v>
      </c>
      <c r="B754" s="3">
        <v>46205</v>
      </c>
      <c r="C754" t="s">
        <v>11</v>
      </c>
      <c r="D754" t="s">
        <v>12</v>
      </c>
      <c r="E754" t="s">
        <v>13</v>
      </c>
      <c r="F754" t="s">
        <v>14</v>
      </c>
      <c r="G754" t="s">
        <v>57</v>
      </c>
      <c r="H754" s="5">
        <v>430000</v>
      </c>
      <c r="I754">
        <v>375000</v>
      </c>
      <c r="J754">
        <v>55000</v>
      </c>
    </row>
    <row r="755" spans="1:10" x14ac:dyDescent="0.3">
      <c r="A755" t="s">
        <v>839</v>
      </c>
      <c r="B755" s="3">
        <v>46205</v>
      </c>
      <c r="C755" t="s">
        <v>38</v>
      </c>
      <c r="D755" t="s">
        <v>39</v>
      </c>
      <c r="E755" t="s">
        <v>24</v>
      </c>
      <c r="F755" t="s">
        <v>20</v>
      </c>
      <c r="G755" t="s">
        <v>28</v>
      </c>
      <c r="H755" s="5">
        <v>430000</v>
      </c>
      <c r="I755">
        <v>425000</v>
      </c>
      <c r="J755">
        <v>5000</v>
      </c>
    </row>
    <row r="756" spans="1:10" x14ac:dyDescent="0.3">
      <c r="A756" t="s">
        <v>840</v>
      </c>
      <c r="B756" s="3">
        <v>46206</v>
      </c>
      <c r="C756" t="s">
        <v>32</v>
      </c>
      <c r="D756" t="s">
        <v>33</v>
      </c>
      <c r="E756" t="s">
        <v>27</v>
      </c>
      <c r="F756" t="s">
        <v>14</v>
      </c>
      <c r="G756" t="s">
        <v>58</v>
      </c>
      <c r="H756" s="5">
        <v>775000</v>
      </c>
      <c r="I756">
        <v>675000</v>
      </c>
      <c r="J756">
        <v>100000</v>
      </c>
    </row>
    <row r="757" spans="1:10" x14ac:dyDescent="0.3">
      <c r="A757" t="s">
        <v>841</v>
      </c>
      <c r="B757" s="3">
        <v>46206</v>
      </c>
      <c r="C757" t="s">
        <v>48</v>
      </c>
      <c r="D757" t="s">
        <v>49</v>
      </c>
      <c r="E757" t="s">
        <v>19</v>
      </c>
      <c r="F757" t="s">
        <v>14</v>
      </c>
      <c r="G757" t="s">
        <v>40</v>
      </c>
      <c r="H757" s="5">
        <v>425000</v>
      </c>
      <c r="I757">
        <v>425000</v>
      </c>
      <c r="J757">
        <v>0</v>
      </c>
    </row>
    <row r="758" spans="1:10" x14ac:dyDescent="0.3">
      <c r="A758" t="s">
        <v>842</v>
      </c>
      <c r="B758" s="3">
        <v>46206</v>
      </c>
      <c r="C758" t="s">
        <v>25</v>
      </c>
      <c r="D758" t="s">
        <v>26</v>
      </c>
      <c r="E758" t="s">
        <v>27</v>
      </c>
      <c r="F758" t="s">
        <v>14</v>
      </c>
      <c r="G758" t="s">
        <v>58</v>
      </c>
      <c r="H758" s="5">
        <v>350000</v>
      </c>
      <c r="I758">
        <v>350000</v>
      </c>
      <c r="J758">
        <v>0</v>
      </c>
    </row>
    <row r="759" spans="1:10" x14ac:dyDescent="0.3">
      <c r="A759" t="s">
        <v>843</v>
      </c>
      <c r="B759" s="3">
        <v>46207</v>
      </c>
      <c r="C759" t="s">
        <v>32</v>
      </c>
      <c r="D759" t="s">
        <v>33</v>
      </c>
      <c r="E759" t="s">
        <v>27</v>
      </c>
      <c r="F759" t="s">
        <v>20</v>
      </c>
      <c r="G759" t="s">
        <v>57</v>
      </c>
      <c r="H759" s="5">
        <v>55000</v>
      </c>
      <c r="I759">
        <v>50000</v>
      </c>
      <c r="J759">
        <v>5000</v>
      </c>
    </row>
    <row r="760" spans="1:10" x14ac:dyDescent="0.3">
      <c r="A760" t="s">
        <v>844</v>
      </c>
      <c r="B760" s="3">
        <v>46207</v>
      </c>
      <c r="C760" t="s">
        <v>62</v>
      </c>
      <c r="D760" t="s">
        <v>63</v>
      </c>
      <c r="E760" t="s">
        <v>52</v>
      </c>
      <c r="F760" t="s">
        <v>20</v>
      </c>
      <c r="G760" t="s">
        <v>34</v>
      </c>
      <c r="H760" s="5">
        <v>125000</v>
      </c>
      <c r="I760">
        <v>125000</v>
      </c>
      <c r="J760">
        <v>0</v>
      </c>
    </row>
    <row r="761" spans="1:10" x14ac:dyDescent="0.3">
      <c r="A761" t="s">
        <v>845</v>
      </c>
      <c r="B761" s="3">
        <v>46207</v>
      </c>
      <c r="C761" t="s">
        <v>41</v>
      </c>
      <c r="D761" t="s">
        <v>42</v>
      </c>
      <c r="E761" t="s">
        <v>43</v>
      </c>
      <c r="F761" t="s">
        <v>14</v>
      </c>
      <c r="G761" t="s">
        <v>15</v>
      </c>
      <c r="H761" s="5">
        <v>3725000</v>
      </c>
      <c r="I761">
        <v>0</v>
      </c>
      <c r="J761">
        <v>0</v>
      </c>
    </row>
    <row r="762" spans="1:10" x14ac:dyDescent="0.3">
      <c r="A762" t="s">
        <v>846</v>
      </c>
      <c r="B762" s="3">
        <v>46207</v>
      </c>
      <c r="C762" t="s">
        <v>68</v>
      </c>
      <c r="D762" t="s">
        <v>69</v>
      </c>
      <c r="E762" t="s">
        <v>27</v>
      </c>
      <c r="F762" t="s">
        <v>20</v>
      </c>
      <c r="G762" t="s">
        <v>28</v>
      </c>
      <c r="H762" s="5">
        <v>30000</v>
      </c>
      <c r="I762">
        <v>0</v>
      </c>
      <c r="J762">
        <v>0</v>
      </c>
    </row>
    <row r="763" spans="1:10" x14ac:dyDescent="0.3">
      <c r="A763" t="s">
        <v>847</v>
      </c>
      <c r="B763" s="3">
        <v>46208</v>
      </c>
      <c r="C763" t="s">
        <v>55</v>
      </c>
      <c r="D763" t="s">
        <v>56</v>
      </c>
      <c r="E763" t="s">
        <v>24</v>
      </c>
      <c r="F763" t="s">
        <v>14</v>
      </c>
      <c r="G763" t="s">
        <v>61</v>
      </c>
      <c r="H763" s="5">
        <v>400000</v>
      </c>
      <c r="I763">
        <v>0</v>
      </c>
      <c r="J763">
        <v>0</v>
      </c>
    </row>
    <row r="764" spans="1:10" x14ac:dyDescent="0.3">
      <c r="A764" t="s">
        <v>848</v>
      </c>
      <c r="B764" s="3">
        <v>46208</v>
      </c>
      <c r="C764" t="s">
        <v>17</v>
      </c>
      <c r="D764" t="s">
        <v>18</v>
      </c>
      <c r="E764" t="s">
        <v>19</v>
      </c>
      <c r="F764" t="s">
        <v>14</v>
      </c>
      <c r="G764" t="s">
        <v>40</v>
      </c>
      <c r="H764" s="5">
        <v>900000</v>
      </c>
      <c r="I764">
        <v>675000</v>
      </c>
      <c r="J764">
        <v>225000</v>
      </c>
    </row>
    <row r="765" spans="1:10" x14ac:dyDescent="0.3">
      <c r="A765" t="s">
        <v>849</v>
      </c>
      <c r="B765" s="3">
        <v>46208</v>
      </c>
      <c r="C765" t="s">
        <v>22</v>
      </c>
      <c r="D765" t="s">
        <v>23</v>
      </c>
      <c r="E765" t="s">
        <v>24</v>
      </c>
      <c r="F765" t="s">
        <v>20</v>
      </c>
      <c r="G765" t="s">
        <v>61</v>
      </c>
      <c r="H765" s="5">
        <v>400000</v>
      </c>
      <c r="I765">
        <v>375000</v>
      </c>
      <c r="J765">
        <v>25000</v>
      </c>
    </row>
    <row r="766" spans="1:10" x14ac:dyDescent="0.3">
      <c r="A766" t="s">
        <v>850</v>
      </c>
      <c r="B766" s="3">
        <v>46208</v>
      </c>
      <c r="C766" t="s">
        <v>22</v>
      </c>
      <c r="D766" t="s">
        <v>23</v>
      </c>
      <c r="E766" t="s">
        <v>24</v>
      </c>
      <c r="F766" t="s">
        <v>14</v>
      </c>
      <c r="G766" t="s">
        <v>58</v>
      </c>
      <c r="H766" s="5">
        <v>925000</v>
      </c>
      <c r="I766">
        <v>700000</v>
      </c>
      <c r="J766">
        <v>225000</v>
      </c>
    </row>
    <row r="767" spans="1:10" x14ac:dyDescent="0.3">
      <c r="A767" t="s">
        <v>851</v>
      </c>
      <c r="B767" s="3">
        <v>46209</v>
      </c>
      <c r="C767" t="s">
        <v>32</v>
      </c>
      <c r="D767" t="s">
        <v>33</v>
      </c>
      <c r="E767" t="s">
        <v>27</v>
      </c>
      <c r="F767" t="s">
        <v>20</v>
      </c>
      <c r="G767" t="s">
        <v>31</v>
      </c>
      <c r="H767" s="5">
        <v>1000000</v>
      </c>
      <c r="I767">
        <v>875000</v>
      </c>
      <c r="J767">
        <v>125000</v>
      </c>
    </row>
    <row r="768" spans="1:10" x14ac:dyDescent="0.3">
      <c r="A768" t="s">
        <v>852</v>
      </c>
      <c r="B768" s="3">
        <v>46209</v>
      </c>
      <c r="C768" t="s">
        <v>38</v>
      </c>
      <c r="D768" t="s">
        <v>39</v>
      </c>
      <c r="E768" t="s">
        <v>24</v>
      </c>
      <c r="F768" t="s">
        <v>14</v>
      </c>
      <c r="G768" t="s">
        <v>15</v>
      </c>
      <c r="H768" s="5">
        <v>500000</v>
      </c>
      <c r="I768">
        <v>475000</v>
      </c>
      <c r="J768">
        <v>25000</v>
      </c>
    </row>
    <row r="769" spans="1:10" x14ac:dyDescent="0.3">
      <c r="A769" t="s">
        <v>853</v>
      </c>
      <c r="B769" s="3">
        <v>46209</v>
      </c>
      <c r="C769" t="s">
        <v>59</v>
      </c>
      <c r="D769" t="s">
        <v>60</v>
      </c>
      <c r="E769" t="s">
        <v>19</v>
      </c>
      <c r="F769" t="s">
        <v>20</v>
      </c>
      <c r="G769" t="s">
        <v>40</v>
      </c>
      <c r="H769" s="5">
        <v>400000</v>
      </c>
      <c r="I769">
        <v>350000</v>
      </c>
      <c r="J769">
        <v>50000</v>
      </c>
    </row>
    <row r="770" spans="1:10" x14ac:dyDescent="0.3">
      <c r="A770" t="s">
        <v>854</v>
      </c>
      <c r="B770" s="3">
        <v>46210</v>
      </c>
      <c r="C770" t="s">
        <v>29</v>
      </c>
      <c r="D770" t="s">
        <v>30</v>
      </c>
      <c r="E770" t="s">
        <v>13</v>
      </c>
      <c r="F770" t="s">
        <v>20</v>
      </c>
      <c r="G770" t="s">
        <v>34</v>
      </c>
      <c r="H770" s="5">
        <v>350000</v>
      </c>
      <c r="I770">
        <v>250000</v>
      </c>
      <c r="J770">
        <v>100000</v>
      </c>
    </row>
    <row r="771" spans="1:10" x14ac:dyDescent="0.3">
      <c r="A771" t="s">
        <v>855</v>
      </c>
      <c r="B771" s="3">
        <v>46210</v>
      </c>
      <c r="C771" t="s">
        <v>59</v>
      </c>
      <c r="D771" t="s">
        <v>60</v>
      </c>
      <c r="E771" t="s">
        <v>19</v>
      </c>
      <c r="F771" t="s">
        <v>20</v>
      </c>
      <c r="G771" t="s">
        <v>34</v>
      </c>
      <c r="H771" s="5">
        <v>425000</v>
      </c>
      <c r="I771">
        <v>400000</v>
      </c>
      <c r="J771">
        <v>25000</v>
      </c>
    </row>
    <row r="772" spans="1:10" x14ac:dyDescent="0.3">
      <c r="A772" t="s">
        <v>856</v>
      </c>
      <c r="B772" s="3">
        <v>46210</v>
      </c>
      <c r="C772" t="s">
        <v>59</v>
      </c>
      <c r="D772" t="s">
        <v>60</v>
      </c>
      <c r="E772" t="s">
        <v>19</v>
      </c>
      <c r="F772" t="s">
        <v>14</v>
      </c>
      <c r="G772" t="s">
        <v>57</v>
      </c>
      <c r="H772" s="5">
        <v>30000</v>
      </c>
      <c r="I772">
        <v>25000</v>
      </c>
      <c r="J772">
        <v>5000</v>
      </c>
    </row>
    <row r="773" spans="1:10" x14ac:dyDescent="0.3">
      <c r="A773" t="s">
        <v>857</v>
      </c>
      <c r="B773" s="3">
        <v>46211</v>
      </c>
      <c r="C773" t="s">
        <v>32</v>
      </c>
      <c r="D773" t="s">
        <v>33</v>
      </c>
      <c r="E773" t="s">
        <v>27</v>
      </c>
      <c r="F773" t="s">
        <v>20</v>
      </c>
      <c r="G773" t="s">
        <v>58</v>
      </c>
      <c r="H773" s="5">
        <v>250000</v>
      </c>
      <c r="I773">
        <v>225000</v>
      </c>
      <c r="J773">
        <v>25000</v>
      </c>
    </row>
    <row r="774" spans="1:10" x14ac:dyDescent="0.3">
      <c r="A774" t="s">
        <v>858</v>
      </c>
      <c r="B774" s="3">
        <v>46211</v>
      </c>
      <c r="C774" t="s">
        <v>62</v>
      </c>
      <c r="D774" t="s">
        <v>63</v>
      </c>
      <c r="E774" t="s">
        <v>52</v>
      </c>
      <c r="F774" t="s">
        <v>20</v>
      </c>
      <c r="G774" t="s">
        <v>15</v>
      </c>
      <c r="H774" s="5">
        <v>1675000</v>
      </c>
      <c r="I774">
        <v>1225000</v>
      </c>
      <c r="J774">
        <v>450000</v>
      </c>
    </row>
    <row r="775" spans="1:10" x14ac:dyDescent="0.3">
      <c r="A775" t="s">
        <v>859</v>
      </c>
      <c r="B775" s="3">
        <v>46211</v>
      </c>
      <c r="C775" t="s">
        <v>59</v>
      </c>
      <c r="D775" t="s">
        <v>60</v>
      </c>
      <c r="E775" t="s">
        <v>19</v>
      </c>
      <c r="F775" t="s">
        <v>20</v>
      </c>
      <c r="G775" t="s">
        <v>28</v>
      </c>
      <c r="H775" s="5">
        <v>380000</v>
      </c>
      <c r="I775">
        <v>325000</v>
      </c>
      <c r="J775">
        <v>55000</v>
      </c>
    </row>
    <row r="776" spans="1:10" x14ac:dyDescent="0.3">
      <c r="A776" t="s">
        <v>860</v>
      </c>
      <c r="B776" s="3">
        <v>46212</v>
      </c>
      <c r="C776" t="s">
        <v>55</v>
      </c>
      <c r="D776" t="s">
        <v>56</v>
      </c>
      <c r="E776" t="s">
        <v>24</v>
      </c>
      <c r="F776" t="s">
        <v>20</v>
      </c>
      <c r="G776" t="s">
        <v>31</v>
      </c>
      <c r="H776" s="5">
        <v>575000</v>
      </c>
      <c r="I776">
        <v>550000</v>
      </c>
      <c r="J776">
        <v>25000</v>
      </c>
    </row>
    <row r="777" spans="1:10" x14ac:dyDescent="0.3">
      <c r="A777" t="s">
        <v>861</v>
      </c>
      <c r="B777" s="3">
        <v>46212</v>
      </c>
      <c r="C777" t="s">
        <v>55</v>
      </c>
      <c r="D777" t="s">
        <v>56</v>
      </c>
      <c r="E777" t="s">
        <v>24</v>
      </c>
      <c r="F777" t="s">
        <v>20</v>
      </c>
      <c r="G777" t="s">
        <v>61</v>
      </c>
      <c r="H777" s="5">
        <v>375000</v>
      </c>
      <c r="I777">
        <v>275000</v>
      </c>
      <c r="J777">
        <v>100000</v>
      </c>
    </row>
    <row r="778" spans="1:10" x14ac:dyDescent="0.3">
      <c r="A778" t="s">
        <v>862</v>
      </c>
      <c r="B778" s="3">
        <v>46212</v>
      </c>
      <c r="C778" t="s">
        <v>48</v>
      </c>
      <c r="D778" t="s">
        <v>49</v>
      </c>
      <c r="E778" t="s">
        <v>19</v>
      </c>
      <c r="F778" t="s">
        <v>20</v>
      </c>
      <c r="G778" t="s">
        <v>58</v>
      </c>
      <c r="H778" s="5">
        <v>200000</v>
      </c>
      <c r="I778">
        <v>150000</v>
      </c>
      <c r="J778">
        <v>50000</v>
      </c>
    </row>
    <row r="779" spans="1:10" x14ac:dyDescent="0.3">
      <c r="A779" t="s">
        <v>863</v>
      </c>
      <c r="B779" s="3">
        <v>46212</v>
      </c>
      <c r="C779" t="s">
        <v>17</v>
      </c>
      <c r="D779" t="s">
        <v>18</v>
      </c>
      <c r="E779" t="s">
        <v>19</v>
      </c>
      <c r="F779" t="s">
        <v>14</v>
      </c>
      <c r="G779" t="s">
        <v>34</v>
      </c>
      <c r="H779" s="5">
        <v>225000</v>
      </c>
      <c r="I779">
        <v>200000</v>
      </c>
      <c r="J779">
        <v>25000</v>
      </c>
    </row>
    <row r="780" spans="1:10" x14ac:dyDescent="0.3">
      <c r="A780" t="s">
        <v>864</v>
      </c>
      <c r="B780" s="3">
        <v>46212</v>
      </c>
      <c r="C780" t="s">
        <v>50</v>
      </c>
      <c r="D780" t="s">
        <v>51</v>
      </c>
      <c r="E780" t="s">
        <v>52</v>
      </c>
      <c r="F780" t="s">
        <v>14</v>
      </c>
      <c r="G780" t="s">
        <v>15</v>
      </c>
      <c r="H780" s="5">
        <v>650000</v>
      </c>
      <c r="I780">
        <v>0</v>
      </c>
      <c r="J780">
        <v>0</v>
      </c>
    </row>
    <row r="781" spans="1:10" x14ac:dyDescent="0.3">
      <c r="A781" t="s">
        <v>865</v>
      </c>
      <c r="B781" s="3">
        <v>46212</v>
      </c>
      <c r="C781" t="s">
        <v>59</v>
      </c>
      <c r="D781" t="s">
        <v>60</v>
      </c>
      <c r="E781" t="s">
        <v>19</v>
      </c>
      <c r="F781" t="s">
        <v>20</v>
      </c>
      <c r="G781" t="s">
        <v>58</v>
      </c>
      <c r="H781" s="5">
        <v>225000</v>
      </c>
      <c r="I781">
        <v>175000</v>
      </c>
      <c r="J781">
        <v>50000</v>
      </c>
    </row>
    <row r="782" spans="1:10" x14ac:dyDescent="0.3">
      <c r="A782" t="s">
        <v>866</v>
      </c>
      <c r="B782" s="3">
        <v>46213</v>
      </c>
      <c r="C782" t="s">
        <v>48</v>
      </c>
      <c r="D782" t="s">
        <v>49</v>
      </c>
      <c r="E782" t="s">
        <v>19</v>
      </c>
      <c r="F782" t="s">
        <v>14</v>
      </c>
      <c r="G782" t="s">
        <v>28</v>
      </c>
      <c r="H782" s="5">
        <v>280000</v>
      </c>
      <c r="I782">
        <v>250000</v>
      </c>
      <c r="J782">
        <v>30000</v>
      </c>
    </row>
    <row r="783" spans="1:10" x14ac:dyDescent="0.3">
      <c r="A783" t="s">
        <v>867</v>
      </c>
      <c r="B783" s="3">
        <v>46213</v>
      </c>
      <c r="C783" t="s">
        <v>41</v>
      </c>
      <c r="D783" t="s">
        <v>42</v>
      </c>
      <c r="E783" t="s">
        <v>43</v>
      </c>
      <c r="F783" t="s">
        <v>14</v>
      </c>
      <c r="G783" t="s">
        <v>57</v>
      </c>
      <c r="H783" s="5">
        <v>205000</v>
      </c>
      <c r="I783">
        <v>200000</v>
      </c>
      <c r="J783">
        <v>5000</v>
      </c>
    </row>
    <row r="784" spans="1:10" x14ac:dyDescent="0.3">
      <c r="A784" t="s">
        <v>868</v>
      </c>
      <c r="B784" s="3">
        <v>46213</v>
      </c>
      <c r="C784" t="s">
        <v>41</v>
      </c>
      <c r="D784" t="s">
        <v>42</v>
      </c>
      <c r="E784" t="s">
        <v>43</v>
      </c>
      <c r="F784" t="s">
        <v>20</v>
      </c>
      <c r="G784" t="s">
        <v>31</v>
      </c>
      <c r="H784" s="5">
        <v>950000</v>
      </c>
      <c r="I784">
        <v>825000</v>
      </c>
      <c r="J784">
        <v>125000</v>
      </c>
    </row>
    <row r="785" spans="1:10" x14ac:dyDescent="0.3">
      <c r="A785" t="s">
        <v>869</v>
      </c>
      <c r="B785" s="3">
        <v>46213</v>
      </c>
      <c r="C785" t="s">
        <v>11</v>
      </c>
      <c r="D785" t="s">
        <v>12</v>
      </c>
      <c r="E785" t="s">
        <v>13</v>
      </c>
      <c r="F785" t="s">
        <v>14</v>
      </c>
      <c r="G785" t="s">
        <v>15</v>
      </c>
      <c r="H785" s="5">
        <v>3150000</v>
      </c>
      <c r="I785">
        <v>2525000</v>
      </c>
      <c r="J785">
        <v>625000</v>
      </c>
    </row>
    <row r="786" spans="1:10" x14ac:dyDescent="0.3">
      <c r="A786" t="s">
        <v>870</v>
      </c>
      <c r="B786" s="3">
        <v>46214</v>
      </c>
      <c r="C786" t="s">
        <v>55</v>
      </c>
      <c r="D786" t="s">
        <v>56</v>
      </c>
      <c r="E786" t="s">
        <v>24</v>
      </c>
      <c r="F786" t="s">
        <v>14</v>
      </c>
      <c r="G786" t="s">
        <v>57</v>
      </c>
      <c r="H786" s="5">
        <v>305000</v>
      </c>
      <c r="I786">
        <v>275000</v>
      </c>
      <c r="J786">
        <v>30000</v>
      </c>
    </row>
    <row r="787" spans="1:10" x14ac:dyDescent="0.3">
      <c r="A787" t="s">
        <v>871</v>
      </c>
      <c r="B787" s="3">
        <v>46214</v>
      </c>
      <c r="C787" t="s">
        <v>11</v>
      </c>
      <c r="D787" t="s">
        <v>12</v>
      </c>
      <c r="E787" t="s">
        <v>13</v>
      </c>
      <c r="F787" t="s">
        <v>20</v>
      </c>
      <c r="G787" t="s">
        <v>61</v>
      </c>
      <c r="H787" s="5">
        <v>675000</v>
      </c>
      <c r="I787">
        <v>650000</v>
      </c>
      <c r="J787">
        <v>25000</v>
      </c>
    </row>
    <row r="788" spans="1:10" x14ac:dyDescent="0.3">
      <c r="A788" t="s">
        <v>872</v>
      </c>
      <c r="B788" s="3">
        <v>46214</v>
      </c>
      <c r="C788" t="s">
        <v>22</v>
      </c>
      <c r="D788" t="s">
        <v>23</v>
      </c>
      <c r="E788" t="s">
        <v>24</v>
      </c>
      <c r="F788" t="s">
        <v>20</v>
      </c>
      <c r="G788" t="s">
        <v>61</v>
      </c>
      <c r="H788" s="5">
        <v>700000</v>
      </c>
      <c r="I788">
        <v>575000</v>
      </c>
      <c r="J788">
        <v>125000</v>
      </c>
    </row>
    <row r="789" spans="1:10" x14ac:dyDescent="0.3">
      <c r="A789" t="s">
        <v>873</v>
      </c>
      <c r="B789" s="3">
        <v>46215</v>
      </c>
      <c r="C789" t="s">
        <v>62</v>
      </c>
      <c r="D789" t="s">
        <v>63</v>
      </c>
      <c r="E789" t="s">
        <v>52</v>
      </c>
      <c r="F789" t="s">
        <v>20</v>
      </c>
      <c r="G789" t="s">
        <v>31</v>
      </c>
      <c r="H789" s="5">
        <v>875000</v>
      </c>
      <c r="I789">
        <v>800000</v>
      </c>
      <c r="J789">
        <v>75000</v>
      </c>
    </row>
    <row r="790" spans="1:10" x14ac:dyDescent="0.3">
      <c r="A790" t="s">
        <v>874</v>
      </c>
      <c r="B790" s="3">
        <v>46215</v>
      </c>
      <c r="C790" t="s">
        <v>25</v>
      </c>
      <c r="D790" t="s">
        <v>26</v>
      </c>
      <c r="E790" t="s">
        <v>27</v>
      </c>
      <c r="F790" t="s">
        <v>20</v>
      </c>
      <c r="G790" t="s">
        <v>15</v>
      </c>
      <c r="H790" s="5">
        <v>3300000</v>
      </c>
      <c r="I790">
        <v>2500000</v>
      </c>
      <c r="J790">
        <v>800000</v>
      </c>
    </row>
    <row r="791" spans="1:10" x14ac:dyDescent="0.3">
      <c r="A791" t="s">
        <v>875</v>
      </c>
      <c r="B791" s="3">
        <v>46216</v>
      </c>
      <c r="C791" t="s">
        <v>35</v>
      </c>
      <c r="D791" t="s">
        <v>36</v>
      </c>
      <c r="E791" t="s">
        <v>37</v>
      </c>
      <c r="F791" t="s">
        <v>14</v>
      </c>
      <c r="G791" t="s">
        <v>15</v>
      </c>
      <c r="H791" s="5">
        <v>3825000</v>
      </c>
      <c r="I791">
        <v>3275000</v>
      </c>
      <c r="J791">
        <v>550000</v>
      </c>
    </row>
    <row r="792" spans="1:10" x14ac:dyDescent="0.3">
      <c r="A792" t="s">
        <v>876</v>
      </c>
      <c r="B792" s="3">
        <v>46216</v>
      </c>
      <c r="C792" t="s">
        <v>38</v>
      </c>
      <c r="D792" t="s">
        <v>39</v>
      </c>
      <c r="E792" t="s">
        <v>24</v>
      </c>
      <c r="F792" t="s">
        <v>14</v>
      </c>
      <c r="G792" t="s">
        <v>61</v>
      </c>
      <c r="H792" s="5">
        <v>475000</v>
      </c>
      <c r="I792">
        <v>450000</v>
      </c>
      <c r="J792">
        <v>25000</v>
      </c>
    </row>
    <row r="793" spans="1:10" x14ac:dyDescent="0.3">
      <c r="A793" t="s">
        <v>877</v>
      </c>
      <c r="B793" s="3">
        <v>46217</v>
      </c>
      <c r="C793" t="s">
        <v>62</v>
      </c>
      <c r="D793" t="s">
        <v>63</v>
      </c>
      <c r="E793" t="s">
        <v>52</v>
      </c>
      <c r="F793" t="s">
        <v>20</v>
      </c>
      <c r="G793" t="s">
        <v>57</v>
      </c>
      <c r="H793" s="5">
        <v>155000</v>
      </c>
      <c r="I793">
        <v>0</v>
      </c>
      <c r="J793">
        <v>0</v>
      </c>
    </row>
    <row r="794" spans="1:10" x14ac:dyDescent="0.3">
      <c r="A794" t="s">
        <v>878</v>
      </c>
      <c r="B794" s="3">
        <v>46217</v>
      </c>
      <c r="C794" t="s">
        <v>41</v>
      </c>
      <c r="D794" t="s">
        <v>42</v>
      </c>
      <c r="E794" t="s">
        <v>43</v>
      </c>
      <c r="F794" t="s">
        <v>20</v>
      </c>
      <c r="G794" t="s">
        <v>58</v>
      </c>
      <c r="H794" s="5">
        <v>825000</v>
      </c>
      <c r="I794">
        <v>625000</v>
      </c>
      <c r="J794">
        <v>200000</v>
      </c>
    </row>
    <row r="795" spans="1:10" x14ac:dyDescent="0.3">
      <c r="A795" t="s">
        <v>879</v>
      </c>
      <c r="B795" s="3">
        <v>46217</v>
      </c>
      <c r="C795" t="s">
        <v>41</v>
      </c>
      <c r="D795" t="s">
        <v>42</v>
      </c>
      <c r="E795" t="s">
        <v>43</v>
      </c>
      <c r="F795" t="s">
        <v>14</v>
      </c>
      <c r="G795" t="s">
        <v>28</v>
      </c>
      <c r="H795" s="5">
        <v>380000</v>
      </c>
      <c r="I795">
        <v>375000</v>
      </c>
      <c r="J795">
        <v>5000</v>
      </c>
    </row>
    <row r="796" spans="1:10" x14ac:dyDescent="0.3">
      <c r="A796" t="s">
        <v>880</v>
      </c>
      <c r="B796" s="3">
        <v>46217</v>
      </c>
      <c r="C796" t="s">
        <v>11</v>
      </c>
      <c r="D796" t="s">
        <v>12</v>
      </c>
      <c r="E796" t="s">
        <v>13</v>
      </c>
      <c r="F796" t="s">
        <v>14</v>
      </c>
      <c r="G796" t="s">
        <v>57</v>
      </c>
      <c r="H796" s="5">
        <v>380000</v>
      </c>
      <c r="I796">
        <v>0</v>
      </c>
      <c r="J796">
        <v>0</v>
      </c>
    </row>
    <row r="797" spans="1:10" x14ac:dyDescent="0.3">
      <c r="A797" t="s">
        <v>881</v>
      </c>
      <c r="B797" s="3">
        <v>46217</v>
      </c>
      <c r="C797" t="s">
        <v>50</v>
      </c>
      <c r="D797" t="s">
        <v>51</v>
      </c>
      <c r="E797" t="s">
        <v>52</v>
      </c>
      <c r="F797" t="s">
        <v>20</v>
      </c>
      <c r="G797" t="s">
        <v>40</v>
      </c>
      <c r="H797" s="5">
        <v>675000</v>
      </c>
      <c r="I797">
        <v>650000</v>
      </c>
      <c r="J797">
        <v>25000</v>
      </c>
    </row>
    <row r="798" spans="1:10" x14ac:dyDescent="0.3">
      <c r="A798" t="s">
        <v>882</v>
      </c>
      <c r="B798" s="3">
        <v>46217</v>
      </c>
      <c r="C798" t="s">
        <v>66</v>
      </c>
      <c r="D798" t="s">
        <v>67</v>
      </c>
      <c r="E798" t="s">
        <v>13</v>
      </c>
      <c r="F798" t="s">
        <v>20</v>
      </c>
      <c r="G798" t="s">
        <v>40</v>
      </c>
      <c r="H798" s="5">
        <v>750000</v>
      </c>
      <c r="I798">
        <v>700000</v>
      </c>
      <c r="J798">
        <v>50000</v>
      </c>
    </row>
    <row r="799" spans="1:10" x14ac:dyDescent="0.3">
      <c r="A799" t="s">
        <v>883</v>
      </c>
      <c r="B799" s="3">
        <v>46218</v>
      </c>
      <c r="C799" t="s">
        <v>46</v>
      </c>
      <c r="D799" t="s">
        <v>47</v>
      </c>
      <c r="E799" t="s">
        <v>37</v>
      </c>
      <c r="F799" t="s">
        <v>20</v>
      </c>
      <c r="G799" t="s">
        <v>61</v>
      </c>
      <c r="H799" s="5">
        <v>300000</v>
      </c>
      <c r="I799">
        <v>250000</v>
      </c>
      <c r="J799">
        <v>50000</v>
      </c>
    </row>
    <row r="800" spans="1:10" x14ac:dyDescent="0.3">
      <c r="A800" t="s">
        <v>884</v>
      </c>
      <c r="B800" s="3">
        <v>46218</v>
      </c>
      <c r="C800" t="s">
        <v>32</v>
      </c>
      <c r="D800" t="s">
        <v>33</v>
      </c>
      <c r="E800" t="s">
        <v>27</v>
      </c>
      <c r="F800" t="s">
        <v>14</v>
      </c>
      <c r="G800" t="s">
        <v>34</v>
      </c>
      <c r="H800" s="5">
        <v>275000</v>
      </c>
      <c r="I800">
        <v>225000</v>
      </c>
      <c r="J800">
        <v>50000</v>
      </c>
    </row>
    <row r="801" spans="1:10" x14ac:dyDescent="0.3">
      <c r="A801" t="s">
        <v>885</v>
      </c>
      <c r="B801" s="3">
        <v>46218</v>
      </c>
      <c r="C801" t="s">
        <v>11</v>
      </c>
      <c r="D801" t="s">
        <v>12</v>
      </c>
      <c r="E801" t="s">
        <v>13</v>
      </c>
      <c r="F801" t="s">
        <v>20</v>
      </c>
      <c r="G801" t="s">
        <v>61</v>
      </c>
      <c r="H801" s="5">
        <v>425000</v>
      </c>
      <c r="I801">
        <v>325000</v>
      </c>
      <c r="J801">
        <v>100000</v>
      </c>
    </row>
    <row r="802" spans="1:10" x14ac:dyDescent="0.3">
      <c r="A802" t="s">
        <v>886</v>
      </c>
      <c r="B802" s="3">
        <v>46218</v>
      </c>
      <c r="C802" t="s">
        <v>66</v>
      </c>
      <c r="D802" t="s">
        <v>67</v>
      </c>
      <c r="E802" t="s">
        <v>13</v>
      </c>
      <c r="F802" t="s">
        <v>20</v>
      </c>
      <c r="G802" t="s">
        <v>31</v>
      </c>
      <c r="H802" s="5">
        <v>675000</v>
      </c>
      <c r="I802">
        <v>550000</v>
      </c>
      <c r="J802">
        <v>125000</v>
      </c>
    </row>
    <row r="803" spans="1:10" x14ac:dyDescent="0.3">
      <c r="A803" t="s">
        <v>887</v>
      </c>
      <c r="B803" s="3">
        <v>46218</v>
      </c>
      <c r="C803" t="s">
        <v>66</v>
      </c>
      <c r="D803" t="s">
        <v>67</v>
      </c>
      <c r="E803" t="s">
        <v>13</v>
      </c>
      <c r="F803" t="s">
        <v>20</v>
      </c>
      <c r="G803" t="s">
        <v>58</v>
      </c>
      <c r="H803" s="5">
        <v>225000</v>
      </c>
      <c r="I803">
        <v>200000</v>
      </c>
      <c r="J803">
        <v>25000</v>
      </c>
    </row>
    <row r="804" spans="1:10" x14ac:dyDescent="0.3">
      <c r="A804" t="s">
        <v>888</v>
      </c>
      <c r="B804" s="3">
        <v>46218</v>
      </c>
      <c r="C804" t="s">
        <v>22</v>
      </c>
      <c r="D804" t="s">
        <v>23</v>
      </c>
      <c r="E804" t="s">
        <v>24</v>
      </c>
      <c r="F804" t="s">
        <v>14</v>
      </c>
      <c r="G804" t="s">
        <v>57</v>
      </c>
      <c r="H804" s="5">
        <v>405000</v>
      </c>
      <c r="I804">
        <v>350000</v>
      </c>
      <c r="J804">
        <v>55000</v>
      </c>
    </row>
    <row r="805" spans="1:10" x14ac:dyDescent="0.3">
      <c r="A805" t="s">
        <v>889</v>
      </c>
      <c r="B805" s="3">
        <v>46219</v>
      </c>
      <c r="C805" t="s">
        <v>46</v>
      </c>
      <c r="D805" t="s">
        <v>47</v>
      </c>
      <c r="E805" t="s">
        <v>37</v>
      </c>
      <c r="F805" t="s">
        <v>14</v>
      </c>
      <c r="G805" t="s">
        <v>61</v>
      </c>
      <c r="H805" s="5">
        <v>375000</v>
      </c>
      <c r="I805">
        <v>0</v>
      </c>
      <c r="J805">
        <v>0</v>
      </c>
    </row>
    <row r="806" spans="1:10" x14ac:dyDescent="0.3">
      <c r="A806" t="s">
        <v>890</v>
      </c>
      <c r="B806" s="3">
        <v>46219</v>
      </c>
      <c r="C806" t="s">
        <v>55</v>
      </c>
      <c r="D806" t="s">
        <v>56</v>
      </c>
      <c r="E806" t="s">
        <v>24</v>
      </c>
      <c r="F806" t="s">
        <v>14</v>
      </c>
      <c r="G806" t="s">
        <v>31</v>
      </c>
      <c r="H806" s="5">
        <v>500000</v>
      </c>
      <c r="I806">
        <v>450000</v>
      </c>
      <c r="J806">
        <v>50000</v>
      </c>
    </row>
    <row r="807" spans="1:10" x14ac:dyDescent="0.3">
      <c r="A807" t="s">
        <v>891</v>
      </c>
      <c r="B807" s="3">
        <v>46219</v>
      </c>
      <c r="C807" t="s">
        <v>41</v>
      </c>
      <c r="D807" t="s">
        <v>42</v>
      </c>
      <c r="E807" t="s">
        <v>43</v>
      </c>
      <c r="F807" t="s">
        <v>14</v>
      </c>
      <c r="G807" t="s">
        <v>57</v>
      </c>
      <c r="H807" s="5">
        <v>405000</v>
      </c>
      <c r="I807">
        <v>400000</v>
      </c>
      <c r="J807">
        <v>5000</v>
      </c>
    </row>
    <row r="808" spans="1:10" x14ac:dyDescent="0.3">
      <c r="A808" t="s">
        <v>892</v>
      </c>
      <c r="B808" s="3">
        <v>46220</v>
      </c>
      <c r="C808" t="s">
        <v>55</v>
      </c>
      <c r="D808" t="s">
        <v>56</v>
      </c>
      <c r="E808" t="s">
        <v>24</v>
      </c>
      <c r="F808" t="s">
        <v>20</v>
      </c>
      <c r="G808" t="s">
        <v>58</v>
      </c>
      <c r="H808" s="5">
        <v>875000</v>
      </c>
      <c r="I808">
        <v>800000</v>
      </c>
      <c r="J808">
        <v>75000</v>
      </c>
    </row>
    <row r="809" spans="1:10" x14ac:dyDescent="0.3">
      <c r="A809" t="s">
        <v>893</v>
      </c>
      <c r="B809" s="3">
        <v>46220</v>
      </c>
      <c r="C809" t="s">
        <v>44</v>
      </c>
      <c r="D809" t="s">
        <v>45</v>
      </c>
      <c r="E809" t="s">
        <v>43</v>
      </c>
      <c r="F809" t="s">
        <v>20</v>
      </c>
      <c r="G809" t="s">
        <v>31</v>
      </c>
      <c r="H809" s="5">
        <v>350000</v>
      </c>
      <c r="I809">
        <v>250000</v>
      </c>
      <c r="J809">
        <v>100000</v>
      </c>
    </row>
    <row r="810" spans="1:10" x14ac:dyDescent="0.3">
      <c r="A810" t="s">
        <v>894</v>
      </c>
      <c r="B810" s="3">
        <v>46220</v>
      </c>
      <c r="C810" t="s">
        <v>66</v>
      </c>
      <c r="D810" t="s">
        <v>67</v>
      </c>
      <c r="E810" t="s">
        <v>13</v>
      </c>
      <c r="F810" t="s">
        <v>14</v>
      </c>
      <c r="G810" t="s">
        <v>57</v>
      </c>
      <c r="H810" s="5">
        <v>280000</v>
      </c>
      <c r="I810">
        <v>0</v>
      </c>
      <c r="J810">
        <v>0</v>
      </c>
    </row>
    <row r="811" spans="1:10" x14ac:dyDescent="0.3">
      <c r="A811" t="s">
        <v>895</v>
      </c>
      <c r="B811" s="3">
        <v>46220</v>
      </c>
      <c r="C811" t="s">
        <v>53</v>
      </c>
      <c r="D811" t="s">
        <v>54</v>
      </c>
      <c r="E811" t="s">
        <v>43</v>
      </c>
      <c r="F811" t="s">
        <v>14</v>
      </c>
      <c r="G811" t="s">
        <v>61</v>
      </c>
      <c r="H811" s="5">
        <v>100000</v>
      </c>
      <c r="I811">
        <v>100000</v>
      </c>
      <c r="J811">
        <v>0</v>
      </c>
    </row>
    <row r="812" spans="1:10" x14ac:dyDescent="0.3">
      <c r="A812" t="s">
        <v>896</v>
      </c>
      <c r="B812" s="3">
        <v>46220</v>
      </c>
      <c r="C812" t="s">
        <v>53</v>
      </c>
      <c r="D812" t="s">
        <v>54</v>
      </c>
      <c r="E812" t="s">
        <v>43</v>
      </c>
      <c r="F812" t="s">
        <v>20</v>
      </c>
      <c r="G812" t="s">
        <v>31</v>
      </c>
      <c r="H812" s="5">
        <v>1150000</v>
      </c>
      <c r="I812">
        <v>1100000</v>
      </c>
      <c r="J812">
        <v>50000</v>
      </c>
    </row>
    <row r="813" spans="1:10" x14ac:dyDescent="0.3">
      <c r="A813" t="s">
        <v>897</v>
      </c>
      <c r="B813" s="3">
        <v>46220</v>
      </c>
      <c r="C813" t="s">
        <v>53</v>
      </c>
      <c r="D813" t="s">
        <v>54</v>
      </c>
      <c r="E813" t="s">
        <v>43</v>
      </c>
      <c r="F813" t="s">
        <v>20</v>
      </c>
      <c r="G813" t="s">
        <v>15</v>
      </c>
      <c r="H813" s="5">
        <v>625000</v>
      </c>
      <c r="I813">
        <v>550000</v>
      </c>
      <c r="J813">
        <v>75000</v>
      </c>
    </row>
    <row r="814" spans="1:10" x14ac:dyDescent="0.3">
      <c r="A814" t="s">
        <v>898</v>
      </c>
      <c r="B814" s="3">
        <v>46220</v>
      </c>
      <c r="C814" t="s">
        <v>22</v>
      </c>
      <c r="D814" t="s">
        <v>23</v>
      </c>
      <c r="E814" t="s">
        <v>24</v>
      </c>
      <c r="F814" t="s">
        <v>14</v>
      </c>
      <c r="G814" t="s">
        <v>57</v>
      </c>
      <c r="H814" s="5">
        <v>455000</v>
      </c>
      <c r="I814">
        <v>350000</v>
      </c>
      <c r="J814">
        <v>105000</v>
      </c>
    </row>
    <row r="815" spans="1:10" x14ac:dyDescent="0.3">
      <c r="A815" t="s">
        <v>899</v>
      </c>
      <c r="B815" s="3">
        <v>46221</v>
      </c>
      <c r="C815" t="s">
        <v>55</v>
      </c>
      <c r="D815" t="s">
        <v>56</v>
      </c>
      <c r="E815" t="s">
        <v>24</v>
      </c>
      <c r="F815" t="s">
        <v>20</v>
      </c>
      <c r="G815" t="s">
        <v>58</v>
      </c>
      <c r="H815" s="5">
        <v>350000</v>
      </c>
      <c r="I815">
        <v>250000</v>
      </c>
      <c r="J815">
        <v>100000</v>
      </c>
    </row>
    <row r="816" spans="1:10" x14ac:dyDescent="0.3">
      <c r="A816" t="s">
        <v>900</v>
      </c>
      <c r="B816" s="3">
        <v>46221</v>
      </c>
      <c r="C816" t="s">
        <v>38</v>
      </c>
      <c r="D816" t="s">
        <v>39</v>
      </c>
      <c r="E816" t="s">
        <v>24</v>
      </c>
      <c r="F816" t="s">
        <v>14</v>
      </c>
      <c r="G816" t="s">
        <v>31</v>
      </c>
      <c r="H816" s="5">
        <v>1200000</v>
      </c>
      <c r="I816">
        <v>1100000</v>
      </c>
      <c r="J816">
        <v>100000</v>
      </c>
    </row>
    <row r="817" spans="1:10" x14ac:dyDescent="0.3">
      <c r="A817" t="s">
        <v>901</v>
      </c>
      <c r="B817" s="3">
        <v>46221</v>
      </c>
      <c r="C817" t="s">
        <v>17</v>
      </c>
      <c r="D817" t="s">
        <v>18</v>
      </c>
      <c r="E817" t="s">
        <v>19</v>
      </c>
      <c r="F817" t="s">
        <v>20</v>
      </c>
      <c r="G817" t="s">
        <v>31</v>
      </c>
      <c r="H817" s="5">
        <v>1275000</v>
      </c>
      <c r="I817">
        <v>1275000</v>
      </c>
      <c r="J817">
        <v>0</v>
      </c>
    </row>
    <row r="818" spans="1:10" x14ac:dyDescent="0.3">
      <c r="A818" t="s">
        <v>902</v>
      </c>
      <c r="B818" s="3">
        <v>46221</v>
      </c>
      <c r="C818" t="s">
        <v>50</v>
      </c>
      <c r="D818" t="s">
        <v>51</v>
      </c>
      <c r="E818" t="s">
        <v>52</v>
      </c>
      <c r="F818" t="s">
        <v>14</v>
      </c>
      <c r="G818" t="s">
        <v>57</v>
      </c>
      <c r="H818" s="5">
        <v>155000</v>
      </c>
      <c r="I818">
        <v>0</v>
      </c>
      <c r="J818">
        <v>0</v>
      </c>
    </row>
    <row r="819" spans="1:10" x14ac:dyDescent="0.3">
      <c r="A819" t="s">
        <v>903</v>
      </c>
      <c r="B819" s="3">
        <v>46221</v>
      </c>
      <c r="C819" t="s">
        <v>66</v>
      </c>
      <c r="D819" t="s">
        <v>67</v>
      </c>
      <c r="E819" t="s">
        <v>13</v>
      </c>
      <c r="F819" t="s">
        <v>20</v>
      </c>
      <c r="G819" t="s">
        <v>31</v>
      </c>
      <c r="H819" s="5">
        <v>325000</v>
      </c>
      <c r="I819">
        <v>225000</v>
      </c>
      <c r="J819">
        <v>100000</v>
      </c>
    </row>
    <row r="820" spans="1:10" x14ac:dyDescent="0.3">
      <c r="A820" t="s">
        <v>904</v>
      </c>
      <c r="B820" s="3">
        <v>46222</v>
      </c>
      <c r="C820" t="s">
        <v>29</v>
      </c>
      <c r="D820" t="s">
        <v>30</v>
      </c>
      <c r="E820" t="s">
        <v>13</v>
      </c>
      <c r="F820" t="s">
        <v>20</v>
      </c>
      <c r="G820" t="s">
        <v>15</v>
      </c>
      <c r="H820" s="5">
        <v>3625000</v>
      </c>
      <c r="I820">
        <v>3400000</v>
      </c>
      <c r="J820">
        <v>225000</v>
      </c>
    </row>
    <row r="821" spans="1:10" x14ac:dyDescent="0.3">
      <c r="A821" t="s">
        <v>905</v>
      </c>
      <c r="B821" s="3">
        <v>46222</v>
      </c>
      <c r="C821" t="s">
        <v>35</v>
      </c>
      <c r="D821" t="s">
        <v>36</v>
      </c>
      <c r="E821" t="s">
        <v>37</v>
      </c>
      <c r="F821" t="s">
        <v>14</v>
      </c>
      <c r="G821" t="s">
        <v>57</v>
      </c>
      <c r="H821" s="5">
        <v>180000</v>
      </c>
      <c r="I821">
        <v>175000</v>
      </c>
      <c r="J821">
        <v>5000</v>
      </c>
    </row>
    <row r="822" spans="1:10" x14ac:dyDescent="0.3">
      <c r="A822" t="s">
        <v>906</v>
      </c>
      <c r="B822" s="3">
        <v>46222</v>
      </c>
      <c r="C822" t="s">
        <v>38</v>
      </c>
      <c r="D822" t="s">
        <v>39</v>
      </c>
      <c r="E822" t="s">
        <v>24</v>
      </c>
      <c r="F822" t="s">
        <v>20</v>
      </c>
      <c r="G822" t="s">
        <v>58</v>
      </c>
      <c r="H822" s="5">
        <v>275000</v>
      </c>
      <c r="I822">
        <v>250000</v>
      </c>
      <c r="J822">
        <v>25000</v>
      </c>
    </row>
    <row r="823" spans="1:10" x14ac:dyDescent="0.3">
      <c r="A823" t="s">
        <v>907</v>
      </c>
      <c r="B823" s="3">
        <v>46222</v>
      </c>
      <c r="C823" t="s">
        <v>44</v>
      </c>
      <c r="D823" t="s">
        <v>45</v>
      </c>
      <c r="E823" t="s">
        <v>43</v>
      </c>
      <c r="F823" t="s">
        <v>14</v>
      </c>
      <c r="G823" t="s">
        <v>34</v>
      </c>
      <c r="H823" s="5">
        <v>175000</v>
      </c>
      <c r="I823">
        <v>150000</v>
      </c>
      <c r="J823">
        <v>25000</v>
      </c>
    </row>
    <row r="824" spans="1:10" x14ac:dyDescent="0.3">
      <c r="A824" t="s">
        <v>908</v>
      </c>
      <c r="B824" s="3">
        <v>46222</v>
      </c>
      <c r="C824" t="s">
        <v>66</v>
      </c>
      <c r="D824" t="s">
        <v>67</v>
      </c>
      <c r="E824" t="s">
        <v>13</v>
      </c>
      <c r="F824" t="s">
        <v>20</v>
      </c>
      <c r="G824" t="s">
        <v>34</v>
      </c>
      <c r="H824" s="5">
        <v>350000</v>
      </c>
      <c r="I824">
        <v>300000</v>
      </c>
      <c r="J824">
        <v>50000</v>
      </c>
    </row>
    <row r="825" spans="1:10" x14ac:dyDescent="0.3">
      <c r="A825" t="s">
        <v>909</v>
      </c>
      <c r="B825" s="3">
        <v>46223</v>
      </c>
      <c r="C825" t="s">
        <v>32</v>
      </c>
      <c r="D825" t="s">
        <v>33</v>
      </c>
      <c r="E825" t="s">
        <v>27</v>
      </c>
      <c r="F825" t="s">
        <v>20</v>
      </c>
      <c r="G825" t="s">
        <v>40</v>
      </c>
      <c r="H825" s="5">
        <v>100000</v>
      </c>
      <c r="I825">
        <v>100000</v>
      </c>
      <c r="J825">
        <v>0</v>
      </c>
    </row>
    <row r="826" spans="1:10" x14ac:dyDescent="0.3">
      <c r="A826" t="s">
        <v>910</v>
      </c>
      <c r="B826" s="3">
        <v>46223</v>
      </c>
      <c r="C826" t="s">
        <v>32</v>
      </c>
      <c r="D826" t="s">
        <v>33</v>
      </c>
      <c r="E826" t="s">
        <v>27</v>
      </c>
      <c r="F826" t="s">
        <v>20</v>
      </c>
      <c r="G826" t="s">
        <v>34</v>
      </c>
      <c r="H826" s="5">
        <v>250000</v>
      </c>
      <c r="I826">
        <v>225000</v>
      </c>
      <c r="J826">
        <v>25000</v>
      </c>
    </row>
    <row r="827" spans="1:10" x14ac:dyDescent="0.3">
      <c r="A827" t="s">
        <v>911</v>
      </c>
      <c r="B827" s="3">
        <v>46223</v>
      </c>
      <c r="C827" t="s">
        <v>55</v>
      </c>
      <c r="D827" t="s">
        <v>56</v>
      </c>
      <c r="E827" t="s">
        <v>24</v>
      </c>
      <c r="F827" t="s">
        <v>20</v>
      </c>
      <c r="G827" t="s">
        <v>15</v>
      </c>
      <c r="H827" s="5">
        <v>1175000</v>
      </c>
      <c r="I827">
        <v>0</v>
      </c>
      <c r="J827">
        <v>0</v>
      </c>
    </row>
    <row r="828" spans="1:10" x14ac:dyDescent="0.3">
      <c r="A828" t="s">
        <v>912</v>
      </c>
      <c r="B828" s="3">
        <v>46223</v>
      </c>
      <c r="C828" t="s">
        <v>38</v>
      </c>
      <c r="D828" t="s">
        <v>39</v>
      </c>
      <c r="E828" t="s">
        <v>24</v>
      </c>
      <c r="F828" t="s">
        <v>14</v>
      </c>
      <c r="G828" t="s">
        <v>61</v>
      </c>
      <c r="H828" s="5">
        <v>175000</v>
      </c>
      <c r="I828">
        <v>0</v>
      </c>
      <c r="J828">
        <v>0</v>
      </c>
    </row>
    <row r="829" spans="1:10" x14ac:dyDescent="0.3">
      <c r="A829" t="s">
        <v>913</v>
      </c>
      <c r="B829" s="3">
        <v>46223</v>
      </c>
      <c r="C829" t="s">
        <v>17</v>
      </c>
      <c r="D829" t="s">
        <v>18</v>
      </c>
      <c r="E829" t="s">
        <v>19</v>
      </c>
      <c r="F829" t="s">
        <v>14</v>
      </c>
      <c r="G829" t="s">
        <v>40</v>
      </c>
      <c r="H829" s="5">
        <v>275000</v>
      </c>
      <c r="I829">
        <v>225000</v>
      </c>
      <c r="J829">
        <v>50000</v>
      </c>
    </row>
    <row r="830" spans="1:10" x14ac:dyDescent="0.3">
      <c r="A830" t="s">
        <v>914</v>
      </c>
      <c r="B830" s="3">
        <v>46224</v>
      </c>
      <c r="C830" t="s">
        <v>32</v>
      </c>
      <c r="D830" t="s">
        <v>33</v>
      </c>
      <c r="E830" t="s">
        <v>27</v>
      </c>
      <c r="F830" t="s">
        <v>20</v>
      </c>
      <c r="G830" t="s">
        <v>31</v>
      </c>
      <c r="H830" s="5">
        <v>375000</v>
      </c>
      <c r="I830">
        <v>0</v>
      </c>
      <c r="J830">
        <v>0</v>
      </c>
    </row>
    <row r="831" spans="1:10" x14ac:dyDescent="0.3">
      <c r="A831" t="s">
        <v>915</v>
      </c>
      <c r="B831" s="3">
        <v>46224</v>
      </c>
      <c r="C831" t="s">
        <v>48</v>
      </c>
      <c r="D831" t="s">
        <v>49</v>
      </c>
      <c r="E831" t="s">
        <v>19</v>
      </c>
      <c r="F831" t="s">
        <v>14</v>
      </c>
      <c r="G831" t="s">
        <v>31</v>
      </c>
      <c r="H831" s="5">
        <v>1375000</v>
      </c>
      <c r="I831">
        <v>1025000</v>
      </c>
      <c r="J831">
        <v>350000</v>
      </c>
    </row>
    <row r="832" spans="1:10" x14ac:dyDescent="0.3">
      <c r="A832" t="s">
        <v>916</v>
      </c>
      <c r="B832" s="3">
        <v>46224</v>
      </c>
      <c r="C832" t="s">
        <v>68</v>
      </c>
      <c r="D832" t="s">
        <v>69</v>
      </c>
      <c r="E832" t="s">
        <v>27</v>
      </c>
      <c r="F832" t="s">
        <v>20</v>
      </c>
      <c r="G832" t="s">
        <v>31</v>
      </c>
      <c r="H832" s="5">
        <v>525000</v>
      </c>
      <c r="I832">
        <v>400000</v>
      </c>
      <c r="J832">
        <v>125000</v>
      </c>
    </row>
    <row r="833" spans="1:10" x14ac:dyDescent="0.3">
      <c r="A833" t="s">
        <v>917</v>
      </c>
      <c r="B833" s="3">
        <v>46224</v>
      </c>
      <c r="C833" t="s">
        <v>44</v>
      </c>
      <c r="D833" t="s">
        <v>45</v>
      </c>
      <c r="E833" t="s">
        <v>43</v>
      </c>
      <c r="F833" t="s">
        <v>14</v>
      </c>
      <c r="G833" t="s">
        <v>31</v>
      </c>
      <c r="H833" s="5">
        <v>225000</v>
      </c>
      <c r="I833">
        <v>200000</v>
      </c>
      <c r="J833">
        <v>25000</v>
      </c>
    </row>
    <row r="834" spans="1:10" x14ac:dyDescent="0.3">
      <c r="A834" t="s">
        <v>918</v>
      </c>
      <c r="B834" s="3">
        <v>46224</v>
      </c>
      <c r="C834" t="s">
        <v>53</v>
      </c>
      <c r="D834" t="s">
        <v>54</v>
      </c>
      <c r="E834" t="s">
        <v>43</v>
      </c>
      <c r="F834" t="s">
        <v>20</v>
      </c>
      <c r="G834" t="s">
        <v>15</v>
      </c>
      <c r="H834" s="5">
        <v>800000</v>
      </c>
      <c r="I834">
        <v>775000</v>
      </c>
      <c r="J834">
        <v>25000</v>
      </c>
    </row>
    <row r="835" spans="1:10" x14ac:dyDescent="0.3">
      <c r="A835" t="s">
        <v>919</v>
      </c>
      <c r="B835" s="3">
        <v>46224</v>
      </c>
      <c r="C835" t="s">
        <v>22</v>
      </c>
      <c r="D835" t="s">
        <v>23</v>
      </c>
      <c r="E835" t="s">
        <v>24</v>
      </c>
      <c r="F835" t="s">
        <v>20</v>
      </c>
      <c r="G835" t="s">
        <v>58</v>
      </c>
      <c r="H835" s="5">
        <v>750000</v>
      </c>
      <c r="I835">
        <v>600000</v>
      </c>
      <c r="J835">
        <v>150000</v>
      </c>
    </row>
    <row r="836" spans="1:10" x14ac:dyDescent="0.3">
      <c r="A836" t="s">
        <v>920</v>
      </c>
      <c r="B836" s="3">
        <v>46225</v>
      </c>
      <c r="C836" t="s">
        <v>35</v>
      </c>
      <c r="D836" t="s">
        <v>36</v>
      </c>
      <c r="E836" t="s">
        <v>37</v>
      </c>
      <c r="F836" t="s">
        <v>20</v>
      </c>
      <c r="G836" t="s">
        <v>31</v>
      </c>
      <c r="H836" s="5">
        <v>775000</v>
      </c>
      <c r="I836">
        <v>575000</v>
      </c>
      <c r="J836">
        <v>200000</v>
      </c>
    </row>
    <row r="837" spans="1:10" x14ac:dyDescent="0.3">
      <c r="A837" t="s">
        <v>921</v>
      </c>
      <c r="B837" s="3">
        <v>46225</v>
      </c>
      <c r="C837" t="s">
        <v>38</v>
      </c>
      <c r="D837" t="s">
        <v>39</v>
      </c>
      <c r="E837" t="s">
        <v>24</v>
      </c>
      <c r="F837" t="s">
        <v>20</v>
      </c>
      <c r="G837" t="s">
        <v>34</v>
      </c>
      <c r="H837" s="5">
        <v>275000</v>
      </c>
      <c r="I837">
        <v>250000</v>
      </c>
      <c r="J837">
        <v>25000</v>
      </c>
    </row>
    <row r="838" spans="1:10" x14ac:dyDescent="0.3">
      <c r="A838" t="s">
        <v>922</v>
      </c>
      <c r="B838" s="3">
        <v>46225</v>
      </c>
      <c r="C838" t="s">
        <v>17</v>
      </c>
      <c r="D838" t="s">
        <v>18</v>
      </c>
      <c r="E838" t="s">
        <v>19</v>
      </c>
      <c r="F838" t="s">
        <v>20</v>
      </c>
      <c r="G838" t="s">
        <v>15</v>
      </c>
      <c r="H838" s="5">
        <v>725000</v>
      </c>
      <c r="I838">
        <v>525000</v>
      </c>
      <c r="J838">
        <v>200000</v>
      </c>
    </row>
    <row r="839" spans="1:10" x14ac:dyDescent="0.3">
      <c r="A839" t="s">
        <v>923</v>
      </c>
      <c r="B839" s="3">
        <v>46225</v>
      </c>
      <c r="C839" t="s">
        <v>17</v>
      </c>
      <c r="D839" t="s">
        <v>18</v>
      </c>
      <c r="E839" t="s">
        <v>19</v>
      </c>
      <c r="F839" t="s">
        <v>20</v>
      </c>
      <c r="G839" t="s">
        <v>61</v>
      </c>
      <c r="H839" s="5">
        <v>375000</v>
      </c>
      <c r="I839">
        <v>275000</v>
      </c>
      <c r="J839">
        <v>100000</v>
      </c>
    </row>
    <row r="840" spans="1:10" x14ac:dyDescent="0.3">
      <c r="A840" t="s">
        <v>924</v>
      </c>
      <c r="B840" s="3">
        <v>46225</v>
      </c>
      <c r="C840" t="s">
        <v>22</v>
      </c>
      <c r="D840" t="s">
        <v>23</v>
      </c>
      <c r="E840" t="s">
        <v>24</v>
      </c>
      <c r="F840" t="s">
        <v>20</v>
      </c>
      <c r="G840" t="s">
        <v>58</v>
      </c>
      <c r="H840" s="5">
        <v>850000</v>
      </c>
      <c r="I840">
        <v>775000</v>
      </c>
      <c r="J840">
        <v>75000</v>
      </c>
    </row>
    <row r="841" spans="1:10" x14ac:dyDescent="0.3">
      <c r="A841" t="s">
        <v>925</v>
      </c>
      <c r="B841" s="3">
        <v>46227</v>
      </c>
      <c r="C841" t="s">
        <v>38</v>
      </c>
      <c r="D841" t="s">
        <v>39</v>
      </c>
      <c r="E841" t="s">
        <v>24</v>
      </c>
      <c r="F841" t="s">
        <v>14</v>
      </c>
      <c r="G841" t="s">
        <v>40</v>
      </c>
      <c r="H841" s="5">
        <v>625000</v>
      </c>
      <c r="I841">
        <v>550000</v>
      </c>
      <c r="J841">
        <v>75000</v>
      </c>
    </row>
    <row r="842" spans="1:10" x14ac:dyDescent="0.3">
      <c r="A842" t="s">
        <v>926</v>
      </c>
      <c r="B842" s="3">
        <v>46227</v>
      </c>
      <c r="C842" t="s">
        <v>17</v>
      </c>
      <c r="D842" t="s">
        <v>18</v>
      </c>
      <c r="E842" t="s">
        <v>19</v>
      </c>
      <c r="F842" t="s">
        <v>20</v>
      </c>
      <c r="G842" t="s">
        <v>15</v>
      </c>
      <c r="H842" s="5">
        <v>1400000</v>
      </c>
      <c r="I842">
        <v>0</v>
      </c>
      <c r="J842">
        <v>0</v>
      </c>
    </row>
    <row r="843" spans="1:10" x14ac:dyDescent="0.3">
      <c r="A843" t="s">
        <v>927</v>
      </c>
      <c r="B843" s="3">
        <v>46228</v>
      </c>
      <c r="C843" t="s">
        <v>11</v>
      </c>
      <c r="D843" t="s">
        <v>12</v>
      </c>
      <c r="E843" t="s">
        <v>13</v>
      </c>
      <c r="F843" t="s">
        <v>14</v>
      </c>
      <c r="G843" t="s">
        <v>58</v>
      </c>
      <c r="H843" s="5">
        <v>975000</v>
      </c>
      <c r="I843">
        <v>850000</v>
      </c>
      <c r="J843">
        <v>125000</v>
      </c>
    </row>
    <row r="844" spans="1:10" x14ac:dyDescent="0.3">
      <c r="A844" t="s">
        <v>928</v>
      </c>
      <c r="B844" s="3">
        <v>46229</v>
      </c>
      <c r="C844" t="s">
        <v>35</v>
      </c>
      <c r="D844" t="s">
        <v>36</v>
      </c>
      <c r="E844" t="s">
        <v>37</v>
      </c>
      <c r="F844" t="s">
        <v>14</v>
      </c>
      <c r="G844" t="s">
        <v>61</v>
      </c>
      <c r="H844" s="5">
        <v>100000</v>
      </c>
      <c r="I844">
        <v>0</v>
      </c>
      <c r="J844">
        <v>0</v>
      </c>
    </row>
    <row r="845" spans="1:10" x14ac:dyDescent="0.3">
      <c r="A845" t="s">
        <v>929</v>
      </c>
      <c r="B845" s="3">
        <v>46229</v>
      </c>
      <c r="C845" t="s">
        <v>44</v>
      </c>
      <c r="D845" t="s">
        <v>45</v>
      </c>
      <c r="E845" t="s">
        <v>43</v>
      </c>
      <c r="F845" t="s">
        <v>20</v>
      </c>
      <c r="G845" t="s">
        <v>61</v>
      </c>
      <c r="H845" s="5">
        <v>625000</v>
      </c>
      <c r="I845">
        <v>0</v>
      </c>
      <c r="J845">
        <v>0</v>
      </c>
    </row>
    <row r="846" spans="1:10" x14ac:dyDescent="0.3">
      <c r="A846" t="s">
        <v>930</v>
      </c>
      <c r="B846" s="3">
        <v>46229</v>
      </c>
      <c r="C846" t="s">
        <v>50</v>
      </c>
      <c r="D846" t="s">
        <v>51</v>
      </c>
      <c r="E846" t="s">
        <v>52</v>
      </c>
      <c r="F846" t="s">
        <v>14</v>
      </c>
      <c r="G846" t="s">
        <v>28</v>
      </c>
      <c r="H846" s="5">
        <v>355000</v>
      </c>
      <c r="I846">
        <v>325000</v>
      </c>
      <c r="J846">
        <v>30000</v>
      </c>
    </row>
    <row r="847" spans="1:10" x14ac:dyDescent="0.3">
      <c r="A847" t="s">
        <v>931</v>
      </c>
      <c r="B847" s="3">
        <v>46229</v>
      </c>
      <c r="C847" t="s">
        <v>22</v>
      </c>
      <c r="D847" t="s">
        <v>23</v>
      </c>
      <c r="E847" t="s">
        <v>24</v>
      </c>
      <c r="F847" t="s">
        <v>20</v>
      </c>
      <c r="G847" t="s">
        <v>31</v>
      </c>
      <c r="H847" s="5">
        <v>1300000</v>
      </c>
      <c r="I847">
        <v>0</v>
      </c>
      <c r="J847">
        <v>0</v>
      </c>
    </row>
    <row r="848" spans="1:10" x14ac:dyDescent="0.3">
      <c r="A848" t="s">
        <v>932</v>
      </c>
      <c r="B848" s="3">
        <v>46229</v>
      </c>
      <c r="C848" t="s">
        <v>59</v>
      </c>
      <c r="D848" t="s">
        <v>60</v>
      </c>
      <c r="E848" t="s">
        <v>19</v>
      </c>
      <c r="F848" t="s">
        <v>20</v>
      </c>
      <c r="G848" t="s">
        <v>34</v>
      </c>
      <c r="H848" s="5">
        <v>600000</v>
      </c>
      <c r="I848">
        <v>475000</v>
      </c>
      <c r="J848">
        <v>125000</v>
      </c>
    </row>
    <row r="849" spans="1:10" x14ac:dyDescent="0.3">
      <c r="A849" t="s">
        <v>933</v>
      </c>
      <c r="B849" s="3">
        <v>46229</v>
      </c>
      <c r="C849" t="s">
        <v>25</v>
      </c>
      <c r="D849" t="s">
        <v>26</v>
      </c>
      <c r="E849" t="s">
        <v>27</v>
      </c>
      <c r="F849" t="s">
        <v>14</v>
      </c>
      <c r="G849" t="s">
        <v>15</v>
      </c>
      <c r="H849" s="5">
        <v>2450000</v>
      </c>
      <c r="I849">
        <v>2250000</v>
      </c>
      <c r="J849">
        <v>200000</v>
      </c>
    </row>
    <row r="850" spans="1:10" x14ac:dyDescent="0.3">
      <c r="A850" t="s">
        <v>934</v>
      </c>
      <c r="B850" s="3">
        <v>46230</v>
      </c>
      <c r="C850" t="s">
        <v>44</v>
      </c>
      <c r="D850" t="s">
        <v>45</v>
      </c>
      <c r="E850" t="s">
        <v>43</v>
      </c>
      <c r="F850" t="s">
        <v>14</v>
      </c>
      <c r="G850" t="s">
        <v>31</v>
      </c>
      <c r="H850" s="5">
        <v>875000</v>
      </c>
      <c r="I850">
        <v>675000</v>
      </c>
      <c r="J850">
        <v>200000</v>
      </c>
    </row>
    <row r="851" spans="1:10" x14ac:dyDescent="0.3">
      <c r="A851" t="s">
        <v>935</v>
      </c>
      <c r="B851" s="3">
        <v>46230</v>
      </c>
      <c r="C851" t="s">
        <v>50</v>
      </c>
      <c r="D851" t="s">
        <v>51</v>
      </c>
      <c r="E851" t="s">
        <v>52</v>
      </c>
      <c r="F851" t="s">
        <v>20</v>
      </c>
      <c r="G851" t="s">
        <v>28</v>
      </c>
      <c r="H851" s="5">
        <v>105000</v>
      </c>
      <c r="I851">
        <v>100000</v>
      </c>
      <c r="J851">
        <v>5000</v>
      </c>
    </row>
    <row r="852" spans="1:10" x14ac:dyDescent="0.3">
      <c r="A852" t="s">
        <v>936</v>
      </c>
      <c r="B852" s="3">
        <v>46230</v>
      </c>
      <c r="C852" t="s">
        <v>66</v>
      </c>
      <c r="D852" t="s">
        <v>67</v>
      </c>
      <c r="E852" t="s">
        <v>13</v>
      </c>
      <c r="F852" t="s">
        <v>14</v>
      </c>
      <c r="G852" t="s">
        <v>58</v>
      </c>
      <c r="H852" s="5">
        <v>325000</v>
      </c>
      <c r="I852">
        <v>275000</v>
      </c>
      <c r="J852">
        <v>50000</v>
      </c>
    </row>
    <row r="853" spans="1:10" x14ac:dyDescent="0.3">
      <c r="A853" t="s">
        <v>937</v>
      </c>
      <c r="B853" s="3">
        <v>46230</v>
      </c>
      <c r="C853" t="s">
        <v>22</v>
      </c>
      <c r="D853" t="s">
        <v>23</v>
      </c>
      <c r="E853" t="s">
        <v>24</v>
      </c>
      <c r="F853" t="s">
        <v>14</v>
      </c>
      <c r="G853" t="s">
        <v>57</v>
      </c>
      <c r="H853" s="5">
        <v>205000</v>
      </c>
      <c r="I853">
        <v>150000</v>
      </c>
      <c r="J853">
        <v>55000</v>
      </c>
    </row>
    <row r="854" spans="1:10" x14ac:dyDescent="0.3">
      <c r="A854" t="s">
        <v>938</v>
      </c>
      <c r="B854" s="3">
        <v>46230</v>
      </c>
      <c r="C854" t="s">
        <v>25</v>
      </c>
      <c r="D854" t="s">
        <v>26</v>
      </c>
      <c r="E854" t="s">
        <v>27</v>
      </c>
      <c r="F854" t="s">
        <v>14</v>
      </c>
      <c r="G854" t="s">
        <v>40</v>
      </c>
      <c r="H854" s="5">
        <v>625000</v>
      </c>
      <c r="I854">
        <v>550000</v>
      </c>
      <c r="J854">
        <v>75000</v>
      </c>
    </row>
    <row r="855" spans="1:10" x14ac:dyDescent="0.3">
      <c r="A855" t="s">
        <v>939</v>
      </c>
      <c r="B855" s="3">
        <v>46230</v>
      </c>
      <c r="C855" t="s">
        <v>25</v>
      </c>
      <c r="D855" t="s">
        <v>26</v>
      </c>
      <c r="E855" t="s">
        <v>27</v>
      </c>
      <c r="F855" t="s">
        <v>20</v>
      </c>
      <c r="G855" t="s">
        <v>15</v>
      </c>
      <c r="H855" s="5">
        <v>2300000</v>
      </c>
      <c r="I855">
        <v>2075000</v>
      </c>
      <c r="J855">
        <v>225000</v>
      </c>
    </row>
    <row r="856" spans="1:10" x14ac:dyDescent="0.3">
      <c r="A856" t="s">
        <v>940</v>
      </c>
      <c r="B856" s="3">
        <v>46231</v>
      </c>
      <c r="C856" t="s">
        <v>32</v>
      </c>
      <c r="D856" t="s">
        <v>33</v>
      </c>
      <c r="E856" t="s">
        <v>27</v>
      </c>
      <c r="F856" t="s">
        <v>20</v>
      </c>
      <c r="G856" t="s">
        <v>58</v>
      </c>
      <c r="H856" s="5">
        <v>1200000</v>
      </c>
      <c r="I856">
        <v>975000</v>
      </c>
      <c r="J856">
        <v>225000</v>
      </c>
    </row>
    <row r="857" spans="1:10" x14ac:dyDescent="0.3">
      <c r="A857" t="s">
        <v>941</v>
      </c>
      <c r="B857" s="3">
        <v>46231</v>
      </c>
      <c r="C857" t="s">
        <v>64</v>
      </c>
      <c r="D857" t="s">
        <v>65</v>
      </c>
      <c r="E857" t="s">
        <v>37</v>
      </c>
      <c r="F857" t="s">
        <v>14</v>
      </c>
      <c r="G857" t="s">
        <v>58</v>
      </c>
      <c r="H857" s="5">
        <v>325000</v>
      </c>
      <c r="I857">
        <v>250000</v>
      </c>
      <c r="J857">
        <v>75000</v>
      </c>
    </row>
    <row r="858" spans="1:10" x14ac:dyDescent="0.3">
      <c r="A858" t="s">
        <v>942</v>
      </c>
      <c r="B858" s="3">
        <v>46231</v>
      </c>
      <c r="C858" t="s">
        <v>25</v>
      </c>
      <c r="D858" t="s">
        <v>26</v>
      </c>
      <c r="E858" t="s">
        <v>27</v>
      </c>
      <c r="F858" t="s">
        <v>20</v>
      </c>
      <c r="G858" t="s">
        <v>57</v>
      </c>
      <c r="H858" s="5">
        <v>55000</v>
      </c>
      <c r="I858">
        <v>50000</v>
      </c>
      <c r="J858">
        <v>5000</v>
      </c>
    </row>
    <row r="859" spans="1:10" x14ac:dyDescent="0.3">
      <c r="A859" t="s">
        <v>943</v>
      </c>
      <c r="B859" s="3">
        <v>46232</v>
      </c>
      <c r="C859" t="s">
        <v>41</v>
      </c>
      <c r="D859" t="s">
        <v>42</v>
      </c>
      <c r="E859" t="s">
        <v>43</v>
      </c>
      <c r="F859" t="s">
        <v>14</v>
      </c>
      <c r="G859" t="s">
        <v>57</v>
      </c>
      <c r="H859" s="5">
        <v>355000</v>
      </c>
      <c r="I859">
        <v>325000</v>
      </c>
      <c r="J859">
        <v>30000</v>
      </c>
    </row>
    <row r="860" spans="1:10" x14ac:dyDescent="0.3">
      <c r="A860" t="s">
        <v>944</v>
      </c>
      <c r="B860" s="3">
        <v>46232</v>
      </c>
      <c r="C860" t="s">
        <v>50</v>
      </c>
      <c r="D860" t="s">
        <v>51</v>
      </c>
      <c r="E860" t="s">
        <v>52</v>
      </c>
      <c r="F860" t="s">
        <v>20</v>
      </c>
      <c r="G860" t="s">
        <v>28</v>
      </c>
      <c r="H860" s="5">
        <v>255000</v>
      </c>
      <c r="I860">
        <v>0</v>
      </c>
      <c r="J860">
        <v>0</v>
      </c>
    </row>
    <row r="861" spans="1:10" x14ac:dyDescent="0.3">
      <c r="A861" t="s">
        <v>945</v>
      </c>
      <c r="B861" s="3">
        <v>46232</v>
      </c>
      <c r="C861" t="s">
        <v>22</v>
      </c>
      <c r="D861" t="s">
        <v>23</v>
      </c>
      <c r="E861" t="s">
        <v>24</v>
      </c>
      <c r="F861" t="s">
        <v>20</v>
      </c>
      <c r="G861" t="s">
        <v>15</v>
      </c>
      <c r="H861" s="5">
        <v>3325000</v>
      </c>
      <c r="I861">
        <v>3300000</v>
      </c>
      <c r="J861">
        <v>25000</v>
      </c>
    </row>
    <row r="862" spans="1:10" x14ac:dyDescent="0.3">
      <c r="A862" t="s">
        <v>946</v>
      </c>
      <c r="B862" s="3">
        <v>46232</v>
      </c>
      <c r="C862" t="s">
        <v>59</v>
      </c>
      <c r="D862" t="s">
        <v>60</v>
      </c>
      <c r="E862" t="s">
        <v>19</v>
      </c>
      <c r="F862" t="s">
        <v>14</v>
      </c>
      <c r="G862" t="s">
        <v>31</v>
      </c>
      <c r="H862" s="5">
        <v>1175000</v>
      </c>
      <c r="I862">
        <v>0</v>
      </c>
      <c r="J862">
        <v>0</v>
      </c>
    </row>
    <row r="863" spans="1:10" x14ac:dyDescent="0.3">
      <c r="A863" t="s">
        <v>947</v>
      </c>
      <c r="B863" s="3">
        <v>46233</v>
      </c>
      <c r="C863" t="s">
        <v>32</v>
      </c>
      <c r="D863" t="s">
        <v>33</v>
      </c>
      <c r="E863" t="s">
        <v>27</v>
      </c>
      <c r="F863" t="s">
        <v>20</v>
      </c>
      <c r="G863" t="s">
        <v>61</v>
      </c>
      <c r="H863" s="5">
        <v>575000</v>
      </c>
      <c r="I863">
        <v>500000</v>
      </c>
      <c r="J863">
        <v>75000</v>
      </c>
    </row>
    <row r="864" spans="1:10" x14ac:dyDescent="0.3">
      <c r="A864" t="s">
        <v>948</v>
      </c>
      <c r="B864" s="3">
        <v>46233</v>
      </c>
      <c r="C864" t="s">
        <v>35</v>
      </c>
      <c r="D864" t="s">
        <v>36</v>
      </c>
      <c r="E864" t="s">
        <v>37</v>
      </c>
      <c r="F864" t="s">
        <v>20</v>
      </c>
      <c r="G864" t="s">
        <v>40</v>
      </c>
      <c r="H864" s="5">
        <v>700000</v>
      </c>
      <c r="I864">
        <v>675000</v>
      </c>
      <c r="J864">
        <v>25000</v>
      </c>
    </row>
    <row r="865" spans="1:10" x14ac:dyDescent="0.3">
      <c r="A865" t="s">
        <v>949</v>
      </c>
      <c r="B865" s="3">
        <v>46233</v>
      </c>
      <c r="C865" t="s">
        <v>35</v>
      </c>
      <c r="D865" t="s">
        <v>36</v>
      </c>
      <c r="E865" t="s">
        <v>37</v>
      </c>
      <c r="F865" t="s">
        <v>14</v>
      </c>
      <c r="G865" t="s">
        <v>40</v>
      </c>
      <c r="H865" s="5">
        <v>250000</v>
      </c>
      <c r="I865">
        <v>250000</v>
      </c>
      <c r="J865">
        <v>0</v>
      </c>
    </row>
    <row r="866" spans="1:10" x14ac:dyDescent="0.3">
      <c r="A866" t="s">
        <v>950</v>
      </c>
      <c r="B866" s="3">
        <v>46233</v>
      </c>
      <c r="C866" t="s">
        <v>22</v>
      </c>
      <c r="D866" t="s">
        <v>23</v>
      </c>
      <c r="E866" t="s">
        <v>24</v>
      </c>
      <c r="F866" t="s">
        <v>14</v>
      </c>
      <c r="G866" t="s">
        <v>57</v>
      </c>
      <c r="H866" s="5">
        <v>455000</v>
      </c>
      <c r="I866">
        <v>350000</v>
      </c>
      <c r="J866">
        <v>105000</v>
      </c>
    </row>
    <row r="867" spans="1:10" x14ac:dyDescent="0.3">
      <c r="A867" t="s">
        <v>951</v>
      </c>
      <c r="B867" s="3">
        <v>46233</v>
      </c>
      <c r="C867" t="s">
        <v>22</v>
      </c>
      <c r="D867" t="s">
        <v>23</v>
      </c>
      <c r="E867" t="s">
        <v>24</v>
      </c>
      <c r="F867" t="s">
        <v>20</v>
      </c>
      <c r="G867" t="s">
        <v>40</v>
      </c>
      <c r="H867" s="5">
        <v>350000</v>
      </c>
      <c r="I867">
        <v>275000</v>
      </c>
      <c r="J867">
        <v>75000</v>
      </c>
    </row>
    <row r="868" spans="1:10" x14ac:dyDescent="0.3">
      <c r="A868" t="s">
        <v>952</v>
      </c>
      <c r="B868" s="3">
        <v>46234</v>
      </c>
      <c r="C868" t="s">
        <v>55</v>
      </c>
      <c r="D868" t="s">
        <v>56</v>
      </c>
      <c r="E868" t="s">
        <v>24</v>
      </c>
      <c r="F868" t="s">
        <v>14</v>
      </c>
      <c r="G868" t="s">
        <v>57</v>
      </c>
      <c r="H868" s="5">
        <v>80000</v>
      </c>
      <c r="I868">
        <v>75000</v>
      </c>
      <c r="J868">
        <v>5000</v>
      </c>
    </row>
    <row r="869" spans="1:10" x14ac:dyDescent="0.3">
      <c r="A869" t="s">
        <v>953</v>
      </c>
      <c r="B869" s="3">
        <v>46234</v>
      </c>
      <c r="C869" t="s">
        <v>38</v>
      </c>
      <c r="D869" t="s">
        <v>39</v>
      </c>
      <c r="E869" t="s">
        <v>24</v>
      </c>
      <c r="F869" t="s">
        <v>20</v>
      </c>
      <c r="G869" t="s">
        <v>57</v>
      </c>
      <c r="H869" s="5">
        <v>155000</v>
      </c>
      <c r="I869">
        <v>150000</v>
      </c>
      <c r="J869">
        <v>5000</v>
      </c>
    </row>
    <row r="870" spans="1:10" x14ac:dyDescent="0.3">
      <c r="A870" t="s">
        <v>954</v>
      </c>
      <c r="B870" s="3">
        <v>46234</v>
      </c>
      <c r="C870" t="s">
        <v>17</v>
      </c>
      <c r="D870" t="s">
        <v>18</v>
      </c>
      <c r="E870" t="s">
        <v>19</v>
      </c>
      <c r="F870" t="s">
        <v>20</v>
      </c>
      <c r="G870" t="s">
        <v>57</v>
      </c>
      <c r="H870" s="5">
        <v>155000</v>
      </c>
      <c r="I870">
        <v>125000</v>
      </c>
      <c r="J870">
        <v>30000</v>
      </c>
    </row>
    <row r="871" spans="1:10" x14ac:dyDescent="0.3">
      <c r="A871" t="s">
        <v>955</v>
      </c>
      <c r="B871" s="3">
        <v>46234</v>
      </c>
      <c r="C871" t="s">
        <v>22</v>
      </c>
      <c r="D871" t="s">
        <v>23</v>
      </c>
      <c r="E871" t="s">
        <v>24</v>
      </c>
      <c r="F871" t="s">
        <v>20</v>
      </c>
      <c r="G871" t="s">
        <v>40</v>
      </c>
      <c r="H871" s="5">
        <v>250000</v>
      </c>
      <c r="I871">
        <v>225000</v>
      </c>
      <c r="J871">
        <v>25000</v>
      </c>
    </row>
    <row r="872" spans="1:10" x14ac:dyDescent="0.3">
      <c r="A872" t="s">
        <v>956</v>
      </c>
      <c r="B872" s="3">
        <v>46234</v>
      </c>
      <c r="C872" t="s">
        <v>59</v>
      </c>
      <c r="D872" t="s">
        <v>60</v>
      </c>
      <c r="E872" t="s">
        <v>19</v>
      </c>
      <c r="F872" t="s">
        <v>20</v>
      </c>
      <c r="G872" t="s">
        <v>15</v>
      </c>
      <c r="H872" s="5">
        <v>1550000</v>
      </c>
      <c r="I872">
        <v>1425000</v>
      </c>
      <c r="J872">
        <v>125000</v>
      </c>
    </row>
    <row r="873" spans="1:10" x14ac:dyDescent="0.3">
      <c r="A873" t="s">
        <v>957</v>
      </c>
      <c r="B873" s="3">
        <v>46235</v>
      </c>
      <c r="C873" t="s">
        <v>38</v>
      </c>
      <c r="D873" t="s">
        <v>39</v>
      </c>
      <c r="E873" t="s">
        <v>24</v>
      </c>
      <c r="F873" t="s">
        <v>20</v>
      </c>
      <c r="G873" t="s">
        <v>40</v>
      </c>
      <c r="H873" s="5">
        <v>400000</v>
      </c>
      <c r="I873">
        <v>375000</v>
      </c>
      <c r="J873">
        <v>25000</v>
      </c>
    </row>
    <row r="874" spans="1:10" x14ac:dyDescent="0.3">
      <c r="A874" t="s">
        <v>958</v>
      </c>
      <c r="B874" s="3">
        <v>46235</v>
      </c>
      <c r="C874" t="s">
        <v>17</v>
      </c>
      <c r="D874" t="s">
        <v>18</v>
      </c>
      <c r="E874" t="s">
        <v>19</v>
      </c>
      <c r="F874" t="s">
        <v>14</v>
      </c>
      <c r="G874" t="s">
        <v>58</v>
      </c>
      <c r="H874" s="5">
        <v>275000</v>
      </c>
      <c r="I874">
        <v>225000</v>
      </c>
      <c r="J874">
        <v>50000</v>
      </c>
    </row>
    <row r="875" spans="1:10" x14ac:dyDescent="0.3">
      <c r="A875" t="s">
        <v>959</v>
      </c>
      <c r="B875" s="3">
        <v>46235</v>
      </c>
      <c r="C875" t="s">
        <v>50</v>
      </c>
      <c r="D875" t="s">
        <v>51</v>
      </c>
      <c r="E875" t="s">
        <v>52</v>
      </c>
      <c r="F875" t="s">
        <v>14</v>
      </c>
      <c r="G875" t="s">
        <v>15</v>
      </c>
      <c r="H875" s="5">
        <v>2550000</v>
      </c>
      <c r="I875">
        <v>2425000</v>
      </c>
      <c r="J875">
        <v>125000</v>
      </c>
    </row>
    <row r="876" spans="1:10" x14ac:dyDescent="0.3">
      <c r="A876" t="s">
        <v>960</v>
      </c>
      <c r="B876" s="3">
        <v>46235</v>
      </c>
      <c r="C876" t="s">
        <v>53</v>
      </c>
      <c r="D876" t="s">
        <v>54</v>
      </c>
      <c r="E876" t="s">
        <v>43</v>
      </c>
      <c r="F876" t="s">
        <v>20</v>
      </c>
      <c r="G876" t="s">
        <v>34</v>
      </c>
      <c r="H876" s="5">
        <v>50000</v>
      </c>
      <c r="I876">
        <v>50000</v>
      </c>
      <c r="J876">
        <v>0</v>
      </c>
    </row>
    <row r="877" spans="1:10" x14ac:dyDescent="0.3">
      <c r="A877" t="s">
        <v>961</v>
      </c>
      <c r="B877" s="3">
        <v>46236</v>
      </c>
      <c r="C877" t="s">
        <v>48</v>
      </c>
      <c r="D877" t="s">
        <v>49</v>
      </c>
      <c r="E877" t="s">
        <v>19</v>
      </c>
      <c r="F877" t="s">
        <v>14</v>
      </c>
      <c r="G877" t="s">
        <v>31</v>
      </c>
      <c r="H877" s="5">
        <v>1400000</v>
      </c>
      <c r="I877">
        <v>1175000</v>
      </c>
      <c r="J877">
        <v>225000</v>
      </c>
    </row>
    <row r="878" spans="1:10" x14ac:dyDescent="0.3">
      <c r="A878" t="s">
        <v>962</v>
      </c>
      <c r="B878" s="3">
        <v>46236</v>
      </c>
      <c r="C878" t="s">
        <v>62</v>
      </c>
      <c r="D878" t="s">
        <v>63</v>
      </c>
      <c r="E878" t="s">
        <v>52</v>
      </c>
      <c r="F878" t="s">
        <v>20</v>
      </c>
      <c r="G878" t="s">
        <v>57</v>
      </c>
      <c r="H878" s="5">
        <v>405000</v>
      </c>
      <c r="I878">
        <v>0</v>
      </c>
      <c r="J878">
        <v>0</v>
      </c>
    </row>
    <row r="879" spans="1:10" x14ac:dyDescent="0.3">
      <c r="A879" t="s">
        <v>963</v>
      </c>
      <c r="B879" s="3">
        <v>46236</v>
      </c>
      <c r="C879" t="s">
        <v>35</v>
      </c>
      <c r="D879" t="s">
        <v>36</v>
      </c>
      <c r="E879" t="s">
        <v>37</v>
      </c>
      <c r="F879" t="s">
        <v>20</v>
      </c>
      <c r="G879" t="s">
        <v>31</v>
      </c>
      <c r="H879" s="5">
        <v>650000</v>
      </c>
      <c r="I879">
        <v>600000</v>
      </c>
      <c r="J879">
        <v>50000</v>
      </c>
    </row>
    <row r="880" spans="1:10" x14ac:dyDescent="0.3">
      <c r="A880" t="s">
        <v>964</v>
      </c>
      <c r="B880" s="3">
        <v>46236</v>
      </c>
      <c r="C880" t="s">
        <v>17</v>
      </c>
      <c r="D880" t="s">
        <v>18</v>
      </c>
      <c r="E880" t="s">
        <v>19</v>
      </c>
      <c r="F880" t="s">
        <v>14</v>
      </c>
      <c r="G880" t="s">
        <v>15</v>
      </c>
      <c r="H880" s="5">
        <v>1000000</v>
      </c>
      <c r="I880">
        <v>850000</v>
      </c>
      <c r="J880">
        <v>150000</v>
      </c>
    </row>
    <row r="881" spans="1:10" x14ac:dyDescent="0.3">
      <c r="A881" t="s">
        <v>965</v>
      </c>
      <c r="B881" s="3">
        <v>46236</v>
      </c>
      <c r="C881" t="s">
        <v>64</v>
      </c>
      <c r="D881" t="s">
        <v>65</v>
      </c>
      <c r="E881" t="s">
        <v>37</v>
      </c>
      <c r="F881" t="s">
        <v>20</v>
      </c>
      <c r="G881" t="s">
        <v>58</v>
      </c>
      <c r="H881" s="5">
        <v>275000</v>
      </c>
      <c r="I881">
        <v>225000</v>
      </c>
      <c r="J881">
        <v>50000</v>
      </c>
    </row>
    <row r="882" spans="1:10" x14ac:dyDescent="0.3">
      <c r="A882" t="s">
        <v>966</v>
      </c>
      <c r="B882" s="3">
        <v>46236</v>
      </c>
      <c r="C882" t="s">
        <v>64</v>
      </c>
      <c r="D882" t="s">
        <v>65</v>
      </c>
      <c r="E882" t="s">
        <v>37</v>
      </c>
      <c r="F882" t="s">
        <v>14</v>
      </c>
      <c r="G882" t="s">
        <v>58</v>
      </c>
      <c r="H882" s="5">
        <v>1075000</v>
      </c>
      <c r="I882">
        <v>950000</v>
      </c>
      <c r="J882">
        <v>125000</v>
      </c>
    </row>
    <row r="883" spans="1:10" x14ac:dyDescent="0.3">
      <c r="A883" t="s">
        <v>967</v>
      </c>
      <c r="B883" s="3">
        <v>46237</v>
      </c>
      <c r="C883" t="s">
        <v>62</v>
      </c>
      <c r="D883" t="s">
        <v>63</v>
      </c>
      <c r="E883" t="s">
        <v>52</v>
      </c>
      <c r="F883" t="s">
        <v>14</v>
      </c>
      <c r="G883" t="s">
        <v>57</v>
      </c>
      <c r="H883" s="5">
        <v>55000</v>
      </c>
      <c r="I883">
        <v>50000</v>
      </c>
      <c r="J883">
        <v>5000</v>
      </c>
    </row>
    <row r="884" spans="1:10" x14ac:dyDescent="0.3">
      <c r="A884" t="s">
        <v>968</v>
      </c>
      <c r="B884" s="3">
        <v>46237</v>
      </c>
      <c r="C884" t="s">
        <v>35</v>
      </c>
      <c r="D884" t="s">
        <v>36</v>
      </c>
      <c r="E884" t="s">
        <v>37</v>
      </c>
      <c r="F884" t="s">
        <v>14</v>
      </c>
      <c r="G884" t="s">
        <v>40</v>
      </c>
      <c r="H884" s="5">
        <v>150000</v>
      </c>
      <c r="I884">
        <v>150000</v>
      </c>
      <c r="J884">
        <v>0</v>
      </c>
    </row>
    <row r="885" spans="1:10" x14ac:dyDescent="0.3">
      <c r="A885" t="s">
        <v>969</v>
      </c>
      <c r="B885" s="3">
        <v>46237</v>
      </c>
      <c r="C885" t="s">
        <v>50</v>
      </c>
      <c r="D885" t="s">
        <v>51</v>
      </c>
      <c r="E885" t="s">
        <v>52</v>
      </c>
      <c r="F885" t="s">
        <v>14</v>
      </c>
      <c r="G885" t="s">
        <v>61</v>
      </c>
      <c r="H885" s="5">
        <v>550000</v>
      </c>
      <c r="I885">
        <v>525000</v>
      </c>
      <c r="J885">
        <v>25000</v>
      </c>
    </row>
    <row r="886" spans="1:10" x14ac:dyDescent="0.3">
      <c r="A886" t="s">
        <v>970</v>
      </c>
      <c r="B886" s="3">
        <v>46238</v>
      </c>
      <c r="C886" t="s">
        <v>48</v>
      </c>
      <c r="D886" t="s">
        <v>49</v>
      </c>
      <c r="E886" t="s">
        <v>19</v>
      </c>
      <c r="F886" t="s">
        <v>14</v>
      </c>
      <c r="G886" t="s">
        <v>15</v>
      </c>
      <c r="H886" s="5">
        <v>1800000</v>
      </c>
      <c r="I886">
        <v>1675000</v>
      </c>
      <c r="J886">
        <v>125000</v>
      </c>
    </row>
    <row r="887" spans="1:10" x14ac:dyDescent="0.3">
      <c r="A887" t="s">
        <v>971</v>
      </c>
      <c r="B887" s="3">
        <v>46238</v>
      </c>
      <c r="C887" t="s">
        <v>41</v>
      </c>
      <c r="D887" t="s">
        <v>42</v>
      </c>
      <c r="E887" t="s">
        <v>43</v>
      </c>
      <c r="F887" t="s">
        <v>20</v>
      </c>
      <c r="G887" t="s">
        <v>57</v>
      </c>
      <c r="H887" s="5">
        <v>455000</v>
      </c>
      <c r="I887">
        <v>375000</v>
      </c>
      <c r="J887">
        <v>80000</v>
      </c>
    </row>
    <row r="888" spans="1:10" x14ac:dyDescent="0.3">
      <c r="A888" t="s">
        <v>972</v>
      </c>
      <c r="B888" s="3">
        <v>46238</v>
      </c>
      <c r="C888" t="s">
        <v>50</v>
      </c>
      <c r="D888" t="s">
        <v>51</v>
      </c>
      <c r="E888" t="s">
        <v>52</v>
      </c>
      <c r="F888" t="s">
        <v>20</v>
      </c>
      <c r="G888" t="s">
        <v>28</v>
      </c>
      <c r="H888" s="5">
        <v>480000</v>
      </c>
      <c r="I888">
        <v>0</v>
      </c>
      <c r="J888">
        <v>0</v>
      </c>
    </row>
    <row r="889" spans="1:10" x14ac:dyDescent="0.3">
      <c r="A889" t="s">
        <v>973</v>
      </c>
      <c r="B889" s="3">
        <v>46238</v>
      </c>
      <c r="C889" t="s">
        <v>22</v>
      </c>
      <c r="D889" t="s">
        <v>23</v>
      </c>
      <c r="E889" t="s">
        <v>24</v>
      </c>
      <c r="F889" t="s">
        <v>14</v>
      </c>
      <c r="G889" t="s">
        <v>34</v>
      </c>
      <c r="H889" s="5">
        <v>225000</v>
      </c>
      <c r="I889">
        <v>175000</v>
      </c>
      <c r="J889">
        <v>50000</v>
      </c>
    </row>
    <row r="890" spans="1:10" x14ac:dyDescent="0.3">
      <c r="A890" t="s">
        <v>974</v>
      </c>
      <c r="B890" s="3">
        <v>46239</v>
      </c>
      <c r="C890" t="s">
        <v>48</v>
      </c>
      <c r="D890" t="s">
        <v>49</v>
      </c>
      <c r="E890" t="s">
        <v>19</v>
      </c>
      <c r="F890" t="s">
        <v>20</v>
      </c>
      <c r="G890" t="s">
        <v>34</v>
      </c>
      <c r="H890" s="5">
        <v>600000</v>
      </c>
      <c r="I890">
        <v>450000</v>
      </c>
      <c r="J890">
        <v>150000</v>
      </c>
    </row>
    <row r="891" spans="1:10" x14ac:dyDescent="0.3">
      <c r="A891" t="s">
        <v>975</v>
      </c>
      <c r="B891" s="3">
        <v>46239</v>
      </c>
      <c r="C891" t="s">
        <v>44</v>
      </c>
      <c r="D891" t="s">
        <v>45</v>
      </c>
      <c r="E891" t="s">
        <v>43</v>
      </c>
      <c r="F891" t="s">
        <v>14</v>
      </c>
      <c r="G891" t="s">
        <v>15</v>
      </c>
      <c r="H891" s="5">
        <v>1300000</v>
      </c>
      <c r="I891">
        <v>975000</v>
      </c>
      <c r="J891">
        <v>325000</v>
      </c>
    </row>
    <row r="892" spans="1:10" x14ac:dyDescent="0.3">
      <c r="A892" t="s">
        <v>976</v>
      </c>
      <c r="B892" s="3">
        <v>46239</v>
      </c>
      <c r="C892" t="s">
        <v>22</v>
      </c>
      <c r="D892" t="s">
        <v>23</v>
      </c>
      <c r="E892" t="s">
        <v>24</v>
      </c>
      <c r="F892" t="s">
        <v>14</v>
      </c>
      <c r="G892" t="s">
        <v>61</v>
      </c>
      <c r="H892" s="5">
        <v>175000</v>
      </c>
      <c r="I892">
        <v>0</v>
      </c>
      <c r="J892">
        <v>0</v>
      </c>
    </row>
    <row r="893" spans="1:10" x14ac:dyDescent="0.3">
      <c r="A893" t="s">
        <v>977</v>
      </c>
      <c r="B893" s="3">
        <v>46240</v>
      </c>
      <c r="C893" t="s">
        <v>44</v>
      </c>
      <c r="D893" t="s">
        <v>45</v>
      </c>
      <c r="E893" t="s">
        <v>43</v>
      </c>
      <c r="F893" t="s">
        <v>20</v>
      </c>
      <c r="G893" t="s">
        <v>28</v>
      </c>
      <c r="H893" s="5">
        <v>255000</v>
      </c>
      <c r="I893">
        <v>250000</v>
      </c>
      <c r="J893">
        <v>5000</v>
      </c>
    </row>
    <row r="894" spans="1:10" x14ac:dyDescent="0.3">
      <c r="A894" t="s">
        <v>978</v>
      </c>
      <c r="B894" s="3">
        <v>46241</v>
      </c>
      <c r="C894" t="s">
        <v>55</v>
      </c>
      <c r="D894" t="s">
        <v>56</v>
      </c>
      <c r="E894" t="s">
        <v>24</v>
      </c>
      <c r="F894" t="s">
        <v>20</v>
      </c>
      <c r="G894" t="s">
        <v>34</v>
      </c>
      <c r="H894" s="5">
        <v>575000</v>
      </c>
      <c r="I894">
        <v>450000</v>
      </c>
      <c r="J894">
        <v>125000</v>
      </c>
    </row>
    <row r="895" spans="1:10" x14ac:dyDescent="0.3">
      <c r="A895" t="s">
        <v>979</v>
      </c>
      <c r="B895" s="3">
        <v>46241</v>
      </c>
      <c r="C895" t="s">
        <v>53</v>
      </c>
      <c r="D895" t="s">
        <v>54</v>
      </c>
      <c r="E895" t="s">
        <v>43</v>
      </c>
      <c r="F895" t="s">
        <v>14</v>
      </c>
      <c r="G895" t="s">
        <v>34</v>
      </c>
      <c r="H895" s="5">
        <v>175000</v>
      </c>
      <c r="I895">
        <v>0</v>
      </c>
      <c r="J895">
        <v>0</v>
      </c>
    </row>
    <row r="896" spans="1:10" x14ac:dyDescent="0.3">
      <c r="A896" t="s">
        <v>980</v>
      </c>
      <c r="B896" s="3">
        <v>46242</v>
      </c>
      <c r="C896" t="s">
        <v>66</v>
      </c>
      <c r="D896" t="s">
        <v>67</v>
      </c>
      <c r="E896" t="s">
        <v>13</v>
      </c>
      <c r="F896" t="s">
        <v>20</v>
      </c>
      <c r="G896" t="s">
        <v>28</v>
      </c>
      <c r="H896" s="5">
        <v>80000</v>
      </c>
      <c r="I896">
        <v>75000</v>
      </c>
      <c r="J896">
        <v>5000</v>
      </c>
    </row>
    <row r="897" spans="1:10" x14ac:dyDescent="0.3">
      <c r="A897" t="s">
        <v>981</v>
      </c>
      <c r="B897" s="3">
        <v>46243</v>
      </c>
      <c r="C897" t="s">
        <v>41</v>
      </c>
      <c r="D897" t="s">
        <v>42</v>
      </c>
      <c r="E897" t="s">
        <v>43</v>
      </c>
      <c r="F897" t="s">
        <v>14</v>
      </c>
      <c r="G897" t="s">
        <v>31</v>
      </c>
      <c r="H897" s="5">
        <v>1175000</v>
      </c>
      <c r="I897">
        <v>0</v>
      </c>
      <c r="J897">
        <v>0</v>
      </c>
    </row>
    <row r="898" spans="1:10" x14ac:dyDescent="0.3">
      <c r="A898" t="s">
        <v>982</v>
      </c>
      <c r="B898" s="3">
        <v>46243</v>
      </c>
      <c r="C898" t="s">
        <v>35</v>
      </c>
      <c r="D898" t="s">
        <v>36</v>
      </c>
      <c r="E898" t="s">
        <v>37</v>
      </c>
      <c r="F898" t="s">
        <v>20</v>
      </c>
      <c r="G898" t="s">
        <v>31</v>
      </c>
      <c r="H898" s="5">
        <v>500000</v>
      </c>
      <c r="I898">
        <v>0</v>
      </c>
      <c r="J898">
        <v>0</v>
      </c>
    </row>
    <row r="899" spans="1:10" x14ac:dyDescent="0.3">
      <c r="A899" t="s">
        <v>983</v>
      </c>
      <c r="B899" s="3">
        <v>46244</v>
      </c>
      <c r="C899" t="s">
        <v>55</v>
      </c>
      <c r="D899" t="s">
        <v>56</v>
      </c>
      <c r="E899" t="s">
        <v>24</v>
      </c>
      <c r="F899" t="s">
        <v>14</v>
      </c>
      <c r="G899" t="s">
        <v>28</v>
      </c>
      <c r="H899" s="5">
        <v>405000</v>
      </c>
      <c r="I899">
        <v>300000</v>
      </c>
      <c r="J899">
        <v>105000</v>
      </c>
    </row>
    <row r="900" spans="1:10" x14ac:dyDescent="0.3">
      <c r="A900" t="s">
        <v>984</v>
      </c>
      <c r="B900" s="3">
        <v>46244</v>
      </c>
      <c r="C900" t="s">
        <v>11</v>
      </c>
      <c r="D900" t="s">
        <v>12</v>
      </c>
      <c r="E900" t="s">
        <v>13</v>
      </c>
      <c r="F900" t="s">
        <v>20</v>
      </c>
      <c r="G900" t="s">
        <v>61</v>
      </c>
      <c r="H900" s="5">
        <v>675000</v>
      </c>
      <c r="I900">
        <v>600000</v>
      </c>
      <c r="J900">
        <v>75000</v>
      </c>
    </row>
    <row r="901" spans="1:10" x14ac:dyDescent="0.3">
      <c r="A901" t="s">
        <v>985</v>
      </c>
      <c r="B901" s="3">
        <v>46244</v>
      </c>
      <c r="C901" t="s">
        <v>22</v>
      </c>
      <c r="D901" t="s">
        <v>23</v>
      </c>
      <c r="E901" t="s">
        <v>24</v>
      </c>
      <c r="F901" t="s">
        <v>20</v>
      </c>
      <c r="G901" t="s">
        <v>34</v>
      </c>
      <c r="H901" s="5">
        <v>575000</v>
      </c>
      <c r="I901">
        <v>0</v>
      </c>
      <c r="J901">
        <v>0</v>
      </c>
    </row>
    <row r="902" spans="1:10" x14ac:dyDescent="0.3">
      <c r="A902" t="s">
        <v>986</v>
      </c>
      <c r="B902" s="3">
        <v>46245</v>
      </c>
      <c r="C902" t="s">
        <v>41</v>
      </c>
      <c r="D902" t="s">
        <v>42</v>
      </c>
      <c r="E902" t="s">
        <v>43</v>
      </c>
      <c r="F902" t="s">
        <v>14</v>
      </c>
      <c r="G902" t="s">
        <v>40</v>
      </c>
      <c r="H902" s="5">
        <v>325000</v>
      </c>
      <c r="I902">
        <v>0</v>
      </c>
      <c r="J902">
        <v>0</v>
      </c>
    </row>
    <row r="903" spans="1:10" x14ac:dyDescent="0.3">
      <c r="A903" t="s">
        <v>987</v>
      </c>
      <c r="B903" s="3">
        <v>46245</v>
      </c>
      <c r="C903" t="s">
        <v>11</v>
      </c>
      <c r="D903" t="s">
        <v>12</v>
      </c>
      <c r="E903" t="s">
        <v>13</v>
      </c>
      <c r="F903" t="s">
        <v>14</v>
      </c>
      <c r="G903" t="s">
        <v>28</v>
      </c>
      <c r="H903" s="5">
        <v>355000</v>
      </c>
      <c r="I903">
        <v>0</v>
      </c>
      <c r="J903">
        <v>0</v>
      </c>
    </row>
    <row r="904" spans="1:10" x14ac:dyDescent="0.3">
      <c r="A904" t="s">
        <v>988</v>
      </c>
      <c r="B904" s="3">
        <v>46245</v>
      </c>
      <c r="C904" t="s">
        <v>68</v>
      </c>
      <c r="D904" t="s">
        <v>69</v>
      </c>
      <c r="E904" t="s">
        <v>27</v>
      </c>
      <c r="F904" t="s">
        <v>20</v>
      </c>
      <c r="G904" t="s">
        <v>58</v>
      </c>
      <c r="H904" s="5">
        <v>375000</v>
      </c>
      <c r="I904">
        <v>325000</v>
      </c>
      <c r="J904">
        <v>50000</v>
      </c>
    </row>
    <row r="905" spans="1:10" x14ac:dyDescent="0.3">
      <c r="A905" t="s">
        <v>989</v>
      </c>
      <c r="B905" s="3">
        <v>46245</v>
      </c>
      <c r="C905" t="s">
        <v>68</v>
      </c>
      <c r="D905" t="s">
        <v>69</v>
      </c>
      <c r="E905" t="s">
        <v>27</v>
      </c>
      <c r="F905" t="s">
        <v>20</v>
      </c>
      <c r="G905" t="s">
        <v>31</v>
      </c>
      <c r="H905" s="5">
        <v>775000</v>
      </c>
      <c r="I905">
        <v>650000</v>
      </c>
      <c r="J905">
        <v>125000</v>
      </c>
    </row>
    <row r="906" spans="1:10" x14ac:dyDescent="0.3">
      <c r="A906" t="s">
        <v>990</v>
      </c>
      <c r="B906" s="3">
        <v>46245</v>
      </c>
      <c r="C906" t="s">
        <v>44</v>
      </c>
      <c r="D906" t="s">
        <v>45</v>
      </c>
      <c r="E906" t="s">
        <v>43</v>
      </c>
      <c r="F906" t="s">
        <v>14</v>
      </c>
      <c r="G906" t="s">
        <v>15</v>
      </c>
      <c r="H906" s="5">
        <v>2950000</v>
      </c>
      <c r="I906">
        <v>2325000</v>
      </c>
      <c r="J906">
        <v>625000</v>
      </c>
    </row>
    <row r="907" spans="1:10" x14ac:dyDescent="0.3">
      <c r="A907" t="s">
        <v>991</v>
      </c>
      <c r="B907" s="3">
        <v>46245</v>
      </c>
      <c r="C907" t="s">
        <v>17</v>
      </c>
      <c r="D907" t="s">
        <v>18</v>
      </c>
      <c r="E907" t="s">
        <v>19</v>
      </c>
      <c r="F907" t="s">
        <v>20</v>
      </c>
      <c r="G907" t="s">
        <v>40</v>
      </c>
      <c r="H907" s="5">
        <v>800000</v>
      </c>
      <c r="I907">
        <v>675000</v>
      </c>
      <c r="J907">
        <v>125000</v>
      </c>
    </row>
    <row r="908" spans="1:10" x14ac:dyDescent="0.3">
      <c r="A908" t="s">
        <v>992</v>
      </c>
      <c r="B908" s="3">
        <v>46246</v>
      </c>
      <c r="C908" t="s">
        <v>55</v>
      </c>
      <c r="D908" t="s">
        <v>56</v>
      </c>
      <c r="E908" t="s">
        <v>24</v>
      </c>
      <c r="F908" t="s">
        <v>14</v>
      </c>
      <c r="G908" t="s">
        <v>15</v>
      </c>
      <c r="H908" s="5">
        <v>3325000</v>
      </c>
      <c r="I908">
        <v>3125000</v>
      </c>
      <c r="J908">
        <v>200000</v>
      </c>
    </row>
    <row r="909" spans="1:10" x14ac:dyDescent="0.3">
      <c r="A909" t="s">
        <v>993</v>
      </c>
      <c r="B909" s="3">
        <v>46246</v>
      </c>
      <c r="C909" t="s">
        <v>48</v>
      </c>
      <c r="D909" t="s">
        <v>49</v>
      </c>
      <c r="E909" t="s">
        <v>19</v>
      </c>
      <c r="F909" t="s">
        <v>14</v>
      </c>
      <c r="G909" t="s">
        <v>58</v>
      </c>
      <c r="H909" s="5">
        <v>800000</v>
      </c>
      <c r="I909">
        <v>725000</v>
      </c>
      <c r="J909">
        <v>75000</v>
      </c>
    </row>
    <row r="910" spans="1:10" x14ac:dyDescent="0.3">
      <c r="A910" t="s">
        <v>994</v>
      </c>
      <c r="B910" s="3">
        <v>46246</v>
      </c>
      <c r="C910" t="s">
        <v>38</v>
      </c>
      <c r="D910" t="s">
        <v>39</v>
      </c>
      <c r="E910" t="s">
        <v>24</v>
      </c>
      <c r="F910" t="s">
        <v>20</v>
      </c>
      <c r="G910" t="s">
        <v>58</v>
      </c>
      <c r="H910" s="5">
        <v>800000</v>
      </c>
      <c r="I910">
        <v>0</v>
      </c>
      <c r="J910">
        <v>0</v>
      </c>
    </row>
    <row r="911" spans="1:10" x14ac:dyDescent="0.3">
      <c r="A911" t="s">
        <v>995</v>
      </c>
      <c r="B911" s="3">
        <v>46246</v>
      </c>
      <c r="C911" t="s">
        <v>50</v>
      </c>
      <c r="D911" t="s">
        <v>51</v>
      </c>
      <c r="E911" t="s">
        <v>52</v>
      </c>
      <c r="F911" t="s">
        <v>20</v>
      </c>
      <c r="G911" t="s">
        <v>40</v>
      </c>
      <c r="H911" s="5">
        <v>525000</v>
      </c>
      <c r="I911">
        <v>475000</v>
      </c>
      <c r="J911">
        <v>50000</v>
      </c>
    </row>
    <row r="912" spans="1:10" x14ac:dyDescent="0.3">
      <c r="A912" t="s">
        <v>996</v>
      </c>
      <c r="B912" s="3">
        <v>46246</v>
      </c>
      <c r="C912" t="s">
        <v>59</v>
      </c>
      <c r="D912" t="s">
        <v>60</v>
      </c>
      <c r="E912" t="s">
        <v>19</v>
      </c>
      <c r="F912" t="s">
        <v>14</v>
      </c>
      <c r="G912" t="s">
        <v>28</v>
      </c>
      <c r="H912" s="5">
        <v>430000</v>
      </c>
      <c r="I912">
        <v>350000</v>
      </c>
      <c r="J912">
        <v>80000</v>
      </c>
    </row>
    <row r="913" spans="1:10" x14ac:dyDescent="0.3">
      <c r="A913" t="s">
        <v>997</v>
      </c>
      <c r="B913" s="3">
        <v>46247</v>
      </c>
      <c r="C913" t="s">
        <v>48</v>
      </c>
      <c r="D913" t="s">
        <v>49</v>
      </c>
      <c r="E913" t="s">
        <v>19</v>
      </c>
      <c r="F913" t="s">
        <v>14</v>
      </c>
      <c r="G913" t="s">
        <v>57</v>
      </c>
      <c r="H913" s="5">
        <v>305000</v>
      </c>
      <c r="I913">
        <v>275000</v>
      </c>
      <c r="J913">
        <v>30000</v>
      </c>
    </row>
    <row r="914" spans="1:10" x14ac:dyDescent="0.3">
      <c r="A914" t="s">
        <v>998</v>
      </c>
      <c r="B914" s="3">
        <v>46247</v>
      </c>
      <c r="C914" t="s">
        <v>11</v>
      </c>
      <c r="D914" t="s">
        <v>12</v>
      </c>
      <c r="E914" t="s">
        <v>13</v>
      </c>
      <c r="F914" t="s">
        <v>20</v>
      </c>
      <c r="G914" t="s">
        <v>57</v>
      </c>
      <c r="H914" s="5">
        <v>455000</v>
      </c>
      <c r="I914">
        <v>0</v>
      </c>
      <c r="J914">
        <v>0</v>
      </c>
    </row>
    <row r="915" spans="1:10" x14ac:dyDescent="0.3">
      <c r="A915" t="s">
        <v>999</v>
      </c>
      <c r="B915" s="3">
        <v>46247</v>
      </c>
      <c r="C915" t="s">
        <v>11</v>
      </c>
      <c r="D915" t="s">
        <v>12</v>
      </c>
      <c r="E915" t="s">
        <v>13</v>
      </c>
      <c r="F915" t="s">
        <v>14</v>
      </c>
      <c r="G915" t="s">
        <v>31</v>
      </c>
      <c r="H915" s="5">
        <v>400000</v>
      </c>
      <c r="I915">
        <v>0</v>
      </c>
      <c r="J915">
        <v>0</v>
      </c>
    </row>
    <row r="916" spans="1:10" x14ac:dyDescent="0.3">
      <c r="A916" t="s">
        <v>1000</v>
      </c>
      <c r="B916" s="3">
        <v>46247</v>
      </c>
      <c r="C916" t="s">
        <v>17</v>
      </c>
      <c r="D916" t="s">
        <v>18</v>
      </c>
      <c r="E916" t="s">
        <v>19</v>
      </c>
      <c r="F916" t="s">
        <v>14</v>
      </c>
      <c r="G916" t="s">
        <v>57</v>
      </c>
      <c r="H916" s="5">
        <v>205000</v>
      </c>
      <c r="I916">
        <v>0</v>
      </c>
      <c r="J916">
        <v>0</v>
      </c>
    </row>
    <row r="917" spans="1:10" x14ac:dyDescent="0.3">
      <c r="A917" t="s">
        <v>1001</v>
      </c>
      <c r="B917" s="3">
        <v>46247</v>
      </c>
      <c r="C917" t="s">
        <v>64</v>
      </c>
      <c r="D917" t="s">
        <v>65</v>
      </c>
      <c r="E917" t="s">
        <v>37</v>
      </c>
      <c r="F917" t="s">
        <v>20</v>
      </c>
      <c r="G917" t="s">
        <v>31</v>
      </c>
      <c r="H917" s="5">
        <v>1250000</v>
      </c>
      <c r="I917">
        <v>0</v>
      </c>
      <c r="J917">
        <v>0</v>
      </c>
    </row>
    <row r="918" spans="1:10" x14ac:dyDescent="0.3">
      <c r="A918" t="s">
        <v>1002</v>
      </c>
      <c r="B918" s="3">
        <v>46247</v>
      </c>
      <c r="C918" t="s">
        <v>25</v>
      </c>
      <c r="D918" t="s">
        <v>26</v>
      </c>
      <c r="E918" t="s">
        <v>27</v>
      </c>
      <c r="F918" t="s">
        <v>14</v>
      </c>
      <c r="G918" t="s">
        <v>34</v>
      </c>
      <c r="H918" s="5">
        <v>500000</v>
      </c>
      <c r="I918">
        <v>0</v>
      </c>
      <c r="J918">
        <v>0</v>
      </c>
    </row>
    <row r="919" spans="1:10" x14ac:dyDescent="0.3">
      <c r="A919" t="s">
        <v>1003</v>
      </c>
      <c r="B919" s="3">
        <v>46248</v>
      </c>
      <c r="C919" t="s">
        <v>29</v>
      </c>
      <c r="D919" t="s">
        <v>30</v>
      </c>
      <c r="E919" t="s">
        <v>13</v>
      </c>
      <c r="F919" t="s">
        <v>20</v>
      </c>
      <c r="G919" t="s">
        <v>61</v>
      </c>
      <c r="H919" s="5">
        <v>625000</v>
      </c>
      <c r="I919">
        <v>450000</v>
      </c>
      <c r="J919">
        <v>175000</v>
      </c>
    </row>
    <row r="920" spans="1:10" x14ac:dyDescent="0.3">
      <c r="A920" t="s">
        <v>1004</v>
      </c>
      <c r="B920" s="3">
        <v>46248</v>
      </c>
      <c r="C920" t="s">
        <v>41</v>
      </c>
      <c r="D920" t="s">
        <v>42</v>
      </c>
      <c r="E920" t="s">
        <v>43</v>
      </c>
      <c r="F920" t="s">
        <v>20</v>
      </c>
      <c r="G920" t="s">
        <v>40</v>
      </c>
      <c r="H920" s="5">
        <v>450000</v>
      </c>
      <c r="I920">
        <v>325000</v>
      </c>
      <c r="J920">
        <v>125000</v>
      </c>
    </row>
    <row r="921" spans="1:10" x14ac:dyDescent="0.3">
      <c r="A921" t="s">
        <v>1005</v>
      </c>
      <c r="B921" s="3">
        <v>46248</v>
      </c>
      <c r="C921" t="s">
        <v>38</v>
      </c>
      <c r="D921" t="s">
        <v>39</v>
      </c>
      <c r="E921" t="s">
        <v>24</v>
      </c>
      <c r="F921" t="s">
        <v>20</v>
      </c>
      <c r="G921" t="s">
        <v>40</v>
      </c>
      <c r="H921" s="5">
        <v>900000</v>
      </c>
      <c r="I921">
        <v>675000</v>
      </c>
      <c r="J921">
        <v>225000</v>
      </c>
    </row>
    <row r="922" spans="1:10" x14ac:dyDescent="0.3">
      <c r="A922" t="s">
        <v>1006</v>
      </c>
      <c r="B922" s="3">
        <v>46249</v>
      </c>
      <c r="C922" t="s">
        <v>41</v>
      </c>
      <c r="D922" t="s">
        <v>42</v>
      </c>
      <c r="E922" t="s">
        <v>43</v>
      </c>
      <c r="F922" t="s">
        <v>20</v>
      </c>
      <c r="G922" t="s">
        <v>15</v>
      </c>
      <c r="H922" s="5">
        <v>2550000</v>
      </c>
      <c r="I922">
        <v>0</v>
      </c>
      <c r="J922">
        <v>0</v>
      </c>
    </row>
    <row r="923" spans="1:10" x14ac:dyDescent="0.3">
      <c r="A923" t="s">
        <v>1007</v>
      </c>
      <c r="B923" s="3">
        <v>46250</v>
      </c>
      <c r="C923" t="s">
        <v>62</v>
      </c>
      <c r="D923" t="s">
        <v>63</v>
      </c>
      <c r="E923" t="s">
        <v>52</v>
      </c>
      <c r="F923" t="s">
        <v>20</v>
      </c>
      <c r="G923" t="s">
        <v>15</v>
      </c>
      <c r="H923" s="5">
        <v>1725000</v>
      </c>
      <c r="I923">
        <v>1250000</v>
      </c>
      <c r="J923">
        <v>475000</v>
      </c>
    </row>
    <row r="924" spans="1:10" x14ac:dyDescent="0.3">
      <c r="A924" t="s">
        <v>1008</v>
      </c>
      <c r="B924" s="3">
        <v>46250</v>
      </c>
      <c r="C924" t="s">
        <v>41</v>
      </c>
      <c r="D924" t="s">
        <v>42</v>
      </c>
      <c r="E924" t="s">
        <v>43</v>
      </c>
      <c r="F924" t="s">
        <v>14</v>
      </c>
      <c r="G924" t="s">
        <v>15</v>
      </c>
      <c r="H924" s="5">
        <v>3775000</v>
      </c>
      <c r="I924">
        <v>0</v>
      </c>
      <c r="J924">
        <v>0</v>
      </c>
    </row>
    <row r="925" spans="1:10" x14ac:dyDescent="0.3">
      <c r="A925" t="s">
        <v>1009</v>
      </c>
      <c r="B925" s="3">
        <v>46250</v>
      </c>
      <c r="C925" t="s">
        <v>25</v>
      </c>
      <c r="D925" t="s">
        <v>26</v>
      </c>
      <c r="E925" t="s">
        <v>27</v>
      </c>
      <c r="F925" t="s">
        <v>20</v>
      </c>
      <c r="G925" t="s">
        <v>31</v>
      </c>
      <c r="H925" s="5">
        <v>1225000</v>
      </c>
      <c r="I925">
        <v>0</v>
      </c>
      <c r="J925">
        <v>0</v>
      </c>
    </row>
    <row r="926" spans="1:10" x14ac:dyDescent="0.3">
      <c r="A926" t="s">
        <v>1010</v>
      </c>
      <c r="B926" s="3">
        <v>46250</v>
      </c>
      <c r="C926" t="s">
        <v>25</v>
      </c>
      <c r="D926" t="s">
        <v>26</v>
      </c>
      <c r="E926" t="s">
        <v>27</v>
      </c>
      <c r="F926" t="s">
        <v>20</v>
      </c>
      <c r="G926" t="s">
        <v>58</v>
      </c>
      <c r="H926" s="5">
        <v>1125000</v>
      </c>
      <c r="I926">
        <v>875000</v>
      </c>
      <c r="J926">
        <v>250000</v>
      </c>
    </row>
    <row r="927" spans="1:10" x14ac:dyDescent="0.3">
      <c r="A927" t="s">
        <v>1011</v>
      </c>
      <c r="B927" s="3">
        <v>46251</v>
      </c>
      <c r="C927" t="s">
        <v>64</v>
      </c>
      <c r="D927" t="s">
        <v>65</v>
      </c>
      <c r="E927" t="s">
        <v>37</v>
      </c>
      <c r="F927" t="s">
        <v>20</v>
      </c>
      <c r="G927" t="s">
        <v>58</v>
      </c>
      <c r="H927" s="5">
        <v>425000</v>
      </c>
      <c r="I927">
        <v>400000</v>
      </c>
      <c r="J927">
        <v>25000</v>
      </c>
    </row>
    <row r="928" spans="1:10" x14ac:dyDescent="0.3">
      <c r="A928" t="s">
        <v>1012</v>
      </c>
      <c r="B928" s="3">
        <v>46251</v>
      </c>
      <c r="C928" t="s">
        <v>66</v>
      </c>
      <c r="D928" t="s">
        <v>67</v>
      </c>
      <c r="E928" t="s">
        <v>13</v>
      </c>
      <c r="F928" t="s">
        <v>20</v>
      </c>
      <c r="G928" t="s">
        <v>57</v>
      </c>
      <c r="H928" s="5">
        <v>230000</v>
      </c>
      <c r="I928">
        <v>175000</v>
      </c>
      <c r="J928">
        <v>55000</v>
      </c>
    </row>
    <row r="929" spans="1:10" x14ac:dyDescent="0.3">
      <c r="A929" t="s">
        <v>1013</v>
      </c>
      <c r="B929" s="3">
        <v>46252</v>
      </c>
      <c r="C929" t="s">
        <v>46</v>
      </c>
      <c r="D929" t="s">
        <v>47</v>
      </c>
      <c r="E929" t="s">
        <v>37</v>
      </c>
      <c r="F929" t="s">
        <v>20</v>
      </c>
      <c r="G929" t="s">
        <v>34</v>
      </c>
      <c r="H929" s="5">
        <v>375000</v>
      </c>
      <c r="I929">
        <v>0</v>
      </c>
      <c r="J929">
        <v>0</v>
      </c>
    </row>
    <row r="930" spans="1:10" x14ac:dyDescent="0.3">
      <c r="A930" t="s">
        <v>1014</v>
      </c>
      <c r="B930" s="3">
        <v>46252</v>
      </c>
      <c r="C930" t="s">
        <v>32</v>
      </c>
      <c r="D930" t="s">
        <v>33</v>
      </c>
      <c r="E930" t="s">
        <v>27</v>
      </c>
      <c r="F930" t="s">
        <v>14</v>
      </c>
      <c r="G930" t="s">
        <v>40</v>
      </c>
      <c r="H930" s="5">
        <v>700000</v>
      </c>
      <c r="I930">
        <v>650000</v>
      </c>
      <c r="J930">
        <v>50000</v>
      </c>
    </row>
    <row r="931" spans="1:10" x14ac:dyDescent="0.3">
      <c r="A931" t="s">
        <v>1015</v>
      </c>
      <c r="B931" s="3">
        <v>46253</v>
      </c>
      <c r="C931" t="s">
        <v>29</v>
      </c>
      <c r="D931" t="s">
        <v>30</v>
      </c>
      <c r="E931" t="s">
        <v>13</v>
      </c>
      <c r="F931" t="s">
        <v>14</v>
      </c>
      <c r="G931" t="s">
        <v>28</v>
      </c>
      <c r="H931" s="5">
        <v>355000</v>
      </c>
      <c r="I931">
        <v>0</v>
      </c>
      <c r="J931">
        <v>0</v>
      </c>
    </row>
    <row r="932" spans="1:10" x14ac:dyDescent="0.3">
      <c r="A932" t="s">
        <v>1016</v>
      </c>
      <c r="B932" s="3">
        <v>46253</v>
      </c>
      <c r="C932" t="s">
        <v>35</v>
      </c>
      <c r="D932" t="s">
        <v>36</v>
      </c>
      <c r="E932" t="s">
        <v>37</v>
      </c>
      <c r="F932" t="s">
        <v>14</v>
      </c>
      <c r="G932" t="s">
        <v>58</v>
      </c>
      <c r="H932" s="5">
        <v>625000</v>
      </c>
      <c r="I932">
        <v>0</v>
      </c>
      <c r="J932">
        <v>0</v>
      </c>
    </row>
    <row r="933" spans="1:10" x14ac:dyDescent="0.3">
      <c r="A933" t="s">
        <v>1017</v>
      </c>
      <c r="B933" s="3">
        <v>46253</v>
      </c>
      <c r="C933" t="s">
        <v>44</v>
      </c>
      <c r="D933" t="s">
        <v>45</v>
      </c>
      <c r="E933" t="s">
        <v>43</v>
      </c>
      <c r="F933" t="s">
        <v>14</v>
      </c>
      <c r="G933" t="s">
        <v>61</v>
      </c>
      <c r="H933" s="5">
        <v>250000</v>
      </c>
      <c r="I933">
        <v>175000</v>
      </c>
      <c r="J933">
        <v>75000</v>
      </c>
    </row>
    <row r="934" spans="1:10" x14ac:dyDescent="0.3">
      <c r="A934" t="s">
        <v>1018</v>
      </c>
      <c r="B934" s="3">
        <v>46253</v>
      </c>
      <c r="C934" t="s">
        <v>17</v>
      </c>
      <c r="D934" t="s">
        <v>18</v>
      </c>
      <c r="E934" t="s">
        <v>19</v>
      </c>
      <c r="F934" t="s">
        <v>20</v>
      </c>
      <c r="G934" t="s">
        <v>58</v>
      </c>
      <c r="H934" s="5">
        <v>375000</v>
      </c>
      <c r="I934">
        <v>300000</v>
      </c>
      <c r="J934">
        <v>75000</v>
      </c>
    </row>
    <row r="935" spans="1:10" x14ac:dyDescent="0.3">
      <c r="A935" t="s">
        <v>1019</v>
      </c>
      <c r="B935" s="3">
        <v>46253</v>
      </c>
      <c r="C935" t="s">
        <v>17</v>
      </c>
      <c r="D935" t="s">
        <v>18</v>
      </c>
      <c r="E935" t="s">
        <v>19</v>
      </c>
      <c r="F935" t="s">
        <v>14</v>
      </c>
      <c r="G935" t="s">
        <v>58</v>
      </c>
      <c r="H935" s="5">
        <v>925000</v>
      </c>
      <c r="I935">
        <v>0</v>
      </c>
      <c r="J935">
        <v>0</v>
      </c>
    </row>
    <row r="936" spans="1:10" x14ac:dyDescent="0.3">
      <c r="A936" t="s">
        <v>1020</v>
      </c>
      <c r="B936" s="3">
        <v>46253</v>
      </c>
      <c r="C936" t="s">
        <v>22</v>
      </c>
      <c r="D936" t="s">
        <v>23</v>
      </c>
      <c r="E936" t="s">
        <v>24</v>
      </c>
      <c r="F936" t="s">
        <v>14</v>
      </c>
      <c r="G936" t="s">
        <v>61</v>
      </c>
      <c r="H936" s="5">
        <v>625000</v>
      </c>
      <c r="I936">
        <v>450000</v>
      </c>
      <c r="J936">
        <v>175000</v>
      </c>
    </row>
    <row r="937" spans="1:10" x14ac:dyDescent="0.3">
      <c r="A937" t="s">
        <v>1021</v>
      </c>
      <c r="B937" s="3">
        <v>46253</v>
      </c>
      <c r="C937" t="s">
        <v>25</v>
      </c>
      <c r="D937" t="s">
        <v>26</v>
      </c>
      <c r="E937" t="s">
        <v>27</v>
      </c>
      <c r="F937" t="s">
        <v>14</v>
      </c>
      <c r="G937" t="s">
        <v>31</v>
      </c>
      <c r="H937" s="5">
        <v>525000</v>
      </c>
      <c r="I937">
        <v>450000</v>
      </c>
      <c r="J937">
        <v>75000</v>
      </c>
    </row>
    <row r="938" spans="1:10" x14ac:dyDescent="0.3">
      <c r="A938" t="s">
        <v>1022</v>
      </c>
      <c r="B938" s="3">
        <v>46254</v>
      </c>
      <c r="C938" t="s">
        <v>48</v>
      </c>
      <c r="D938" t="s">
        <v>49</v>
      </c>
      <c r="E938" t="s">
        <v>19</v>
      </c>
      <c r="F938" t="s">
        <v>20</v>
      </c>
      <c r="G938" t="s">
        <v>40</v>
      </c>
      <c r="H938" s="5">
        <v>750000</v>
      </c>
      <c r="I938">
        <v>650000</v>
      </c>
      <c r="J938">
        <v>100000</v>
      </c>
    </row>
    <row r="939" spans="1:10" x14ac:dyDescent="0.3">
      <c r="A939" t="s">
        <v>1023</v>
      </c>
      <c r="B939" s="3">
        <v>46254</v>
      </c>
      <c r="C939" t="s">
        <v>68</v>
      </c>
      <c r="D939" t="s">
        <v>69</v>
      </c>
      <c r="E939" t="s">
        <v>27</v>
      </c>
      <c r="F939" t="s">
        <v>20</v>
      </c>
      <c r="G939" t="s">
        <v>31</v>
      </c>
      <c r="H939" s="5">
        <v>350000</v>
      </c>
      <c r="I939">
        <v>0</v>
      </c>
      <c r="J939">
        <v>0</v>
      </c>
    </row>
    <row r="940" spans="1:10" x14ac:dyDescent="0.3">
      <c r="A940" t="s">
        <v>1024</v>
      </c>
      <c r="B940" s="3">
        <v>46254</v>
      </c>
      <c r="C940" t="s">
        <v>64</v>
      </c>
      <c r="D940" t="s">
        <v>65</v>
      </c>
      <c r="E940" t="s">
        <v>37</v>
      </c>
      <c r="F940" t="s">
        <v>14</v>
      </c>
      <c r="G940" t="s">
        <v>28</v>
      </c>
      <c r="H940" s="5">
        <v>80000</v>
      </c>
      <c r="I940">
        <v>75000</v>
      </c>
      <c r="J940">
        <v>5000</v>
      </c>
    </row>
    <row r="941" spans="1:10" x14ac:dyDescent="0.3">
      <c r="A941" t="s">
        <v>1025</v>
      </c>
      <c r="B941" s="3">
        <v>46254</v>
      </c>
      <c r="C941" t="s">
        <v>66</v>
      </c>
      <c r="D941" t="s">
        <v>67</v>
      </c>
      <c r="E941" t="s">
        <v>13</v>
      </c>
      <c r="F941" t="s">
        <v>20</v>
      </c>
      <c r="G941" t="s">
        <v>40</v>
      </c>
      <c r="H941" s="5">
        <v>875000</v>
      </c>
      <c r="I941">
        <v>825000</v>
      </c>
      <c r="J941">
        <v>50000</v>
      </c>
    </row>
    <row r="942" spans="1:10" x14ac:dyDescent="0.3">
      <c r="A942" t="s">
        <v>1026</v>
      </c>
      <c r="B942" s="3">
        <v>46254</v>
      </c>
      <c r="C942" t="s">
        <v>53</v>
      </c>
      <c r="D942" t="s">
        <v>54</v>
      </c>
      <c r="E942" t="s">
        <v>43</v>
      </c>
      <c r="F942" t="s">
        <v>20</v>
      </c>
      <c r="G942" t="s">
        <v>34</v>
      </c>
      <c r="H942" s="5">
        <v>150000</v>
      </c>
      <c r="I942">
        <v>0</v>
      </c>
      <c r="J942">
        <v>0</v>
      </c>
    </row>
    <row r="943" spans="1:10" x14ac:dyDescent="0.3">
      <c r="A943" t="s">
        <v>1027</v>
      </c>
      <c r="B943" s="3">
        <v>46254</v>
      </c>
      <c r="C943" t="s">
        <v>22</v>
      </c>
      <c r="D943" t="s">
        <v>23</v>
      </c>
      <c r="E943" t="s">
        <v>24</v>
      </c>
      <c r="F943" t="s">
        <v>14</v>
      </c>
      <c r="G943" t="s">
        <v>58</v>
      </c>
      <c r="H943" s="5">
        <v>250000</v>
      </c>
      <c r="I943">
        <v>0</v>
      </c>
      <c r="J943">
        <v>0</v>
      </c>
    </row>
    <row r="944" spans="1:10" x14ac:dyDescent="0.3">
      <c r="A944" t="s">
        <v>1028</v>
      </c>
      <c r="B944" s="3">
        <v>46255</v>
      </c>
      <c r="C944" t="s">
        <v>55</v>
      </c>
      <c r="D944" t="s">
        <v>56</v>
      </c>
      <c r="E944" t="s">
        <v>24</v>
      </c>
      <c r="F944" t="s">
        <v>14</v>
      </c>
      <c r="G944" t="s">
        <v>34</v>
      </c>
      <c r="H944" s="5">
        <v>175000</v>
      </c>
      <c r="I944">
        <v>0</v>
      </c>
      <c r="J944">
        <v>0</v>
      </c>
    </row>
    <row r="945" spans="1:10" x14ac:dyDescent="0.3">
      <c r="A945" t="s">
        <v>1029</v>
      </c>
      <c r="B945" s="3">
        <v>46255</v>
      </c>
      <c r="C945" t="s">
        <v>41</v>
      </c>
      <c r="D945" t="s">
        <v>42</v>
      </c>
      <c r="E945" t="s">
        <v>43</v>
      </c>
      <c r="F945" t="s">
        <v>20</v>
      </c>
      <c r="G945" t="s">
        <v>58</v>
      </c>
      <c r="H945" s="5">
        <v>1175000</v>
      </c>
      <c r="I945">
        <v>1125000</v>
      </c>
      <c r="J945">
        <v>50000</v>
      </c>
    </row>
    <row r="946" spans="1:10" x14ac:dyDescent="0.3">
      <c r="A946" t="s">
        <v>1030</v>
      </c>
      <c r="B946" s="3">
        <v>46255</v>
      </c>
      <c r="C946" t="s">
        <v>17</v>
      </c>
      <c r="D946" t="s">
        <v>18</v>
      </c>
      <c r="E946" t="s">
        <v>19</v>
      </c>
      <c r="F946" t="s">
        <v>20</v>
      </c>
      <c r="G946" t="s">
        <v>40</v>
      </c>
      <c r="H946" s="5">
        <v>675000</v>
      </c>
      <c r="I946">
        <v>0</v>
      </c>
      <c r="J946">
        <v>0</v>
      </c>
    </row>
    <row r="947" spans="1:10" x14ac:dyDescent="0.3">
      <c r="A947" t="s">
        <v>1031</v>
      </c>
      <c r="B947" s="3">
        <v>46255</v>
      </c>
      <c r="C947" t="s">
        <v>66</v>
      </c>
      <c r="D947" t="s">
        <v>67</v>
      </c>
      <c r="E947" t="s">
        <v>13</v>
      </c>
      <c r="F947" t="s">
        <v>20</v>
      </c>
      <c r="G947" t="s">
        <v>58</v>
      </c>
      <c r="H947" s="5">
        <v>1050000</v>
      </c>
      <c r="I947">
        <v>1050000</v>
      </c>
      <c r="J947">
        <v>0</v>
      </c>
    </row>
    <row r="948" spans="1:10" x14ac:dyDescent="0.3">
      <c r="A948" t="s">
        <v>1032</v>
      </c>
      <c r="B948" s="3">
        <v>46255</v>
      </c>
      <c r="C948" t="s">
        <v>66</v>
      </c>
      <c r="D948" t="s">
        <v>67</v>
      </c>
      <c r="E948" t="s">
        <v>13</v>
      </c>
      <c r="F948" t="s">
        <v>20</v>
      </c>
      <c r="G948" t="s">
        <v>31</v>
      </c>
      <c r="H948" s="5">
        <v>625000</v>
      </c>
      <c r="I948">
        <v>0</v>
      </c>
      <c r="J948">
        <v>0</v>
      </c>
    </row>
    <row r="949" spans="1:10" x14ac:dyDescent="0.3">
      <c r="A949" t="s">
        <v>1033</v>
      </c>
      <c r="B949" s="3">
        <v>46255</v>
      </c>
      <c r="C949" t="s">
        <v>53</v>
      </c>
      <c r="D949" t="s">
        <v>54</v>
      </c>
      <c r="E949" t="s">
        <v>43</v>
      </c>
      <c r="F949" t="s">
        <v>20</v>
      </c>
      <c r="G949" t="s">
        <v>58</v>
      </c>
      <c r="H949" s="5">
        <v>800000</v>
      </c>
      <c r="I949">
        <v>0</v>
      </c>
      <c r="J949">
        <v>0</v>
      </c>
    </row>
    <row r="950" spans="1:10" x14ac:dyDescent="0.3">
      <c r="A950" t="s">
        <v>1034</v>
      </c>
      <c r="B950" s="3">
        <v>46255</v>
      </c>
      <c r="C950" t="s">
        <v>22</v>
      </c>
      <c r="D950" t="s">
        <v>23</v>
      </c>
      <c r="E950" t="s">
        <v>24</v>
      </c>
      <c r="F950" t="s">
        <v>20</v>
      </c>
      <c r="G950" t="s">
        <v>28</v>
      </c>
      <c r="H950" s="5">
        <v>155000</v>
      </c>
      <c r="I950">
        <v>125000</v>
      </c>
      <c r="J950">
        <v>30000</v>
      </c>
    </row>
    <row r="951" spans="1:10" x14ac:dyDescent="0.3">
      <c r="A951" t="s">
        <v>1035</v>
      </c>
      <c r="B951" s="3">
        <v>46255</v>
      </c>
      <c r="C951" t="s">
        <v>25</v>
      </c>
      <c r="D951" t="s">
        <v>26</v>
      </c>
      <c r="E951" t="s">
        <v>27</v>
      </c>
      <c r="F951" t="s">
        <v>14</v>
      </c>
      <c r="G951" t="s">
        <v>31</v>
      </c>
      <c r="H951" s="5">
        <v>225000</v>
      </c>
      <c r="I951">
        <v>200000</v>
      </c>
      <c r="J951">
        <v>25000</v>
      </c>
    </row>
    <row r="952" spans="1:10" x14ac:dyDescent="0.3">
      <c r="A952" t="s">
        <v>1036</v>
      </c>
      <c r="B952" s="3">
        <v>46256</v>
      </c>
      <c r="C952" t="s">
        <v>48</v>
      </c>
      <c r="D952" t="s">
        <v>49</v>
      </c>
      <c r="E952" t="s">
        <v>19</v>
      </c>
      <c r="F952" t="s">
        <v>14</v>
      </c>
      <c r="G952" t="s">
        <v>28</v>
      </c>
      <c r="H952" s="5">
        <v>80000</v>
      </c>
      <c r="I952">
        <v>0</v>
      </c>
      <c r="J952">
        <v>0</v>
      </c>
    </row>
    <row r="953" spans="1:10" x14ac:dyDescent="0.3">
      <c r="A953" t="s">
        <v>1037</v>
      </c>
      <c r="B953" s="3">
        <v>46256</v>
      </c>
      <c r="C953" t="s">
        <v>11</v>
      </c>
      <c r="D953" t="s">
        <v>12</v>
      </c>
      <c r="E953" t="s">
        <v>13</v>
      </c>
      <c r="F953" t="s">
        <v>20</v>
      </c>
      <c r="G953" t="s">
        <v>15</v>
      </c>
      <c r="H953" s="5">
        <v>3975000</v>
      </c>
      <c r="I953">
        <v>3325000</v>
      </c>
      <c r="J953">
        <v>650000</v>
      </c>
    </row>
    <row r="954" spans="1:10" x14ac:dyDescent="0.3">
      <c r="A954" t="s">
        <v>1038</v>
      </c>
      <c r="B954" s="3">
        <v>46256</v>
      </c>
      <c r="C954" t="s">
        <v>35</v>
      </c>
      <c r="D954" t="s">
        <v>36</v>
      </c>
      <c r="E954" t="s">
        <v>37</v>
      </c>
      <c r="F954" t="s">
        <v>14</v>
      </c>
      <c r="G954" t="s">
        <v>61</v>
      </c>
      <c r="H954" s="5">
        <v>625000</v>
      </c>
      <c r="I954">
        <v>0</v>
      </c>
      <c r="J954">
        <v>0</v>
      </c>
    </row>
    <row r="955" spans="1:10" x14ac:dyDescent="0.3">
      <c r="A955" t="s">
        <v>1039</v>
      </c>
      <c r="B955" s="3">
        <v>46256</v>
      </c>
      <c r="C955" t="s">
        <v>38</v>
      </c>
      <c r="D955" t="s">
        <v>39</v>
      </c>
      <c r="E955" t="s">
        <v>24</v>
      </c>
      <c r="F955" t="s">
        <v>20</v>
      </c>
      <c r="G955" t="s">
        <v>57</v>
      </c>
      <c r="H955" s="5">
        <v>455000</v>
      </c>
      <c r="I955">
        <v>0</v>
      </c>
      <c r="J955">
        <v>0</v>
      </c>
    </row>
    <row r="956" spans="1:10" x14ac:dyDescent="0.3">
      <c r="A956" t="s">
        <v>1040</v>
      </c>
      <c r="B956" s="3">
        <v>46256</v>
      </c>
      <c r="C956" t="s">
        <v>64</v>
      </c>
      <c r="D956" t="s">
        <v>65</v>
      </c>
      <c r="E956" t="s">
        <v>37</v>
      </c>
      <c r="F956" t="s">
        <v>20</v>
      </c>
      <c r="G956" t="s">
        <v>61</v>
      </c>
      <c r="H956" s="5">
        <v>125000</v>
      </c>
      <c r="I956">
        <v>0</v>
      </c>
      <c r="J956">
        <v>0</v>
      </c>
    </row>
    <row r="957" spans="1:10" x14ac:dyDescent="0.3">
      <c r="A957" t="s">
        <v>1041</v>
      </c>
      <c r="B957" s="3">
        <v>46256</v>
      </c>
      <c r="C957" t="s">
        <v>53</v>
      </c>
      <c r="D957" t="s">
        <v>54</v>
      </c>
      <c r="E957" t="s">
        <v>43</v>
      </c>
      <c r="F957" t="s">
        <v>14</v>
      </c>
      <c r="G957" t="s">
        <v>28</v>
      </c>
      <c r="H957" s="5">
        <v>480000</v>
      </c>
      <c r="I957">
        <v>475000</v>
      </c>
      <c r="J957">
        <v>5000</v>
      </c>
    </row>
    <row r="958" spans="1:10" x14ac:dyDescent="0.3">
      <c r="A958" t="s">
        <v>1042</v>
      </c>
      <c r="B958" s="3">
        <v>46257</v>
      </c>
      <c r="C958" t="s">
        <v>29</v>
      </c>
      <c r="D958" t="s">
        <v>30</v>
      </c>
      <c r="E958" t="s">
        <v>13</v>
      </c>
      <c r="F958" t="s">
        <v>20</v>
      </c>
      <c r="G958" t="s">
        <v>57</v>
      </c>
      <c r="H958" s="5">
        <v>255000</v>
      </c>
      <c r="I958">
        <v>250000</v>
      </c>
      <c r="J958">
        <v>5000</v>
      </c>
    </row>
    <row r="959" spans="1:10" x14ac:dyDescent="0.3">
      <c r="A959" t="s">
        <v>1043</v>
      </c>
      <c r="B959" s="3">
        <v>46257</v>
      </c>
      <c r="C959" t="s">
        <v>29</v>
      </c>
      <c r="D959" t="s">
        <v>30</v>
      </c>
      <c r="E959" t="s">
        <v>13</v>
      </c>
      <c r="F959" t="s">
        <v>20</v>
      </c>
      <c r="G959" t="s">
        <v>61</v>
      </c>
      <c r="H959" s="5">
        <v>700000</v>
      </c>
      <c r="I959">
        <v>0</v>
      </c>
      <c r="J959">
        <v>0</v>
      </c>
    </row>
    <row r="960" spans="1:10" x14ac:dyDescent="0.3">
      <c r="A960" t="s">
        <v>1044</v>
      </c>
      <c r="B960" s="3">
        <v>46257</v>
      </c>
      <c r="C960" t="s">
        <v>62</v>
      </c>
      <c r="D960" t="s">
        <v>63</v>
      </c>
      <c r="E960" t="s">
        <v>52</v>
      </c>
      <c r="F960" t="s">
        <v>14</v>
      </c>
      <c r="G960" t="s">
        <v>28</v>
      </c>
      <c r="H960" s="5">
        <v>155000</v>
      </c>
      <c r="I960">
        <v>150000</v>
      </c>
      <c r="J960">
        <v>5000</v>
      </c>
    </row>
    <row r="961" spans="1:10" x14ac:dyDescent="0.3">
      <c r="A961" t="s">
        <v>1045</v>
      </c>
      <c r="B961" s="3">
        <v>46257</v>
      </c>
      <c r="C961" t="s">
        <v>44</v>
      </c>
      <c r="D961" t="s">
        <v>45</v>
      </c>
      <c r="E961" t="s">
        <v>43</v>
      </c>
      <c r="F961" t="s">
        <v>20</v>
      </c>
      <c r="G961" t="s">
        <v>58</v>
      </c>
      <c r="H961" s="5">
        <v>1050000</v>
      </c>
      <c r="I961">
        <v>925000</v>
      </c>
      <c r="J961">
        <v>125000</v>
      </c>
    </row>
    <row r="962" spans="1:10" x14ac:dyDescent="0.3">
      <c r="A962" t="s">
        <v>1046</v>
      </c>
      <c r="B962" s="3">
        <v>46257</v>
      </c>
      <c r="C962" t="s">
        <v>64</v>
      </c>
      <c r="D962" t="s">
        <v>65</v>
      </c>
      <c r="E962" t="s">
        <v>37</v>
      </c>
      <c r="F962" t="s">
        <v>20</v>
      </c>
      <c r="G962" t="s">
        <v>58</v>
      </c>
      <c r="H962" s="5">
        <v>1175000</v>
      </c>
      <c r="I962">
        <v>1100000</v>
      </c>
      <c r="J962">
        <v>75000</v>
      </c>
    </row>
    <row r="963" spans="1:10" x14ac:dyDescent="0.3">
      <c r="A963" t="s">
        <v>1047</v>
      </c>
      <c r="B963" s="3">
        <v>46258</v>
      </c>
      <c r="C963" t="s">
        <v>44</v>
      </c>
      <c r="D963" t="s">
        <v>45</v>
      </c>
      <c r="E963" t="s">
        <v>43</v>
      </c>
      <c r="F963" t="s">
        <v>14</v>
      </c>
      <c r="G963" t="s">
        <v>61</v>
      </c>
      <c r="H963" s="5">
        <v>650000</v>
      </c>
      <c r="I963">
        <v>525000</v>
      </c>
      <c r="J963">
        <v>125000</v>
      </c>
    </row>
    <row r="964" spans="1:10" x14ac:dyDescent="0.3">
      <c r="A964" t="s">
        <v>1048</v>
      </c>
      <c r="B964" s="3">
        <v>46258</v>
      </c>
      <c r="C964" t="s">
        <v>17</v>
      </c>
      <c r="D964" t="s">
        <v>18</v>
      </c>
      <c r="E964" t="s">
        <v>19</v>
      </c>
      <c r="F964" t="s">
        <v>14</v>
      </c>
      <c r="G964" t="s">
        <v>58</v>
      </c>
      <c r="H964" s="5">
        <v>600000</v>
      </c>
      <c r="I964">
        <v>500000</v>
      </c>
      <c r="J964">
        <v>100000</v>
      </c>
    </row>
    <row r="965" spans="1:10" x14ac:dyDescent="0.3">
      <c r="A965" t="s">
        <v>1049</v>
      </c>
      <c r="B965" s="3">
        <v>46258</v>
      </c>
      <c r="C965" t="s">
        <v>64</v>
      </c>
      <c r="D965" t="s">
        <v>65</v>
      </c>
      <c r="E965" t="s">
        <v>37</v>
      </c>
      <c r="F965" t="s">
        <v>14</v>
      </c>
      <c r="G965" t="s">
        <v>61</v>
      </c>
      <c r="H965" s="5">
        <v>375000</v>
      </c>
      <c r="I965">
        <v>325000</v>
      </c>
      <c r="J965">
        <v>50000</v>
      </c>
    </row>
    <row r="966" spans="1:10" x14ac:dyDescent="0.3">
      <c r="A966" t="s">
        <v>1050</v>
      </c>
      <c r="B966" s="3">
        <v>46258</v>
      </c>
      <c r="C966" t="s">
        <v>64</v>
      </c>
      <c r="D966" t="s">
        <v>65</v>
      </c>
      <c r="E966" t="s">
        <v>37</v>
      </c>
      <c r="F966" t="s">
        <v>20</v>
      </c>
      <c r="G966" t="s">
        <v>61</v>
      </c>
      <c r="H966" s="5">
        <v>125000</v>
      </c>
      <c r="I966">
        <v>100000</v>
      </c>
      <c r="J966">
        <v>25000</v>
      </c>
    </row>
    <row r="967" spans="1:10" x14ac:dyDescent="0.3">
      <c r="A967" t="s">
        <v>1051</v>
      </c>
      <c r="B967" s="3">
        <v>46258</v>
      </c>
      <c r="C967" t="s">
        <v>66</v>
      </c>
      <c r="D967" t="s">
        <v>67</v>
      </c>
      <c r="E967" t="s">
        <v>13</v>
      </c>
      <c r="F967" t="s">
        <v>20</v>
      </c>
      <c r="G967" t="s">
        <v>40</v>
      </c>
      <c r="H967" s="5">
        <v>275000</v>
      </c>
      <c r="I967">
        <v>0</v>
      </c>
      <c r="J967">
        <v>0</v>
      </c>
    </row>
    <row r="968" spans="1:10" x14ac:dyDescent="0.3">
      <c r="A968" t="s">
        <v>1052</v>
      </c>
      <c r="B968" s="3">
        <v>46258</v>
      </c>
      <c r="C968" t="s">
        <v>22</v>
      </c>
      <c r="D968" t="s">
        <v>23</v>
      </c>
      <c r="E968" t="s">
        <v>24</v>
      </c>
      <c r="F968" t="s">
        <v>20</v>
      </c>
      <c r="G968" t="s">
        <v>58</v>
      </c>
      <c r="H968" s="5">
        <v>575000</v>
      </c>
      <c r="I968">
        <v>0</v>
      </c>
      <c r="J968">
        <v>0</v>
      </c>
    </row>
    <row r="969" spans="1:10" x14ac:dyDescent="0.3">
      <c r="A969" t="s">
        <v>1053</v>
      </c>
      <c r="B969" s="3">
        <v>46258</v>
      </c>
      <c r="C969" t="s">
        <v>25</v>
      </c>
      <c r="D969" t="s">
        <v>26</v>
      </c>
      <c r="E969" t="s">
        <v>27</v>
      </c>
      <c r="F969" t="s">
        <v>20</v>
      </c>
      <c r="G969" t="s">
        <v>31</v>
      </c>
      <c r="H969" s="5">
        <v>525000</v>
      </c>
      <c r="I969">
        <v>425000</v>
      </c>
      <c r="J969">
        <v>100000</v>
      </c>
    </row>
    <row r="970" spans="1:10" x14ac:dyDescent="0.3">
      <c r="A970" t="s">
        <v>1054</v>
      </c>
      <c r="B970" s="3">
        <v>46259</v>
      </c>
      <c r="C970" t="s">
        <v>41</v>
      </c>
      <c r="D970" t="s">
        <v>42</v>
      </c>
      <c r="E970" t="s">
        <v>43</v>
      </c>
      <c r="F970" t="s">
        <v>20</v>
      </c>
      <c r="G970" t="s">
        <v>28</v>
      </c>
      <c r="H970" s="5">
        <v>80000</v>
      </c>
      <c r="I970">
        <v>0</v>
      </c>
      <c r="J970">
        <v>0</v>
      </c>
    </row>
    <row r="971" spans="1:10" x14ac:dyDescent="0.3">
      <c r="A971" t="s">
        <v>1055</v>
      </c>
      <c r="B971" s="3">
        <v>46259</v>
      </c>
      <c r="C971" t="s">
        <v>35</v>
      </c>
      <c r="D971" t="s">
        <v>36</v>
      </c>
      <c r="E971" t="s">
        <v>37</v>
      </c>
      <c r="F971" t="s">
        <v>20</v>
      </c>
      <c r="G971" t="s">
        <v>28</v>
      </c>
      <c r="H971" s="5">
        <v>105000</v>
      </c>
      <c r="I971">
        <v>75000</v>
      </c>
      <c r="J971">
        <v>30000</v>
      </c>
    </row>
    <row r="972" spans="1:10" x14ac:dyDescent="0.3">
      <c r="A972" t="s">
        <v>1056</v>
      </c>
      <c r="B972" s="3">
        <v>46259</v>
      </c>
      <c r="C972" t="s">
        <v>38</v>
      </c>
      <c r="D972" t="s">
        <v>39</v>
      </c>
      <c r="E972" t="s">
        <v>24</v>
      </c>
      <c r="F972" t="s">
        <v>14</v>
      </c>
      <c r="G972" t="s">
        <v>40</v>
      </c>
      <c r="H972" s="5">
        <v>350000</v>
      </c>
      <c r="I972">
        <v>325000</v>
      </c>
      <c r="J972">
        <v>25000</v>
      </c>
    </row>
    <row r="973" spans="1:10" x14ac:dyDescent="0.3">
      <c r="A973" t="s">
        <v>1057</v>
      </c>
      <c r="B973" s="3">
        <v>46259</v>
      </c>
      <c r="C973" t="s">
        <v>25</v>
      </c>
      <c r="D973" t="s">
        <v>26</v>
      </c>
      <c r="E973" t="s">
        <v>27</v>
      </c>
      <c r="F973" t="s">
        <v>20</v>
      </c>
      <c r="G973" t="s">
        <v>40</v>
      </c>
      <c r="H973" s="5">
        <v>575000</v>
      </c>
      <c r="I973">
        <v>0</v>
      </c>
      <c r="J973">
        <v>0</v>
      </c>
    </row>
    <row r="974" spans="1:10" x14ac:dyDescent="0.3">
      <c r="A974" t="s">
        <v>1058</v>
      </c>
      <c r="B974" s="3">
        <v>46260</v>
      </c>
      <c r="C974" t="s">
        <v>48</v>
      </c>
      <c r="D974" t="s">
        <v>49</v>
      </c>
      <c r="E974" t="s">
        <v>19</v>
      </c>
      <c r="F974" t="s">
        <v>14</v>
      </c>
      <c r="G974" t="s">
        <v>58</v>
      </c>
      <c r="H974" s="5">
        <v>625000</v>
      </c>
      <c r="I974">
        <v>575000</v>
      </c>
      <c r="J974">
        <v>50000</v>
      </c>
    </row>
    <row r="975" spans="1:10" x14ac:dyDescent="0.3">
      <c r="A975" t="s">
        <v>1059</v>
      </c>
      <c r="B975" s="3">
        <v>46260</v>
      </c>
      <c r="C975" t="s">
        <v>62</v>
      </c>
      <c r="D975" t="s">
        <v>63</v>
      </c>
      <c r="E975" t="s">
        <v>52</v>
      </c>
      <c r="F975" t="s">
        <v>20</v>
      </c>
      <c r="G975" t="s">
        <v>61</v>
      </c>
      <c r="H975" s="5">
        <v>425000</v>
      </c>
      <c r="I975">
        <v>0</v>
      </c>
      <c r="J975">
        <v>0</v>
      </c>
    </row>
    <row r="976" spans="1:10" x14ac:dyDescent="0.3">
      <c r="A976" t="s">
        <v>1060</v>
      </c>
      <c r="B976" s="3">
        <v>46260</v>
      </c>
      <c r="C976" t="s">
        <v>53</v>
      </c>
      <c r="D976" t="s">
        <v>54</v>
      </c>
      <c r="E976" t="s">
        <v>43</v>
      </c>
      <c r="F976" t="s">
        <v>20</v>
      </c>
      <c r="G976" t="s">
        <v>31</v>
      </c>
      <c r="H976" s="5">
        <v>675000</v>
      </c>
      <c r="I976">
        <v>0</v>
      </c>
      <c r="J976">
        <v>0</v>
      </c>
    </row>
    <row r="977" spans="1:10" x14ac:dyDescent="0.3">
      <c r="A977" t="s">
        <v>1061</v>
      </c>
      <c r="B977" s="3">
        <v>46261</v>
      </c>
      <c r="C977" t="s">
        <v>55</v>
      </c>
      <c r="D977" t="s">
        <v>56</v>
      </c>
      <c r="E977" t="s">
        <v>24</v>
      </c>
      <c r="F977" t="s">
        <v>20</v>
      </c>
      <c r="G977" t="s">
        <v>15</v>
      </c>
      <c r="H977" s="5">
        <v>3400000</v>
      </c>
      <c r="I977">
        <v>3400000</v>
      </c>
      <c r="J977">
        <v>0</v>
      </c>
    </row>
    <row r="978" spans="1:10" x14ac:dyDescent="0.3">
      <c r="A978" t="s">
        <v>1062</v>
      </c>
      <c r="B978" s="3">
        <v>46261</v>
      </c>
      <c r="C978" t="s">
        <v>35</v>
      </c>
      <c r="D978" t="s">
        <v>36</v>
      </c>
      <c r="E978" t="s">
        <v>37</v>
      </c>
      <c r="F978" t="s">
        <v>20</v>
      </c>
      <c r="G978" t="s">
        <v>57</v>
      </c>
      <c r="H978" s="5">
        <v>255000</v>
      </c>
      <c r="I978">
        <v>0</v>
      </c>
      <c r="J978">
        <v>0</v>
      </c>
    </row>
    <row r="979" spans="1:10" x14ac:dyDescent="0.3">
      <c r="A979" t="s">
        <v>1063</v>
      </c>
      <c r="B979" s="3">
        <v>46261</v>
      </c>
      <c r="C979" t="s">
        <v>44</v>
      </c>
      <c r="D979" t="s">
        <v>45</v>
      </c>
      <c r="E979" t="s">
        <v>43</v>
      </c>
      <c r="F979" t="s">
        <v>14</v>
      </c>
      <c r="G979" t="s">
        <v>57</v>
      </c>
      <c r="H979" s="5">
        <v>430000</v>
      </c>
      <c r="I979">
        <v>400000</v>
      </c>
      <c r="J979">
        <v>30000</v>
      </c>
    </row>
    <row r="980" spans="1:10" x14ac:dyDescent="0.3">
      <c r="A980" t="s">
        <v>1064</v>
      </c>
      <c r="B980" s="3">
        <v>46261</v>
      </c>
      <c r="C980" t="s">
        <v>17</v>
      </c>
      <c r="D980" t="s">
        <v>18</v>
      </c>
      <c r="E980" t="s">
        <v>19</v>
      </c>
      <c r="F980" t="s">
        <v>14</v>
      </c>
      <c r="G980" t="s">
        <v>28</v>
      </c>
      <c r="H980" s="5">
        <v>480000</v>
      </c>
      <c r="I980">
        <v>0</v>
      </c>
      <c r="J980">
        <v>0</v>
      </c>
    </row>
    <row r="981" spans="1:10" x14ac:dyDescent="0.3">
      <c r="A981" t="s">
        <v>1065</v>
      </c>
      <c r="B981" s="3">
        <v>46261</v>
      </c>
      <c r="C981" t="s">
        <v>66</v>
      </c>
      <c r="D981" t="s">
        <v>67</v>
      </c>
      <c r="E981" t="s">
        <v>13</v>
      </c>
      <c r="F981" t="s">
        <v>20</v>
      </c>
      <c r="G981" t="s">
        <v>34</v>
      </c>
      <c r="H981" s="5">
        <v>400000</v>
      </c>
      <c r="I981">
        <v>375000</v>
      </c>
      <c r="J981">
        <v>25000</v>
      </c>
    </row>
    <row r="982" spans="1:10" x14ac:dyDescent="0.3">
      <c r="A982" t="s">
        <v>1066</v>
      </c>
      <c r="B982" s="3">
        <v>46261</v>
      </c>
      <c r="C982" t="s">
        <v>22</v>
      </c>
      <c r="D982" t="s">
        <v>23</v>
      </c>
      <c r="E982" t="s">
        <v>24</v>
      </c>
      <c r="F982" t="s">
        <v>20</v>
      </c>
      <c r="G982" t="s">
        <v>40</v>
      </c>
      <c r="H982" s="5">
        <v>450000</v>
      </c>
      <c r="I982">
        <v>450000</v>
      </c>
      <c r="J982">
        <v>0</v>
      </c>
    </row>
    <row r="983" spans="1:10" x14ac:dyDescent="0.3">
      <c r="A983" t="s">
        <v>1067</v>
      </c>
      <c r="B983" s="3">
        <v>46262</v>
      </c>
      <c r="C983" t="s">
        <v>46</v>
      </c>
      <c r="D983" t="s">
        <v>47</v>
      </c>
      <c r="E983" t="s">
        <v>37</v>
      </c>
      <c r="F983" t="s">
        <v>14</v>
      </c>
      <c r="G983" t="s">
        <v>61</v>
      </c>
      <c r="H983" s="5">
        <v>250000</v>
      </c>
      <c r="I983">
        <v>200000</v>
      </c>
      <c r="J983">
        <v>50000</v>
      </c>
    </row>
    <row r="984" spans="1:10" x14ac:dyDescent="0.3">
      <c r="A984" t="s">
        <v>1068</v>
      </c>
      <c r="B984" s="3">
        <v>46262</v>
      </c>
      <c r="C984" t="s">
        <v>48</v>
      </c>
      <c r="D984" t="s">
        <v>49</v>
      </c>
      <c r="E984" t="s">
        <v>19</v>
      </c>
      <c r="F984" t="s">
        <v>14</v>
      </c>
      <c r="G984" t="s">
        <v>34</v>
      </c>
      <c r="H984" s="5">
        <v>225000</v>
      </c>
      <c r="I984">
        <v>175000</v>
      </c>
      <c r="J984">
        <v>50000</v>
      </c>
    </row>
    <row r="985" spans="1:10" x14ac:dyDescent="0.3">
      <c r="A985" t="s">
        <v>1069</v>
      </c>
      <c r="B985" s="3">
        <v>46262</v>
      </c>
      <c r="C985" t="s">
        <v>62</v>
      </c>
      <c r="D985" t="s">
        <v>63</v>
      </c>
      <c r="E985" t="s">
        <v>52</v>
      </c>
      <c r="F985" t="s">
        <v>20</v>
      </c>
      <c r="G985" t="s">
        <v>31</v>
      </c>
      <c r="H985" s="5">
        <v>925000</v>
      </c>
      <c r="I985">
        <v>700000</v>
      </c>
      <c r="J985">
        <v>225000</v>
      </c>
    </row>
    <row r="986" spans="1:10" x14ac:dyDescent="0.3">
      <c r="A986" t="s">
        <v>1070</v>
      </c>
      <c r="B986" s="3">
        <v>46262</v>
      </c>
      <c r="C986" t="s">
        <v>35</v>
      </c>
      <c r="D986" t="s">
        <v>36</v>
      </c>
      <c r="E986" t="s">
        <v>37</v>
      </c>
      <c r="F986" t="s">
        <v>20</v>
      </c>
      <c r="G986" t="s">
        <v>15</v>
      </c>
      <c r="H986" s="5">
        <v>1375000</v>
      </c>
      <c r="I986">
        <v>0</v>
      </c>
      <c r="J986">
        <v>0</v>
      </c>
    </row>
    <row r="987" spans="1:10" x14ac:dyDescent="0.3">
      <c r="A987" t="s">
        <v>1071</v>
      </c>
      <c r="B987" s="3">
        <v>46262</v>
      </c>
      <c r="C987" t="s">
        <v>44</v>
      </c>
      <c r="D987" t="s">
        <v>45</v>
      </c>
      <c r="E987" t="s">
        <v>43</v>
      </c>
      <c r="F987" t="s">
        <v>14</v>
      </c>
      <c r="G987" t="s">
        <v>15</v>
      </c>
      <c r="H987" s="5">
        <v>2550000</v>
      </c>
      <c r="I987">
        <v>2100000</v>
      </c>
      <c r="J987">
        <v>450000</v>
      </c>
    </row>
    <row r="988" spans="1:10" x14ac:dyDescent="0.3">
      <c r="A988" t="s">
        <v>1072</v>
      </c>
      <c r="B988" s="3">
        <v>46262</v>
      </c>
      <c r="C988" t="s">
        <v>17</v>
      </c>
      <c r="D988" t="s">
        <v>18</v>
      </c>
      <c r="E988" t="s">
        <v>19</v>
      </c>
      <c r="F988" t="s">
        <v>20</v>
      </c>
      <c r="G988" t="s">
        <v>15</v>
      </c>
      <c r="H988" s="5">
        <v>850000</v>
      </c>
      <c r="I988">
        <v>0</v>
      </c>
      <c r="J988">
        <v>0</v>
      </c>
    </row>
    <row r="989" spans="1:10" x14ac:dyDescent="0.3">
      <c r="A989" t="s">
        <v>1073</v>
      </c>
      <c r="B989" s="3">
        <v>46262</v>
      </c>
      <c r="C989" t="s">
        <v>50</v>
      </c>
      <c r="D989" t="s">
        <v>51</v>
      </c>
      <c r="E989" t="s">
        <v>52</v>
      </c>
      <c r="F989" t="s">
        <v>20</v>
      </c>
      <c r="G989" t="s">
        <v>31</v>
      </c>
      <c r="H989" s="5">
        <v>1275000</v>
      </c>
      <c r="I989">
        <v>0</v>
      </c>
      <c r="J989">
        <v>0</v>
      </c>
    </row>
    <row r="990" spans="1:10" x14ac:dyDescent="0.3">
      <c r="A990" t="s">
        <v>1074</v>
      </c>
      <c r="B990" s="3">
        <v>46262</v>
      </c>
      <c r="C990" t="s">
        <v>64</v>
      </c>
      <c r="D990" t="s">
        <v>65</v>
      </c>
      <c r="E990" t="s">
        <v>37</v>
      </c>
      <c r="F990" t="s">
        <v>14</v>
      </c>
      <c r="G990" t="s">
        <v>40</v>
      </c>
      <c r="H990" s="5">
        <v>475000</v>
      </c>
      <c r="I990">
        <v>375000</v>
      </c>
      <c r="J990">
        <v>100000</v>
      </c>
    </row>
    <row r="991" spans="1:10" x14ac:dyDescent="0.3">
      <c r="A991" t="s">
        <v>1075</v>
      </c>
      <c r="B991" s="3">
        <v>46262</v>
      </c>
      <c r="C991" t="s">
        <v>22</v>
      </c>
      <c r="D991" t="s">
        <v>23</v>
      </c>
      <c r="E991" t="s">
        <v>24</v>
      </c>
      <c r="F991" t="s">
        <v>14</v>
      </c>
      <c r="G991" t="s">
        <v>58</v>
      </c>
      <c r="H991" s="5">
        <v>700000</v>
      </c>
      <c r="I991">
        <v>550000</v>
      </c>
      <c r="J991">
        <v>150000</v>
      </c>
    </row>
    <row r="992" spans="1:10" x14ac:dyDescent="0.3">
      <c r="A992" t="s">
        <v>1076</v>
      </c>
      <c r="B992" s="3">
        <v>46263</v>
      </c>
      <c r="C992" t="s">
        <v>32</v>
      </c>
      <c r="D992" t="s">
        <v>33</v>
      </c>
      <c r="E992" t="s">
        <v>27</v>
      </c>
      <c r="F992" t="s">
        <v>20</v>
      </c>
      <c r="G992" t="s">
        <v>15</v>
      </c>
      <c r="H992" s="5">
        <v>3100000</v>
      </c>
      <c r="I992">
        <v>2400000</v>
      </c>
      <c r="J992">
        <v>700000</v>
      </c>
    </row>
    <row r="993" spans="1:10" x14ac:dyDescent="0.3">
      <c r="A993" t="s">
        <v>1077</v>
      </c>
      <c r="B993" s="3">
        <v>46263</v>
      </c>
      <c r="C993" t="s">
        <v>32</v>
      </c>
      <c r="D993" t="s">
        <v>33</v>
      </c>
      <c r="E993" t="s">
        <v>27</v>
      </c>
      <c r="F993" t="s">
        <v>20</v>
      </c>
      <c r="G993" t="s">
        <v>40</v>
      </c>
      <c r="H993" s="5">
        <v>100000</v>
      </c>
      <c r="I993">
        <v>100000</v>
      </c>
      <c r="J993">
        <v>0</v>
      </c>
    </row>
    <row r="994" spans="1:10" x14ac:dyDescent="0.3">
      <c r="A994" t="s">
        <v>1078</v>
      </c>
      <c r="B994" s="3">
        <v>46263</v>
      </c>
      <c r="C994" t="s">
        <v>22</v>
      </c>
      <c r="D994" t="s">
        <v>23</v>
      </c>
      <c r="E994" t="s">
        <v>24</v>
      </c>
      <c r="F994" t="s">
        <v>14</v>
      </c>
      <c r="G994" t="s">
        <v>57</v>
      </c>
      <c r="H994" s="5">
        <v>130000</v>
      </c>
      <c r="I994">
        <v>0</v>
      </c>
      <c r="J994">
        <v>0</v>
      </c>
    </row>
    <row r="995" spans="1:10" x14ac:dyDescent="0.3">
      <c r="A995" t="s">
        <v>1079</v>
      </c>
      <c r="B995" s="3">
        <v>46264</v>
      </c>
      <c r="C995" t="s">
        <v>44</v>
      </c>
      <c r="D995" t="s">
        <v>45</v>
      </c>
      <c r="E995" t="s">
        <v>43</v>
      </c>
      <c r="F995" t="s">
        <v>20</v>
      </c>
      <c r="G995" t="s">
        <v>15</v>
      </c>
      <c r="H995" s="5">
        <v>1000000</v>
      </c>
      <c r="I995">
        <v>0</v>
      </c>
      <c r="J995">
        <v>0</v>
      </c>
    </row>
    <row r="996" spans="1:10" x14ac:dyDescent="0.3">
      <c r="A996" t="s">
        <v>1080</v>
      </c>
      <c r="B996" s="3">
        <v>46265</v>
      </c>
      <c r="C996" t="s">
        <v>46</v>
      </c>
      <c r="D996" t="s">
        <v>47</v>
      </c>
      <c r="E996" t="s">
        <v>37</v>
      </c>
      <c r="F996" t="s">
        <v>14</v>
      </c>
      <c r="G996" t="s">
        <v>58</v>
      </c>
      <c r="H996" s="5">
        <v>575000</v>
      </c>
      <c r="I996">
        <v>425000</v>
      </c>
      <c r="J996">
        <v>150000</v>
      </c>
    </row>
    <row r="997" spans="1:10" x14ac:dyDescent="0.3">
      <c r="A997" t="s">
        <v>1081</v>
      </c>
      <c r="B997" s="3">
        <v>46265</v>
      </c>
      <c r="C997" t="s">
        <v>46</v>
      </c>
      <c r="D997" t="s">
        <v>47</v>
      </c>
      <c r="E997" t="s">
        <v>37</v>
      </c>
      <c r="F997" t="s">
        <v>20</v>
      </c>
      <c r="G997" t="s">
        <v>15</v>
      </c>
      <c r="H997" s="5">
        <v>1925000</v>
      </c>
      <c r="I997">
        <v>0</v>
      </c>
      <c r="J997">
        <v>0</v>
      </c>
    </row>
    <row r="998" spans="1:10" x14ac:dyDescent="0.3">
      <c r="A998" t="s">
        <v>1082</v>
      </c>
      <c r="B998" s="3">
        <v>46265</v>
      </c>
      <c r="C998" t="s">
        <v>32</v>
      </c>
      <c r="D998" t="s">
        <v>33</v>
      </c>
      <c r="E998" t="s">
        <v>27</v>
      </c>
      <c r="F998" t="s">
        <v>14</v>
      </c>
      <c r="G998" t="s">
        <v>57</v>
      </c>
      <c r="H998" s="5">
        <v>205000</v>
      </c>
      <c r="I998">
        <v>150000</v>
      </c>
      <c r="J998">
        <v>55000</v>
      </c>
    </row>
    <row r="999" spans="1:10" x14ac:dyDescent="0.3">
      <c r="A999" t="s">
        <v>1083</v>
      </c>
      <c r="B999" s="3">
        <v>46265</v>
      </c>
      <c r="C999" t="s">
        <v>17</v>
      </c>
      <c r="D999" t="s">
        <v>18</v>
      </c>
      <c r="E999" t="s">
        <v>19</v>
      </c>
      <c r="F999" t="s">
        <v>14</v>
      </c>
      <c r="G999" t="s">
        <v>57</v>
      </c>
      <c r="H999" s="5">
        <v>380000</v>
      </c>
      <c r="I999">
        <v>275000</v>
      </c>
      <c r="J999">
        <v>105000</v>
      </c>
    </row>
    <row r="1000" spans="1:10" x14ac:dyDescent="0.3">
      <c r="A1000" t="s">
        <v>1084</v>
      </c>
      <c r="B1000" s="3">
        <v>46265</v>
      </c>
      <c r="C1000" t="s">
        <v>59</v>
      </c>
      <c r="D1000" t="s">
        <v>60</v>
      </c>
      <c r="E1000" t="s">
        <v>19</v>
      </c>
      <c r="F1000" t="s">
        <v>20</v>
      </c>
      <c r="G1000" t="s">
        <v>28</v>
      </c>
      <c r="H1000" s="5">
        <v>280000</v>
      </c>
      <c r="I1000">
        <v>0</v>
      </c>
      <c r="J1000">
        <v>0</v>
      </c>
    </row>
    <row r="1001" spans="1:10" x14ac:dyDescent="0.3">
      <c r="A1001" t="s">
        <v>1085</v>
      </c>
      <c r="B1001" s="3">
        <v>46265</v>
      </c>
      <c r="C1001" t="s">
        <v>59</v>
      </c>
      <c r="D1001" t="s">
        <v>60</v>
      </c>
      <c r="E1001" t="s">
        <v>19</v>
      </c>
      <c r="F1001" t="s">
        <v>20</v>
      </c>
      <c r="G1001" t="s">
        <v>57</v>
      </c>
      <c r="H1001" s="5">
        <v>180000</v>
      </c>
      <c r="I1001">
        <v>0</v>
      </c>
      <c r="J1001">
        <v>0</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7"/>
  <sheetViews>
    <sheetView workbookViewId="0">
      <selection activeCell="F9" sqref="F9"/>
    </sheetView>
  </sheetViews>
  <sheetFormatPr defaultRowHeight="14.4" x14ac:dyDescent="0.3"/>
  <sheetData>
    <row r="1" spans="1:1" x14ac:dyDescent="0.3">
      <c r="A1" s="16" t="s">
        <v>70</v>
      </c>
    </row>
    <row r="2" spans="1:1" x14ac:dyDescent="0.3">
      <c r="A2" t="s">
        <v>71</v>
      </c>
    </row>
    <row r="3" spans="1:1" x14ac:dyDescent="0.3">
      <c r="A3" t="s">
        <v>72</v>
      </c>
    </row>
    <row r="4" spans="1:1" x14ac:dyDescent="0.3">
      <c r="A4" t="s">
        <v>73</v>
      </c>
    </row>
    <row r="5" spans="1:1" x14ac:dyDescent="0.3">
      <c r="A5" t="s">
        <v>74</v>
      </c>
    </row>
    <row r="6" spans="1:1" x14ac:dyDescent="0.3">
      <c r="A6" t="s">
        <v>75</v>
      </c>
    </row>
    <row r="8" spans="1:1" x14ac:dyDescent="0.3">
      <c r="A8" t="s">
        <v>1094</v>
      </c>
    </row>
    <row r="13" spans="1:1" x14ac:dyDescent="0.3">
      <c r="A13" s="6" t="s">
        <v>76</v>
      </c>
    </row>
    <row r="14" spans="1:1" x14ac:dyDescent="0.3">
      <c r="A14" t="s">
        <v>77</v>
      </c>
    </row>
    <row r="15" spans="1:1" x14ac:dyDescent="0.3">
      <c r="A15" s="6" t="s">
        <v>78</v>
      </c>
    </row>
    <row r="16" spans="1:1" x14ac:dyDescent="0.3">
      <c r="A16" t="s">
        <v>77</v>
      </c>
    </row>
    <row r="17" spans="1:1" x14ac:dyDescent="0.3">
      <c r="A17" s="6" t="s">
        <v>79</v>
      </c>
    </row>
    <row r="18" spans="1:1" x14ac:dyDescent="0.3">
      <c r="A18" t="s">
        <v>77</v>
      </c>
    </row>
    <row r="19" spans="1:1" x14ac:dyDescent="0.3">
      <c r="A19" s="6" t="s">
        <v>80</v>
      </c>
    </row>
    <row r="20" spans="1:1" x14ac:dyDescent="0.3">
      <c r="A20" t="s">
        <v>77</v>
      </c>
    </row>
    <row r="21" spans="1:1" x14ac:dyDescent="0.3">
      <c r="A21" s="6" t="s">
        <v>81</v>
      </c>
    </row>
    <row r="22" spans="1:1" x14ac:dyDescent="0.3">
      <c r="A22" t="s">
        <v>77</v>
      </c>
    </row>
    <row r="23" spans="1:1" x14ac:dyDescent="0.3">
      <c r="A23" s="6" t="s">
        <v>82</v>
      </c>
    </row>
    <row r="24" spans="1:1" x14ac:dyDescent="0.3">
      <c r="A24" t="s">
        <v>77</v>
      </c>
    </row>
    <row r="25" spans="1:1" x14ac:dyDescent="0.3">
      <c r="A25" s="6" t="s">
        <v>83</v>
      </c>
    </row>
    <row r="26" spans="1:1" x14ac:dyDescent="0.3">
      <c r="A26" t="s">
        <v>77</v>
      </c>
    </row>
    <row r="27" spans="1:1" x14ac:dyDescent="0.3">
      <c r="A27" s="6" t="s">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ABC43-15B9-4E04-891F-15E64C819BAC}">
  <dimension ref="A1:Q1001"/>
  <sheetViews>
    <sheetView zoomScale="70" zoomScaleNormal="70" workbookViewId="0">
      <selection activeCell="R18" sqref="R18"/>
    </sheetView>
  </sheetViews>
  <sheetFormatPr defaultRowHeight="14.4" x14ac:dyDescent="0.3"/>
  <cols>
    <col min="1" max="1" width="14.88671875" customWidth="1"/>
    <col min="2" max="5" width="13.77734375" customWidth="1"/>
    <col min="6" max="6" width="14.21875" customWidth="1"/>
    <col min="7" max="7" width="13.77734375" customWidth="1"/>
    <col min="8" max="8" width="18.88671875" customWidth="1"/>
    <col min="9" max="9" width="18.44140625" style="5" customWidth="1"/>
    <col min="10" max="10" width="17.21875" style="5" customWidth="1"/>
    <col min="11" max="13" width="20.5546875" style="5" customWidth="1"/>
    <col min="14" max="15" width="13.77734375" style="11" customWidth="1"/>
    <col min="17" max="17" width="10.5546875" bestFit="1" customWidth="1"/>
  </cols>
  <sheetData>
    <row r="1" spans="1:17" x14ac:dyDescent="0.3">
      <c r="A1" s="8" t="s">
        <v>85</v>
      </c>
      <c r="B1" s="7" t="s">
        <v>0</v>
      </c>
      <c r="C1" s="8" t="s">
        <v>1</v>
      </c>
      <c r="D1" s="8" t="s">
        <v>2</v>
      </c>
      <c r="E1" s="8" t="s">
        <v>3</v>
      </c>
      <c r="F1" s="8" t="s">
        <v>4</v>
      </c>
      <c r="G1" s="8" t="s">
        <v>5</v>
      </c>
      <c r="H1" s="9" t="s">
        <v>6</v>
      </c>
      <c r="I1" s="9" t="s">
        <v>7</v>
      </c>
      <c r="J1" s="9" t="s">
        <v>8</v>
      </c>
      <c r="K1" s="9" t="s">
        <v>21</v>
      </c>
      <c r="L1" s="9" t="s">
        <v>9</v>
      </c>
      <c r="M1" s="9" t="s">
        <v>1095</v>
      </c>
      <c r="N1" s="10" t="s">
        <v>10</v>
      </c>
      <c r="O1" s="10" t="s">
        <v>1086</v>
      </c>
      <c r="Q1" t="s">
        <v>1087</v>
      </c>
    </row>
    <row r="2" spans="1:17" x14ac:dyDescent="0.3">
      <c r="A2" t="s">
        <v>86</v>
      </c>
      <c r="B2" s="3">
        <v>46024</v>
      </c>
      <c r="C2" t="s">
        <v>11</v>
      </c>
      <c r="D2" t="s">
        <v>12</v>
      </c>
      <c r="E2" t="s">
        <v>13</v>
      </c>
      <c r="F2" t="s">
        <v>14</v>
      </c>
      <c r="G2" t="s">
        <v>15</v>
      </c>
      <c r="H2" s="5">
        <v>4000000</v>
      </c>
      <c r="I2" s="5">
        <v>3475000</v>
      </c>
      <c r="J2" s="5">
        <v>525000</v>
      </c>
      <c r="K2" s="5">
        <f>Table2[[#This Row],[Advance Amount]]-Table2[[#This Row],[Expense Amount]]-Table2[[#This Row],[Return Amount]]</f>
        <v>0</v>
      </c>
      <c r="L2" s="5" t="str">
        <f>IF(Table2[[#This Row],[Outstanding]]=0,"Settled",IF(Table2[[#This Row],[Outstanding]]&gt;0,"Outstanding"))</f>
        <v>Settled</v>
      </c>
      <c r="M2" s="5" t="str">
        <f>IF(Table2[[#This Row],[Advance Amount]]=Table2[[#This Row],[Expense Amount]]+Table2[[#This Row],[Return Amount]]+Table2[[#This Row],[Outstanding]],"Ok","Check")</f>
        <v>Ok</v>
      </c>
      <c r="N2" s="11">
        <f>IF(Table2[[#This Row],[Status]]="Settled",0,$Q$2-Table2[[#This Row],[Date]])</f>
        <v>0</v>
      </c>
      <c r="O2" s="5" t="str">
        <f>IF(Table2[[#This Row],[Age Days]]&lt;=7,"Normal",IF(Table2[[#This Row],[Age Days]]&lt;=14,"Perlu Dipantau",IF(Table2[[#This Row],[Age Days]]&lt;=30,"Perlu Ditindaklanjuti","Overdue")))</f>
        <v>Normal</v>
      </c>
      <c r="Q2" s="12">
        <v>46265</v>
      </c>
    </row>
    <row r="3" spans="1:17" x14ac:dyDescent="0.3">
      <c r="A3" t="s">
        <v>87</v>
      </c>
      <c r="B3" s="3">
        <v>46024</v>
      </c>
      <c r="C3" t="s">
        <v>17</v>
      </c>
      <c r="D3" t="s">
        <v>18</v>
      </c>
      <c r="E3" t="s">
        <v>19</v>
      </c>
      <c r="F3" t="s">
        <v>20</v>
      </c>
      <c r="G3" t="s">
        <v>15</v>
      </c>
      <c r="H3" s="5">
        <v>600000</v>
      </c>
      <c r="I3" s="5">
        <v>0</v>
      </c>
      <c r="J3" s="5">
        <v>0</v>
      </c>
      <c r="K3" s="5">
        <f>Table2[[#This Row],[Advance Amount]]-Table2[[#This Row],[Expense Amount]]-Table2[[#This Row],[Return Amount]]</f>
        <v>600000</v>
      </c>
      <c r="L3" s="5" t="str">
        <f>IF(Table2[[#This Row],[Outstanding]]=0,"Settled",IF(Table2[[#This Row],[Outstanding]]&gt;0,"Outstanding"))</f>
        <v>Outstanding</v>
      </c>
      <c r="M3" s="5" t="str">
        <f>IF(Table2[[#This Row],[Advance Amount]]=Table2[[#This Row],[Expense Amount]]+Table2[[#This Row],[Return Amount]]+Table2[[#This Row],[Outstanding]],"Ok","Check")</f>
        <v>Ok</v>
      </c>
      <c r="N3" s="11">
        <f>IF(Table2[[#This Row],[Status]]="Settled",0,$Q$2-Table2[[#This Row],[Date]])</f>
        <v>241</v>
      </c>
      <c r="O3" s="5" t="str">
        <f>IF(Table2[[#This Row],[Age Days]]&lt;=7,"Normal",IF(Table2[[#This Row],[Age Days]]&lt;=14,"Perlu Dipantau",IF(Table2[[#This Row],[Age Days]]&lt;=30,"Perlu Ditindaklanjuti","Overdue")))</f>
        <v>Overdue</v>
      </c>
    </row>
    <row r="4" spans="1:17" x14ac:dyDescent="0.3">
      <c r="A4" t="s">
        <v>88</v>
      </c>
      <c r="B4" s="3">
        <v>46024</v>
      </c>
      <c r="C4" t="s">
        <v>22</v>
      </c>
      <c r="D4" t="s">
        <v>23</v>
      </c>
      <c r="E4" t="s">
        <v>24</v>
      </c>
      <c r="F4" t="s">
        <v>20</v>
      </c>
      <c r="G4" t="s">
        <v>15</v>
      </c>
      <c r="H4" s="5">
        <v>3750000</v>
      </c>
      <c r="I4" s="5">
        <v>3300000</v>
      </c>
      <c r="J4" s="5">
        <v>450000</v>
      </c>
      <c r="K4" s="5">
        <f>Table2[[#This Row],[Advance Amount]]-Table2[[#This Row],[Expense Amount]]-Table2[[#This Row],[Return Amount]]</f>
        <v>0</v>
      </c>
      <c r="L4" s="5" t="str">
        <f>IF(Table2[[#This Row],[Outstanding]]=0,"Settled",IF(Table2[[#This Row],[Outstanding]]&gt;0,"Outstanding"))</f>
        <v>Settled</v>
      </c>
      <c r="M4" s="5" t="str">
        <f>IF(Table2[[#This Row],[Advance Amount]]=Table2[[#This Row],[Expense Amount]]+Table2[[#This Row],[Return Amount]]+Table2[[#This Row],[Outstanding]],"Ok","Check")</f>
        <v>Ok</v>
      </c>
      <c r="N4" s="11">
        <f>IF(Table2[[#This Row],[Status]]="Settled",0,$Q$2-Table2[[#This Row],[Date]])</f>
        <v>0</v>
      </c>
      <c r="O4" s="5" t="str">
        <f>IF(Table2[[#This Row],[Age Days]]&lt;=7,"Normal",IF(Table2[[#This Row],[Age Days]]&lt;=14,"Perlu Dipantau",IF(Table2[[#This Row],[Age Days]]&lt;=30,"Perlu Ditindaklanjuti","Overdue")))</f>
        <v>Normal</v>
      </c>
    </row>
    <row r="5" spans="1:17" x14ac:dyDescent="0.3">
      <c r="A5" t="s">
        <v>89</v>
      </c>
      <c r="B5" s="3">
        <v>46024</v>
      </c>
      <c r="C5" t="s">
        <v>25</v>
      </c>
      <c r="D5" t="s">
        <v>26</v>
      </c>
      <c r="E5" t="s">
        <v>27</v>
      </c>
      <c r="F5" t="s">
        <v>14</v>
      </c>
      <c r="G5" t="s">
        <v>28</v>
      </c>
      <c r="H5" s="5">
        <v>130000</v>
      </c>
      <c r="I5" s="5">
        <v>0</v>
      </c>
      <c r="J5" s="5">
        <v>0</v>
      </c>
      <c r="K5" s="5">
        <f>Table2[[#This Row],[Advance Amount]]-Table2[[#This Row],[Expense Amount]]-Table2[[#This Row],[Return Amount]]</f>
        <v>130000</v>
      </c>
      <c r="L5" s="5" t="str">
        <f>IF(Table2[[#This Row],[Outstanding]]=0,"Settled",IF(Table2[[#This Row],[Outstanding]]&gt;0,"Outstanding"))</f>
        <v>Outstanding</v>
      </c>
      <c r="M5" s="5" t="str">
        <f>IF(Table2[[#This Row],[Advance Amount]]=Table2[[#This Row],[Expense Amount]]+Table2[[#This Row],[Return Amount]]+Table2[[#This Row],[Outstanding]],"Ok","Check")</f>
        <v>Ok</v>
      </c>
      <c r="N5" s="11">
        <f>IF(Table2[[#This Row],[Status]]="Settled",0,$Q$2-Table2[[#This Row],[Date]])</f>
        <v>241</v>
      </c>
      <c r="O5" s="5" t="str">
        <f>IF(Table2[[#This Row],[Age Days]]&lt;=7,"Normal",IF(Table2[[#This Row],[Age Days]]&lt;=14,"Perlu Dipantau",IF(Table2[[#This Row],[Age Days]]&lt;=30,"Perlu Ditindaklanjuti","Overdue")))</f>
        <v>Overdue</v>
      </c>
    </row>
    <row r="6" spans="1:17" x14ac:dyDescent="0.3">
      <c r="A6" t="s">
        <v>90</v>
      </c>
      <c r="B6" s="3">
        <v>46025</v>
      </c>
      <c r="C6" t="s">
        <v>29</v>
      </c>
      <c r="D6" t="s">
        <v>30</v>
      </c>
      <c r="E6" t="s">
        <v>13</v>
      </c>
      <c r="F6" t="s">
        <v>14</v>
      </c>
      <c r="G6" t="s">
        <v>31</v>
      </c>
      <c r="H6" s="5">
        <v>1325000</v>
      </c>
      <c r="I6" s="5">
        <v>1000000</v>
      </c>
      <c r="J6" s="5">
        <v>325000</v>
      </c>
      <c r="K6" s="5">
        <f>Table2[[#This Row],[Advance Amount]]-Table2[[#This Row],[Expense Amount]]-Table2[[#This Row],[Return Amount]]</f>
        <v>0</v>
      </c>
      <c r="L6" s="5" t="str">
        <f>IF(Table2[[#This Row],[Outstanding]]=0,"Settled",IF(Table2[[#This Row],[Outstanding]]&gt;0,"Outstanding"))</f>
        <v>Settled</v>
      </c>
      <c r="M6" s="5" t="str">
        <f>IF(Table2[[#This Row],[Advance Amount]]=Table2[[#This Row],[Expense Amount]]+Table2[[#This Row],[Return Amount]]+Table2[[#This Row],[Outstanding]],"Ok","Check")</f>
        <v>Ok</v>
      </c>
      <c r="N6" s="11">
        <f>IF(Table2[[#This Row],[Status]]="Settled",0,$Q$2-Table2[[#This Row],[Date]])</f>
        <v>0</v>
      </c>
      <c r="O6" s="5" t="str">
        <f>IF(Table2[[#This Row],[Age Days]]&lt;=7,"Normal",IF(Table2[[#This Row],[Age Days]]&lt;=14,"Perlu Dipantau",IF(Table2[[#This Row],[Age Days]]&lt;=30,"Perlu Ditindaklanjuti","Overdue")))</f>
        <v>Normal</v>
      </c>
    </row>
    <row r="7" spans="1:17" x14ac:dyDescent="0.3">
      <c r="A7" t="s">
        <v>91</v>
      </c>
      <c r="B7" s="3">
        <v>46025</v>
      </c>
      <c r="C7" t="s">
        <v>32</v>
      </c>
      <c r="D7" t="s">
        <v>33</v>
      </c>
      <c r="E7" t="s">
        <v>27</v>
      </c>
      <c r="F7" t="s">
        <v>14</v>
      </c>
      <c r="G7" t="s">
        <v>34</v>
      </c>
      <c r="H7" s="5">
        <v>600000</v>
      </c>
      <c r="I7" s="5">
        <v>0</v>
      </c>
      <c r="J7" s="5">
        <v>0</v>
      </c>
      <c r="K7" s="5">
        <f>Table2[[#This Row],[Advance Amount]]-Table2[[#This Row],[Expense Amount]]-Table2[[#This Row],[Return Amount]]</f>
        <v>600000</v>
      </c>
      <c r="L7" s="5" t="str">
        <f>IF(Table2[[#This Row],[Outstanding]]=0,"Settled",IF(Table2[[#This Row],[Outstanding]]&gt;0,"Outstanding"))</f>
        <v>Outstanding</v>
      </c>
      <c r="M7" s="5" t="str">
        <f>IF(Table2[[#This Row],[Advance Amount]]=Table2[[#This Row],[Expense Amount]]+Table2[[#This Row],[Return Amount]]+Table2[[#This Row],[Outstanding]],"Ok","Check")</f>
        <v>Ok</v>
      </c>
      <c r="N7" s="11">
        <f>IF(Table2[[#This Row],[Status]]="Settled",0,$Q$2-Table2[[#This Row],[Date]])</f>
        <v>240</v>
      </c>
      <c r="O7" s="5" t="str">
        <f>IF(Table2[[#This Row],[Age Days]]&lt;=7,"Normal",IF(Table2[[#This Row],[Age Days]]&lt;=14,"Perlu Dipantau",IF(Table2[[#This Row],[Age Days]]&lt;=30,"Perlu Ditindaklanjuti","Overdue")))</f>
        <v>Overdue</v>
      </c>
    </row>
    <row r="8" spans="1:17" x14ac:dyDescent="0.3">
      <c r="A8" t="s">
        <v>92</v>
      </c>
      <c r="B8" s="3">
        <v>46025</v>
      </c>
      <c r="C8" t="s">
        <v>35</v>
      </c>
      <c r="D8" t="s">
        <v>36</v>
      </c>
      <c r="E8" t="s">
        <v>37</v>
      </c>
      <c r="F8" t="s">
        <v>14</v>
      </c>
      <c r="G8" t="s">
        <v>28</v>
      </c>
      <c r="H8" s="5">
        <v>55000</v>
      </c>
      <c r="I8" s="5">
        <v>50000</v>
      </c>
      <c r="J8" s="5">
        <v>5000</v>
      </c>
      <c r="K8" s="5">
        <f>Table2[[#This Row],[Advance Amount]]-Table2[[#This Row],[Expense Amount]]-Table2[[#This Row],[Return Amount]]</f>
        <v>0</v>
      </c>
      <c r="L8" s="5" t="str">
        <f>IF(Table2[[#This Row],[Outstanding]]=0,"Settled",IF(Table2[[#This Row],[Outstanding]]&gt;0,"Outstanding"))</f>
        <v>Settled</v>
      </c>
      <c r="M8" s="5" t="str">
        <f>IF(Table2[[#This Row],[Advance Amount]]=Table2[[#This Row],[Expense Amount]]+Table2[[#This Row],[Return Amount]]+Table2[[#This Row],[Outstanding]],"Ok","Check")</f>
        <v>Ok</v>
      </c>
      <c r="N8" s="11">
        <f>IF(Table2[[#This Row],[Status]]="Settled",0,$Q$2-Table2[[#This Row],[Date]])</f>
        <v>0</v>
      </c>
      <c r="O8" s="5" t="str">
        <f>IF(Table2[[#This Row],[Age Days]]&lt;=7,"Normal",IF(Table2[[#This Row],[Age Days]]&lt;=14,"Perlu Dipantau",IF(Table2[[#This Row],[Age Days]]&lt;=30,"Perlu Ditindaklanjuti","Overdue")))</f>
        <v>Normal</v>
      </c>
    </row>
    <row r="9" spans="1:17" x14ac:dyDescent="0.3">
      <c r="A9" t="s">
        <v>93</v>
      </c>
      <c r="B9" s="3">
        <v>46025</v>
      </c>
      <c r="C9" t="s">
        <v>38</v>
      </c>
      <c r="D9" t="s">
        <v>39</v>
      </c>
      <c r="E9" t="s">
        <v>24</v>
      </c>
      <c r="F9" t="s">
        <v>14</v>
      </c>
      <c r="G9" t="s">
        <v>31</v>
      </c>
      <c r="H9" s="5">
        <v>425000</v>
      </c>
      <c r="I9" s="5">
        <v>400000</v>
      </c>
      <c r="J9" s="5">
        <v>25000</v>
      </c>
      <c r="K9" s="5">
        <f>Table2[[#This Row],[Advance Amount]]-Table2[[#This Row],[Expense Amount]]-Table2[[#This Row],[Return Amount]]</f>
        <v>0</v>
      </c>
      <c r="L9" s="5" t="str">
        <f>IF(Table2[[#This Row],[Outstanding]]=0,"Settled",IF(Table2[[#This Row],[Outstanding]]&gt;0,"Outstanding"))</f>
        <v>Settled</v>
      </c>
      <c r="M9" s="5" t="str">
        <f>IF(Table2[[#This Row],[Advance Amount]]=Table2[[#This Row],[Expense Amount]]+Table2[[#This Row],[Return Amount]]+Table2[[#This Row],[Outstanding]],"Ok","Check")</f>
        <v>Ok</v>
      </c>
      <c r="N9" s="11">
        <f>IF(Table2[[#This Row],[Status]]="Settled",0,$Q$2-Table2[[#This Row],[Date]])</f>
        <v>0</v>
      </c>
      <c r="O9" s="5" t="str">
        <f>IF(Table2[[#This Row],[Age Days]]&lt;=7,"Normal",IF(Table2[[#This Row],[Age Days]]&lt;=14,"Perlu Dipantau",IF(Table2[[#This Row],[Age Days]]&lt;=30,"Perlu Ditindaklanjuti","Overdue")))</f>
        <v>Normal</v>
      </c>
    </row>
    <row r="10" spans="1:17" x14ac:dyDescent="0.3">
      <c r="A10" t="s">
        <v>94</v>
      </c>
      <c r="B10" s="3">
        <v>46025</v>
      </c>
      <c r="C10" t="s">
        <v>22</v>
      </c>
      <c r="D10" t="s">
        <v>23</v>
      </c>
      <c r="E10" t="s">
        <v>24</v>
      </c>
      <c r="F10" t="s">
        <v>20</v>
      </c>
      <c r="G10" t="s">
        <v>31</v>
      </c>
      <c r="H10" s="5">
        <v>1150000</v>
      </c>
      <c r="I10" s="5">
        <v>1025000</v>
      </c>
      <c r="J10" s="5">
        <v>125000</v>
      </c>
      <c r="K10" s="5">
        <f>Table2[[#This Row],[Advance Amount]]-Table2[[#This Row],[Expense Amount]]-Table2[[#This Row],[Return Amount]]</f>
        <v>0</v>
      </c>
      <c r="L10" s="5" t="str">
        <f>IF(Table2[[#This Row],[Outstanding]]=0,"Settled",IF(Table2[[#This Row],[Outstanding]]&gt;0,"Outstanding"))</f>
        <v>Settled</v>
      </c>
      <c r="M10" s="5" t="str">
        <f>IF(Table2[[#This Row],[Advance Amount]]=Table2[[#This Row],[Expense Amount]]+Table2[[#This Row],[Return Amount]]+Table2[[#This Row],[Outstanding]],"Ok","Check")</f>
        <v>Ok</v>
      </c>
      <c r="N10" s="11">
        <f>IF(Table2[[#This Row],[Status]]="Settled",0,$Q$2-Table2[[#This Row],[Date]])</f>
        <v>0</v>
      </c>
      <c r="O10" s="5" t="str">
        <f>IF(Table2[[#This Row],[Age Days]]&lt;=7,"Normal",IF(Table2[[#This Row],[Age Days]]&lt;=14,"Perlu Dipantau",IF(Table2[[#This Row],[Age Days]]&lt;=30,"Perlu Ditindaklanjuti","Overdue")))</f>
        <v>Normal</v>
      </c>
    </row>
    <row r="11" spans="1:17" x14ac:dyDescent="0.3">
      <c r="A11" t="s">
        <v>95</v>
      </c>
      <c r="B11" s="3">
        <v>46025</v>
      </c>
      <c r="C11" t="s">
        <v>25</v>
      </c>
      <c r="D11" t="s">
        <v>26</v>
      </c>
      <c r="E11" t="s">
        <v>27</v>
      </c>
      <c r="F11" t="s">
        <v>20</v>
      </c>
      <c r="G11" t="s">
        <v>40</v>
      </c>
      <c r="H11" s="5">
        <v>475000</v>
      </c>
      <c r="I11" s="5">
        <v>375000</v>
      </c>
      <c r="J11" s="5">
        <v>100000</v>
      </c>
      <c r="K11" s="5">
        <f>Table2[[#This Row],[Advance Amount]]-Table2[[#This Row],[Expense Amount]]-Table2[[#This Row],[Return Amount]]</f>
        <v>0</v>
      </c>
      <c r="L11" s="5" t="str">
        <f>IF(Table2[[#This Row],[Outstanding]]=0,"Settled",IF(Table2[[#This Row],[Outstanding]]&gt;0,"Outstanding"))</f>
        <v>Settled</v>
      </c>
      <c r="M11" s="5" t="str">
        <f>IF(Table2[[#This Row],[Advance Amount]]=Table2[[#This Row],[Expense Amount]]+Table2[[#This Row],[Return Amount]]+Table2[[#This Row],[Outstanding]],"Ok","Check")</f>
        <v>Ok</v>
      </c>
      <c r="N11" s="11">
        <f>IF(Table2[[#This Row],[Status]]="Settled",0,$Q$2-Table2[[#This Row],[Date]])</f>
        <v>0</v>
      </c>
      <c r="O11" s="5" t="str">
        <f>IF(Table2[[#This Row],[Age Days]]&lt;=7,"Normal",IF(Table2[[#This Row],[Age Days]]&lt;=14,"Perlu Dipantau",IF(Table2[[#This Row],[Age Days]]&lt;=30,"Perlu Ditindaklanjuti","Overdue")))</f>
        <v>Normal</v>
      </c>
    </row>
    <row r="12" spans="1:17" x14ac:dyDescent="0.3">
      <c r="A12" t="s">
        <v>96</v>
      </c>
      <c r="B12" s="3">
        <v>46025</v>
      </c>
      <c r="C12" t="s">
        <v>25</v>
      </c>
      <c r="D12" t="s">
        <v>26</v>
      </c>
      <c r="E12" t="s">
        <v>27</v>
      </c>
      <c r="F12" t="s">
        <v>20</v>
      </c>
      <c r="G12" t="s">
        <v>40</v>
      </c>
      <c r="H12" s="5">
        <v>825000</v>
      </c>
      <c r="I12" s="5">
        <v>675000</v>
      </c>
      <c r="J12" s="5">
        <v>150000</v>
      </c>
      <c r="K12" s="5">
        <f>Table2[[#This Row],[Advance Amount]]-Table2[[#This Row],[Expense Amount]]-Table2[[#This Row],[Return Amount]]</f>
        <v>0</v>
      </c>
      <c r="L12" s="5" t="str">
        <f>IF(Table2[[#This Row],[Outstanding]]=0,"Settled",IF(Table2[[#This Row],[Outstanding]]&gt;0,"Outstanding"))</f>
        <v>Settled</v>
      </c>
      <c r="M12" s="5" t="str">
        <f>IF(Table2[[#This Row],[Advance Amount]]=Table2[[#This Row],[Expense Amount]]+Table2[[#This Row],[Return Amount]]+Table2[[#This Row],[Outstanding]],"Ok","Check")</f>
        <v>Ok</v>
      </c>
      <c r="N12" s="11">
        <f>IF(Table2[[#This Row],[Status]]="Settled",0,$Q$2-Table2[[#This Row],[Date]])</f>
        <v>0</v>
      </c>
      <c r="O12" s="5" t="str">
        <f>IF(Table2[[#This Row],[Age Days]]&lt;=7,"Normal",IF(Table2[[#This Row],[Age Days]]&lt;=14,"Perlu Dipantau",IF(Table2[[#This Row],[Age Days]]&lt;=30,"Perlu Ditindaklanjuti","Overdue")))</f>
        <v>Normal</v>
      </c>
    </row>
    <row r="13" spans="1:17" x14ac:dyDescent="0.3">
      <c r="A13" t="s">
        <v>97</v>
      </c>
      <c r="B13" s="3">
        <v>46026</v>
      </c>
      <c r="C13" t="s">
        <v>29</v>
      </c>
      <c r="D13" t="s">
        <v>30</v>
      </c>
      <c r="E13" t="s">
        <v>13</v>
      </c>
      <c r="F13" t="s">
        <v>20</v>
      </c>
      <c r="G13" t="s">
        <v>28</v>
      </c>
      <c r="H13" s="5">
        <v>280000</v>
      </c>
      <c r="I13" s="5">
        <v>225000</v>
      </c>
      <c r="J13" s="5">
        <v>55000</v>
      </c>
      <c r="K13" s="5">
        <f>Table2[[#This Row],[Advance Amount]]-Table2[[#This Row],[Expense Amount]]-Table2[[#This Row],[Return Amount]]</f>
        <v>0</v>
      </c>
      <c r="L13" s="5" t="str">
        <f>IF(Table2[[#This Row],[Outstanding]]=0,"Settled",IF(Table2[[#This Row],[Outstanding]]&gt;0,"Outstanding"))</f>
        <v>Settled</v>
      </c>
      <c r="M13" s="5" t="str">
        <f>IF(Table2[[#This Row],[Advance Amount]]=Table2[[#This Row],[Expense Amount]]+Table2[[#This Row],[Return Amount]]+Table2[[#This Row],[Outstanding]],"Ok","Check")</f>
        <v>Ok</v>
      </c>
      <c r="N13" s="11">
        <f>IF(Table2[[#This Row],[Status]]="Settled",0,$Q$2-Table2[[#This Row],[Date]])</f>
        <v>0</v>
      </c>
      <c r="O13" s="5" t="str">
        <f>IF(Table2[[#This Row],[Age Days]]&lt;=7,"Normal",IF(Table2[[#This Row],[Age Days]]&lt;=14,"Perlu Dipantau",IF(Table2[[#This Row],[Age Days]]&lt;=30,"Perlu Ditindaklanjuti","Overdue")))</f>
        <v>Normal</v>
      </c>
    </row>
    <row r="14" spans="1:17" x14ac:dyDescent="0.3">
      <c r="A14" t="s">
        <v>98</v>
      </c>
      <c r="B14" s="3">
        <v>46026</v>
      </c>
      <c r="C14" t="s">
        <v>32</v>
      </c>
      <c r="D14" t="s">
        <v>33</v>
      </c>
      <c r="E14" t="s">
        <v>27</v>
      </c>
      <c r="F14" t="s">
        <v>20</v>
      </c>
      <c r="G14" t="s">
        <v>34</v>
      </c>
      <c r="H14" s="5">
        <v>100000</v>
      </c>
      <c r="I14" s="5">
        <v>75000</v>
      </c>
      <c r="J14" s="5">
        <v>25000</v>
      </c>
      <c r="K14" s="5">
        <f>Table2[[#This Row],[Advance Amount]]-Table2[[#This Row],[Expense Amount]]-Table2[[#This Row],[Return Amount]]</f>
        <v>0</v>
      </c>
      <c r="L14" s="5" t="str">
        <f>IF(Table2[[#This Row],[Outstanding]]=0,"Settled",IF(Table2[[#This Row],[Outstanding]]&gt;0,"Outstanding"))</f>
        <v>Settled</v>
      </c>
      <c r="M14" s="5" t="str">
        <f>IF(Table2[[#This Row],[Advance Amount]]=Table2[[#This Row],[Expense Amount]]+Table2[[#This Row],[Return Amount]]+Table2[[#This Row],[Outstanding]],"Ok","Check")</f>
        <v>Ok</v>
      </c>
      <c r="N14" s="11">
        <f>IF(Table2[[#This Row],[Status]]="Settled",0,$Q$2-Table2[[#This Row],[Date]])</f>
        <v>0</v>
      </c>
      <c r="O14" s="5" t="str">
        <f>IF(Table2[[#This Row],[Age Days]]&lt;=7,"Normal",IF(Table2[[#This Row],[Age Days]]&lt;=14,"Perlu Dipantau",IF(Table2[[#This Row],[Age Days]]&lt;=30,"Perlu Ditindaklanjuti","Overdue")))</f>
        <v>Normal</v>
      </c>
    </row>
    <row r="15" spans="1:17" x14ac:dyDescent="0.3">
      <c r="A15" t="s">
        <v>99</v>
      </c>
      <c r="B15" s="3">
        <v>46026</v>
      </c>
      <c r="C15" t="s">
        <v>41</v>
      </c>
      <c r="D15" t="s">
        <v>42</v>
      </c>
      <c r="E15" t="s">
        <v>43</v>
      </c>
      <c r="F15" t="s">
        <v>20</v>
      </c>
      <c r="G15" t="s">
        <v>15</v>
      </c>
      <c r="H15" s="5">
        <v>2125000</v>
      </c>
      <c r="I15" s="5">
        <v>2000000</v>
      </c>
      <c r="J15" s="5">
        <v>125000</v>
      </c>
      <c r="K15" s="5">
        <f>Table2[[#This Row],[Advance Amount]]-Table2[[#This Row],[Expense Amount]]-Table2[[#This Row],[Return Amount]]</f>
        <v>0</v>
      </c>
      <c r="L15" s="5" t="str">
        <f>IF(Table2[[#This Row],[Outstanding]]=0,"Settled",IF(Table2[[#This Row],[Outstanding]]&gt;0,"Outstanding"))</f>
        <v>Settled</v>
      </c>
      <c r="M15" s="5" t="str">
        <f>IF(Table2[[#This Row],[Advance Amount]]=Table2[[#This Row],[Expense Amount]]+Table2[[#This Row],[Return Amount]]+Table2[[#This Row],[Outstanding]],"Ok","Check")</f>
        <v>Ok</v>
      </c>
      <c r="N15" s="11">
        <f>IF(Table2[[#This Row],[Status]]="Settled",0,$Q$2-Table2[[#This Row],[Date]])</f>
        <v>0</v>
      </c>
      <c r="O15" s="5" t="str">
        <f>IF(Table2[[#This Row],[Age Days]]&lt;=7,"Normal",IF(Table2[[#This Row],[Age Days]]&lt;=14,"Perlu Dipantau",IF(Table2[[#This Row],[Age Days]]&lt;=30,"Perlu Ditindaklanjuti","Overdue")))</f>
        <v>Normal</v>
      </c>
    </row>
    <row r="16" spans="1:17" x14ac:dyDescent="0.3">
      <c r="A16" t="s">
        <v>100</v>
      </c>
      <c r="B16" s="3">
        <v>46026</v>
      </c>
      <c r="C16" t="s">
        <v>44</v>
      </c>
      <c r="D16" t="s">
        <v>45</v>
      </c>
      <c r="E16" t="s">
        <v>43</v>
      </c>
      <c r="F16" t="s">
        <v>20</v>
      </c>
      <c r="G16" t="s">
        <v>28</v>
      </c>
      <c r="H16" s="5">
        <v>105000</v>
      </c>
      <c r="I16" s="5">
        <v>75000</v>
      </c>
      <c r="J16" s="5">
        <v>30000</v>
      </c>
      <c r="K16" s="5">
        <f>Table2[[#This Row],[Advance Amount]]-Table2[[#This Row],[Expense Amount]]-Table2[[#This Row],[Return Amount]]</f>
        <v>0</v>
      </c>
      <c r="L16" s="5" t="str">
        <f>IF(Table2[[#This Row],[Outstanding]]=0,"Settled",IF(Table2[[#This Row],[Outstanding]]&gt;0,"Outstanding"))</f>
        <v>Settled</v>
      </c>
      <c r="M16" s="5" t="str">
        <f>IF(Table2[[#This Row],[Advance Amount]]=Table2[[#This Row],[Expense Amount]]+Table2[[#This Row],[Return Amount]]+Table2[[#This Row],[Outstanding]],"Ok","Check")</f>
        <v>Ok</v>
      </c>
      <c r="N16" s="11">
        <f>IF(Table2[[#This Row],[Status]]="Settled",0,$Q$2-Table2[[#This Row],[Date]])</f>
        <v>0</v>
      </c>
      <c r="O16" s="5" t="str">
        <f>IF(Table2[[#This Row],[Age Days]]&lt;=7,"Normal",IF(Table2[[#This Row],[Age Days]]&lt;=14,"Perlu Dipantau",IF(Table2[[#This Row],[Age Days]]&lt;=30,"Perlu Ditindaklanjuti","Overdue")))</f>
        <v>Normal</v>
      </c>
    </row>
    <row r="17" spans="1:15" x14ac:dyDescent="0.3">
      <c r="A17" t="s">
        <v>101</v>
      </c>
      <c r="B17" s="3">
        <v>46027</v>
      </c>
      <c r="C17" t="s">
        <v>46</v>
      </c>
      <c r="D17" t="s">
        <v>47</v>
      </c>
      <c r="E17" t="s">
        <v>37</v>
      </c>
      <c r="F17" t="s">
        <v>20</v>
      </c>
      <c r="G17" t="s">
        <v>34</v>
      </c>
      <c r="H17" s="5">
        <v>500000</v>
      </c>
      <c r="I17" s="5">
        <v>450000</v>
      </c>
      <c r="J17" s="5">
        <v>50000</v>
      </c>
      <c r="K17" s="5">
        <f>Table2[[#This Row],[Advance Amount]]-Table2[[#This Row],[Expense Amount]]-Table2[[#This Row],[Return Amount]]</f>
        <v>0</v>
      </c>
      <c r="L17" s="5" t="str">
        <f>IF(Table2[[#This Row],[Outstanding]]=0,"Settled",IF(Table2[[#This Row],[Outstanding]]&gt;0,"Outstanding"))</f>
        <v>Settled</v>
      </c>
      <c r="M17" s="5" t="str">
        <f>IF(Table2[[#This Row],[Advance Amount]]=Table2[[#This Row],[Expense Amount]]+Table2[[#This Row],[Return Amount]]+Table2[[#This Row],[Outstanding]],"Ok","Check")</f>
        <v>Ok</v>
      </c>
      <c r="N17" s="11">
        <f>IF(Table2[[#This Row],[Status]]="Settled",0,$Q$2-Table2[[#This Row],[Date]])</f>
        <v>0</v>
      </c>
      <c r="O17" s="5" t="str">
        <f>IF(Table2[[#This Row],[Age Days]]&lt;=7,"Normal",IF(Table2[[#This Row],[Age Days]]&lt;=14,"Perlu Dipantau",IF(Table2[[#This Row],[Age Days]]&lt;=30,"Perlu Ditindaklanjuti","Overdue")))</f>
        <v>Normal</v>
      </c>
    </row>
    <row r="18" spans="1:15" x14ac:dyDescent="0.3">
      <c r="A18" t="s">
        <v>102</v>
      </c>
      <c r="B18" s="3">
        <v>46027</v>
      </c>
      <c r="C18" t="s">
        <v>32</v>
      </c>
      <c r="D18" t="s">
        <v>33</v>
      </c>
      <c r="E18" t="s">
        <v>27</v>
      </c>
      <c r="F18" t="s">
        <v>14</v>
      </c>
      <c r="G18" t="s">
        <v>34</v>
      </c>
      <c r="H18" s="5">
        <v>575000</v>
      </c>
      <c r="I18" s="5">
        <v>475000</v>
      </c>
      <c r="J18" s="5">
        <v>100000</v>
      </c>
      <c r="K18" s="5">
        <f>Table2[[#This Row],[Advance Amount]]-Table2[[#This Row],[Expense Amount]]-Table2[[#This Row],[Return Amount]]</f>
        <v>0</v>
      </c>
      <c r="L18" s="5" t="str">
        <f>IF(Table2[[#This Row],[Outstanding]]=0,"Settled",IF(Table2[[#This Row],[Outstanding]]&gt;0,"Outstanding"))</f>
        <v>Settled</v>
      </c>
      <c r="M18" s="5" t="str">
        <f>IF(Table2[[#This Row],[Advance Amount]]=Table2[[#This Row],[Expense Amount]]+Table2[[#This Row],[Return Amount]]+Table2[[#This Row],[Outstanding]],"Ok","Check")</f>
        <v>Ok</v>
      </c>
      <c r="N18" s="11">
        <f>IF(Table2[[#This Row],[Status]]="Settled",0,$Q$2-Table2[[#This Row],[Date]])</f>
        <v>0</v>
      </c>
      <c r="O18" s="5" t="str">
        <f>IF(Table2[[#This Row],[Age Days]]&lt;=7,"Normal",IF(Table2[[#This Row],[Age Days]]&lt;=14,"Perlu Dipantau",IF(Table2[[#This Row],[Age Days]]&lt;=30,"Perlu Ditindaklanjuti","Overdue")))</f>
        <v>Normal</v>
      </c>
    </row>
    <row r="19" spans="1:15" x14ac:dyDescent="0.3">
      <c r="A19" t="s">
        <v>103</v>
      </c>
      <c r="B19" s="3">
        <v>46027</v>
      </c>
      <c r="C19" t="s">
        <v>48</v>
      </c>
      <c r="D19" t="s">
        <v>49</v>
      </c>
      <c r="E19" t="s">
        <v>19</v>
      </c>
      <c r="F19" t="s">
        <v>14</v>
      </c>
      <c r="G19" t="s">
        <v>15</v>
      </c>
      <c r="H19" s="5">
        <v>2875000</v>
      </c>
      <c r="I19" s="5">
        <v>2700000</v>
      </c>
      <c r="J19" s="5">
        <v>175000</v>
      </c>
      <c r="K19" s="5">
        <f>Table2[[#This Row],[Advance Amount]]-Table2[[#This Row],[Expense Amount]]-Table2[[#This Row],[Return Amount]]</f>
        <v>0</v>
      </c>
      <c r="L19" s="5" t="str">
        <f>IF(Table2[[#This Row],[Outstanding]]=0,"Settled",IF(Table2[[#This Row],[Outstanding]]&gt;0,"Outstanding"))</f>
        <v>Settled</v>
      </c>
      <c r="M19" s="5" t="str">
        <f>IF(Table2[[#This Row],[Advance Amount]]=Table2[[#This Row],[Expense Amount]]+Table2[[#This Row],[Return Amount]]+Table2[[#This Row],[Outstanding]],"Ok","Check")</f>
        <v>Ok</v>
      </c>
      <c r="N19" s="11">
        <f>IF(Table2[[#This Row],[Status]]="Settled",0,$Q$2-Table2[[#This Row],[Date]])</f>
        <v>0</v>
      </c>
      <c r="O19" s="5" t="str">
        <f>IF(Table2[[#This Row],[Age Days]]&lt;=7,"Normal",IF(Table2[[#This Row],[Age Days]]&lt;=14,"Perlu Dipantau",IF(Table2[[#This Row],[Age Days]]&lt;=30,"Perlu Ditindaklanjuti","Overdue")))</f>
        <v>Normal</v>
      </c>
    </row>
    <row r="20" spans="1:15" x14ac:dyDescent="0.3">
      <c r="A20" t="s">
        <v>104</v>
      </c>
      <c r="B20" s="3">
        <v>46027</v>
      </c>
      <c r="C20" t="s">
        <v>35</v>
      </c>
      <c r="D20" t="s">
        <v>36</v>
      </c>
      <c r="E20" t="s">
        <v>37</v>
      </c>
      <c r="F20" t="s">
        <v>20</v>
      </c>
      <c r="G20" t="s">
        <v>28</v>
      </c>
      <c r="H20" s="5">
        <v>480000</v>
      </c>
      <c r="I20" s="5">
        <v>450000</v>
      </c>
      <c r="J20" s="5">
        <v>30000</v>
      </c>
      <c r="K20" s="5">
        <f>Table2[[#This Row],[Advance Amount]]-Table2[[#This Row],[Expense Amount]]-Table2[[#This Row],[Return Amount]]</f>
        <v>0</v>
      </c>
      <c r="L20" s="5" t="str">
        <f>IF(Table2[[#This Row],[Outstanding]]=0,"Settled",IF(Table2[[#This Row],[Outstanding]]&gt;0,"Outstanding"))</f>
        <v>Settled</v>
      </c>
      <c r="M20" s="5" t="str">
        <f>IF(Table2[[#This Row],[Advance Amount]]=Table2[[#This Row],[Expense Amount]]+Table2[[#This Row],[Return Amount]]+Table2[[#This Row],[Outstanding]],"Ok","Check")</f>
        <v>Ok</v>
      </c>
      <c r="N20" s="11">
        <f>IF(Table2[[#This Row],[Status]]="Settled",0,$Q$2-Table2[[#This Row],[Date]])</f>
        <v>0</v>
      </c>
      <c r="O20" s="5" t="str">
        <f>IF(Table2[[#This Row],[Age Days]]&lt;=7,"Normal",IF(Table2[[#This Row],[Age Days]]&lt;=14,"Perlu Dipantau",IF(Table2[[#This Row],[Age Days]]&lt;=30,"Perlu Ditindaklanjuti","Overdue")))</f>
        <v>Normal</v>
      </c>
    </row>
    <row r="21" spans="1:15" x14ac:dyDescent="0.3">
      <c r="A21" t="s">
        <v>105</v>
      </c>
      <c r="B21" s="3">
        <v>46027</v>
      </c>
      <c r="C21" t="s">
        <v>38</v>
      </c>
      <c r="D21" t="s">
        <v>39</v>
      </c>
      <c r="E21" t="s">
        <v>24</v>
      </c>
      <c r="F21" t="s">
        <v>20</v>
      </c>
      <c r="G21" t="s">
        <v>28</v>
      </c>
      <c r="H21" s="5">
        <v>230000</v>
      </c>
      <c r="I21" s="5">
        <v>175000</v>
      </c>
      <c r="J21" s="5">
        <v>55000</v>
      </c>
      <c r="K21" s="5">
        <f>Table2[[#This Row],[Advance Amount]]-Table2[[#This Row],[Expense Amount]]-Table2[[#This Row],[Return Amount]]</f>
        <v>0</v>
      </c>
      <c r="L21" s="5" t="str">
        <f>IF(Table2[[#This Row],[Outstanding]]=0,"Settled",IF(Table2[[#This Row],[Outstanding]]&gt;0,"Outstanding"))</f>
        <v>Settled</v>
      </c>
      <c r="M21" s="5" t="str">
        <f>IF(Table2[[#This Row],[Advance Amount]]=Table2[[#This Row],[Expense Amount]]+Table2[[#This Row],[Return Amount]]+Table2[[#This Row],[Outstanding]],"Ok","Check")</f>
        <v>Ok</v>
      </c>
      <c r="N21" s="11">
        <f>IF(Table2[[#This Row],[Status]]="Settled",0,$Q$2-Table2[[#This Row],[Date]])</f>
        <v>0</v>
      </c>
      <c r="O21" s="5" t="str">
        <f>IF(Table2[[#This Row],[Age Days]]&lt;=7,"Normal",IF(Table2[[#This Row],[Age Days]]&lt;=14,"Perlu Dipantau",IF(Table2[[#This Row],[Age Days]]&lt;=30,"Perlu Ditindaklanjuti","Overdue")))</f>
        <v>Normal</v>
      </c>
    </row>
    <row r="22" spans="1:15" x14ac:dyDescent="0.3">
      <c r="A22" t="s">
        <v>106</v>
      </c>
      <c r="B22" s="3">
        <v>46027</v>
      </c>
      <c r="C22" t="s">
        <v>38</v>
      </c>
      <c r="D22" t="s">
        <v>39</v>
      </c>
      <c r="E22" t="s">
        <v>24</v>
      </c>
      <c r="F22" t="s">
        <v>14</v>
      </c>
      <c r="G22" t="s">
        <v>34</v>
      </c>
      <c r="H22" s="5">
        <v>275000</v>
      </c>
      <c r="I22" s="5">
        <v>225000</v>
      </c>
      <c r="J22" s="5">
        <v>50000</v>
      </c>
      <c r="K22" s="5">
        <f>Table2[[#This Row],[Advance Amount]]-Table2[[#This Row],[Expense Amount]]-Table2[[#This Row],[Return Amount]]</f>
        <v>0</v>
      </c>
      <c r="L22" s="5" t="str">
        <f>IF(Table2[[#This Row],[Outstanding]]=0,"Settled",IF(Table2[[#This Row],[Outstanding]]&gt;0,"Outstanding"))</f>
        <v>Settled</v>
      </c>
      <c r="M22" s="5" t="str">
        <f>IF(Table2[[#This Row],[Advance Amount]]=Table2[[#This Row],[Expense Amount]]+Table2[[#This Row],[Return Amount]]+Table2[[#This Row],[Outstanding]],"Ok","Check")</f>
        <v>Ok</v>
      </c>
      <c r="N22" s="11">
        <f>IF(Table2[[#This Row],[Status]]="Settled",0,$Q$2-Table2[[#This Row],[Date]])</f>
        <v>0</v>
      </c>
      <c r="O22" s="5" t="str">
        <f>IF(Table2[[#This Row],[Age Days]]&lt;=7,"Normal",IF(Table2[[#This Row],[Age Days]]&lt;=14,"Perlu Dipantau",IF(Table2[[#This Row],[Age Days]]&lt;=30,"Perlu Ditindaklanjuti","Overdue")))</f>
        <v>Normal</v>
      </c>
    </row>
    <row r="23" spans="1:15" x14ac:dyDescent="0.3">
      <c r="A23" t="s">
        <v>107</v>
      </c>
      <c r="B23" s="3">
        <v>46027</v>
      </c>
      <c r="C23" t="s">
        <v>17</v>
      </c>
      <c r="D23" t="s">
        <v>18</v>
      </c>
      <c r="E23" t="s">
        <v>19</v>
      </c>
      <c r="F23" t="s">
        <v>14</v>
      </c>
      <c r="G23" t="s">
        <v>34</v>
      </c>
      <c r="H23" s="5">
        <v>400000</v>
      </c>
      <c r="I23" s="5">
        <v>0</v>
      </c>
      <c r="J23" s="5">
        <v>0</v>
      </c>
      <c r="K23" s="5">
        <f>Table2[[#This Row],[Advance Amount]]-Table2[[#This Row],[Expense Amount]]-Table2[[#This Row],[Return Amount]]</f>
        <v>400000</v>
      </c>
      <c r="L23" s="5" t="str">
        <f>IF(Table2[[#This Row],[Outstanding]]=0,"Settled",IF(Table2[[#This Row],[Outstanding]]&gt;0,"Outstanding"))</f>
        <v>Outstanding</v>
      </c>
      <c r="M23" s="5" t="str">
        <f>IF(Table2[[#This Row],[Advance Amount]]=Table2[[#This Row],[Expense Amount]]+Table2[[#This Row],[Return Amount]]+Table2[[#This Row],[Outstanding]],"Ok","Check")</f>
        <v>Ok</v>
      </c>
      <c r="N23" s="11">
        <f>IF(Table2[[#This Row],[Status]]="Settled",0,$Q$2-Table2[[#This Row],[Date]])</f>
        <v>238</v>
      </c>
      <c r="O23" s="5" t="str">
        <f>IF(Table2[[#This Row],[Age Days]]&lt;=7,"Normal",IF(Table2[[#This Row],[Age Days]]&lt;=14,"Perlu Dipantau",IF(Table2[[#This Row],[Age Days]]&lt;=30,"Perlu Ditindaklanjuti","Overdue")))</f>
        <v>Overdue</v>
      </c>
    </row>
    <row r="24" spans="1:15" x14ac:dyDescent="0.3">
      <c r="A24" t="s">
        <v>108</v>
      </c>
      <c r="B24" s="3">
        <v>46027</v>
      </c>
      <c r="C24" t="s">
        <v>50</v>
      </c>
      <c r="D24" t="s">
        <v>51</v>
      </c>
      <c r="E24" t="s">
        <v>52</v>
      </c>
      <c r="F24" t="s">
        <v>14</v>
      </c>
      <c r="G24" t="s">
        <v>15</v>
      </c>
      <c r="H24" s="5">
        <v>3925000</v>
      </c>
      <c r="I24" s="5">
        <v>3900000</v>
      </c>
      <c r="J24" s="5">
        <v>25000</v>
      </c>
      <c r="K24" s="5">
        <f>Table2[[#This Row],[Advance Amount]]-Table2[[#This Row],[Expense Amount]]-Table2[[#This Row],[Return Amount]]</f>
        <v>0</v>
      </c>
      <c r="L24" s="5" t="str">
        <f>IF(Table2[[#This Row],[Outstanding]]=0,"Settled",IF(Table2[[#This Row],[Outstanding]]&gt;0,"Outstanding"))</f>
        <v>Settled</v>
      </c>
      <c r="M24" s="5" t="str">
        <f>IF(Table2[[#This Row],[Advance Amount]]=Table2[[#This Row],[Expense Amount]]+Table2[[#This Row],[Return Amount]]+Table2[[#This Row],[Outstanding]],"Ok","Check")</f>
        <v>Ok</v>
      </c>
      <c r="N24" s="11">
        <f>IF(Table2[[#This Row],[Status]]="Settled",0,$Q$2-Table2[[#This Row],[Date]])</f>
        <v>0</v>
      </c>
      <c r="O24" s="5" t="str">
        <f>IF(Table2[[#This Row],[Age Days]]&lt;=7,"Normal",IF(Table2[[#This Row],[Age Days]]&lt;=14,"Perlu Dipantau",IF(Table2[[#This Row],[Age Days]]&lt;=30,"Perlu Ditindaklanjuti","Overdue")))</f>
        <v>Normal</v>
      </c>
    </row>
    <row r="25" spans="1:15" x14ac:dyDescent="0.3">
      <c r="A25" t="s">
        <v>109</v>
      </c>
      <c r="B25" s="3">
        <v>46028</v>
      </c>
      <c r="C25" t="s">
        <v>32</v>
      </c>
      <c r="D25" t="s">
        <v>33</v>
      </c>
      <c r="E25" t="s">
        <v>27</v>
      </c>
      <c r="F25" t="s">
        <v>20</v>
      </c>
      <c r="G25" t="s">
        <v>15</v>
      </c>
      <c r="H25" s="5">
        <v>1525000</v>
      </c>
      <c r="I25" s="5">
        <v>0</v>
      </c>
      <c r="J25" s="5">
        <v>0</v>
      </c>
      <c r="K25" s="5">
        <f>Table2[[#This Row],[Advance Amount]]-Table2[[#This Row],[Expense Amount]]-Table2[[#This Row],[Return Amount]]</f>
        <v>1525000</v>
      </c>
      <c r="L25" s="5" t="str">
        <f>IF(Table2[[#This Row],[Outstanding]]=0,"Settled",IF(Table2[[#This Row],[Outstanding]]&gt;0,"Outstanding"))</f>
        <v>Outstanding</v>
      </c>
      <c r="M25" s="5" t="str">
        <f>IF(Table2[[#This Row],[Advance Amount]]=Table2[[#This Row],[Expense Amount]]+Table2[[#This Row],[Return Amount]]+Table2[[#This Row],[Outstanding]],"Ok","Check")</f>
        <v>Ok</v>
      </c>
      <c r="N25" s="11">
        <f>IF(Table2[[#This Row],[Status]]="Settled",0,$Q$2-Table2[[#This Row],[Date]])</f>
        <v>237</v>
      </c>
      <c r="O25" s="5" t="str">
        <f>IF(Table2[[#This Row],[Age Days]]&lt;=7,"Normal",IF(Table2[[#This Row],[Age Days]]&lt;=14,"Perlu Dipantau",IF(Table2[[#This Row],[Age Days]]&lt;=30,"Perlu Ditindaklanjuti","Overdue")))</f>
        <v>Overdue</v>
      </c>
    </row>
    <row r="26" spans="1:15" x14ac:dyDescent="0.3">
      <c r="A26" t="s">
        <v>110</v>
      </c>
      <c r="B26" s="3">
        <v>46028</v>
      </c>
      <c r="C26" t="s">
        <v>17</v>
      </c>
      <c r="D26" t="s">
        <v>18</v>
      </c>
      <c r="E26" t="s">
        <v>19</v>
      </c>
      <c r="F26" t="s">
        <v>14</v>
      </c>
      <c r="G26" t="s">
        <v>28</v>
      </c>
      <c r="H26" s="5">
        <v>180000</v>
      </c>
      <c r="I26" s="5">
        <v>175000</v>
      </c>
      <c r="J26" s="5">
        <v>5000</v>
      </c>
      <c r="K26" s="5">
        <f>Table2[[#This Row],[Advance Amount]]-Table2[[#This Row],[Expense Amount]]-Table2[[#This Row],[Return Amount]]</f>
        <v>0</v>
      </c>
      <c r="L26" s="5" t="str">
        <f>IF(Table2[[#This Row],[Outstanding]]=0,"Settled",IF(Table2[[#This Row],[Outstanding]]&gt;0,"Outstanding"))</f>
        <v>Settled</v>
      </c>
      <c r="M26" s="5" t="str">
        <f>IF(Table2[[#This Row],[Advance Amount]]=Table2[[#This Row],[Expense Amount]]+Table2[[#This Row],[Return Amount]]+Table2[[#This Row],[Outstanding]],"Ok","Check")</f>
        <v>Ok</v>
      </c>
      <c r="N26" s="11">
        <f>IF(Table2[[#This Row],[Status]]="Settled",0,$Q$2-Table2[[#This Row],[Date]])</f>
        <v>0</v>
      </c>
      <c r="O26" s="5" t="str">
        <f>IF(Table2[[#This Row],[Age Days]]&lt;=7,"Normal",IF(Table2[[#This Row],[Age Days]]&lt;=14,"Perlu Dipantau",IF(Table2[[#This Row],[Age Days]]&lt;=30,"Perlu Ditindaklanjuti","Overdue")))</f>
        <v>Normal</v>
      </c>
    </row>
    <row r="27" spans="1:15" x14ac:dyDescent="0.3">
      <c r="A27" t="s">
        <v>111</v>
      </c>
      <c r="B27" s="3">
        <v>46028</v>
      </c>
      <c r="C27" t="s">
        <v>50</v>
      </c>
      <c r="D27" t="s">
        <v>51</v>
      </c>
      <c r="E27" t="s">
        <v>52</v>
      </c>
      <c r="F27" t="s">
        <v>20</v>
      </c>
      <c r="G27" t="s">
        <v>34</v>
      </c>
      <c r="H27" s="5">
        <v>300000</v>
      </c>
      <c r="I27" s="5">
        <v>275000</v>
      </c>
      <c r="J27" s="5">
        <v>25000</v>
      </c>
      <c r="K27" s="5">
        <f>Table2[[#This Row],[Advance Amount]]-Table2[[#This Row],[Expense Amount]]-Table2[[#This Row],[Return Amount]]</f>
        <v>0</v>
      </c>
      <c r="L27" s="5" t="str">
        <f>IF(Table2[[#This Row],[Outstanding]]=0,"Settled",IF(Table2[[#This Row],[Outstanding]]&gt;0,"Outstanding"))</f>
        <v>Settled</v>
      </c>
      <c r="M27" s="5" t="str">
        <f>IF(Table2[[#This Row],[Advance Amount]]=Table2[[#This Row],[Expense Amount]]+Table2[[#This Row],[Return Amount]]+Table2[[#This Row],[Outstanding]],"Ok","Check")</f>
        <v>Ok</v>
      </c>
      <c r="N27" s="11">
        <f>IF(Table2[[#This Row],[Status]]="Settled",0,$Q$2-Table2[[#This Row],[Date]])</f>
        <v>0</v>
      </c>
      <c r="O27" s="5" t="str">
        <f>IF(Table2[[#This Row],[Age Days]]&lt;=7,"Normal",IF(Table2[[#This Row],[Age Days]]&lt;=14,"Perlu Dipantau",IF(Table2[[#This Row],[Age Days]]&lt;=30,"Perlu Ditindaklanjuti","Overdue")))</f>
        <v>Normal</v>
      </c>
    </row>
    <row r="28" spans="1:15" x14ac:dyDescent="0.3">
      <c r="A28" t="s">
        <v>112</v>
      </c>
      <c r="B28" s="3">
        <v>46029</v>
      </c>
      <c r="C28" t="s">
        <v>53</v>
      </c>
      <c r="D28" t="s">
        <v>54</v>
      </c>
      <c r="E28" t="s">
        <v>43</v>
      </c>
      <c r="F28" t="s">
        <v>20</v>
      </c>
      <c r="G28" t="s">
        <v>40</v>
      </c>
      <c r="H28" s="5">
        <v>825000</v>
      </c>
      <c r="I28" s="5">
        <v>800000</v>
      </c>
      <c r="J28" s="5">
        <v>25000</v>
      </c>
      <c r="K28" s="5">
        <f>Table2[[#This Row],[Advance Amount]]-Table2[[#This Row],[Expense Amount]]-Table2[[#This Row],[Return Amount]]</f>
        <v>0</v>
      </c>
      <c r="L28" s="5" t="str">
        <f>IF(Table2[[#This Row],[Outstanding]]=0,"Settled",IF(Table2[[#This Row],[Outstanding]]&gt;0,"Outstanding"))</f>
        <v>Settled</v>
      </c>
      <c r="M28" s="5" t="str">
        <f>IF(Table2[[#This Row],[Advance Amount]]=Table2[[#This Row],[Expense Amount]]+Table2[[#This Row],[Return Amount]]+Table2[[#This Row],[Outstanding]],"Ok","Check")</f>
        <v>Ok</v>
      </c>
      <c r="N28" s="11">
        <f>IF(Table2[[#This Row],[Status]]="Settled",0,$Q$2-Table2[[#This Row],[Date]])</f>
        <v>0</v>
      </c>
      <c r="O28" s="5" t="str">
        <f>IF(Table2[[#This Row],[Age Days]]&lt;=7,"Normal",IF(Table2[[#This Row],[Age Days]]&lt;=14,"Perlu Dipantau",IF(Table2[[#This Row],[Age Days]]&lt;=30,"Perlu Ditindaklanjuti","Overdue")))</f>
        <v>Normal</v>
      </c>
    </row>
    <row r="29" spans="1:15" x14ac:dyDescent="0.3">
      <c r="A29" t="s">
        <v>113</v>
      </c>
      <c r="B29" s="3">
        <v>46029</v>
      </c>
      <c r="C29" t="s">
        <v>22</v>
      </c>
      <c r="D29" t="s">
        <v>23</v>
      </c>
      <c r="E29" t="s">
        <v>24</v>
      </c>
      <c r="F29" t="s">
        <v>14</v>
      </c>
      <c r="G29" t="s">
        <v>34</v>
      </c>
      <c r="H29" s="5">
        <v>275000</v>
      </c>
      <c r="I29" s="5">
        <v>225000</v>
      </c>
      <c r="J29" s="5">
        <v>50000</v>
      </c>
      <c r="K29" s="5">
        <f>Table2[[#This Row],[Advance Amount]]-Table2[[#This Row],[Expense Amount]]-Table2[[#This Row],[Return Amount]]</f>
        <v>0</v>
      </c>
      <c r="L29" s="5" t="str">
        <f>IF(Table2[[#This Row],[Outstanding]]=0,"Settled",IF(Table2[[#This Row],[Outstanding]]&gt;0,"Outstanding"))</f>
        <v>Settled</v>
      </c>
      <c r="M29" s="5" t="str">
        <f>IF(Table2[[#This Row],[Advance Amount]]=Table2[[#This Row],[Expense Amount]]+Table2[[#This Row],[Return Amount]]+Table2[[#This Row],[Outstanding]],"Ok","Check")</f>
        <v>Ok</v>
      </c>
      <c r="N29" s="11">
        <f>IF(Table2[[#This Row],[Status]]="Settled",0,$Q$2-Table2[[#This Row],[Date]])</f>
        <v>0</v>
      </c>
      <c r="O29" s="5" t="str">
        <f>IF(Table2[[#This Row],[Age Days]]&lt;=7,"Normal",IF(Table2[[#This Row],[Age Days]]&lt;=14,"Perlu Dipantau",IF(Table2[[#This Row],[Age Days]]&lt;=30,"Perlu Ditindaklanjuti","Overdue")))</f>
        <v>Normal</v>
      </c>
    </row>
    <row r="30" spans="1:15" x14ac:dyDescent="0.3">
      <c r="A30" t="s">
        <v>114</v>
      </c>
      <c r="B30" s="3">
        <v>46030</v>
      </c>
      <c r="C30" t="s">
        <v>55</v>
      </c>
      <c r="D30" t="s">
        <v>56</v>
      </c>
      <c r="E30" t="s">
        <v>24</v>
      </c>
      <c r="F30" t="s">
        <v>20</v>
      </c>
      <c r="G30" t="s">
        <v>31</v>
      </c>
      <c r="H30" s="5">
        <v>450000</v>
      </c>
      <c r="I30" s="5">
        <v>350000</v>
      </c>
      <c r="J30" s="5">
        <v>100000</v>
      </c>
      <c r="K30" s="5">
        <f>Table2[[#This Row],[Advance Amount]]-Table2[[#This Row],[Expense Amount]]-Table2[[#This Row],[Return Amount]]</f>
        <v>0</v>
      </c>
      <c r="L30" s="5" t="str">
        <f>IF(Table2[[#This Row],[Outstanding]]=0,"Settled",IF(Table2[[#This Row],[Outstanding]]&gt;0,"Outstanding"))</f>
        <v>Settled</v>
      </c>
      <c r="M30" s="5" t="str">
        <f>IF(Table2[[#This Row],[Advance Amount]]=Table2[[#This Row],[Expense Amount]]+Table2[[#This Row],[Return Amount]]+Table2[[#This Row],[Outstanding]],"Ok","Check")</f>
        <v>Ok</v>
      </c>
      <c r="N30" s="11">
        <f>IF(Table2[[#This Row],[Status]]="Settled",0,$Q$2-Table2[[#This Row],[Date]])</f>
        <v>0</v>
      </c>
      <c r="O30" s="5" t="str">
        <f>IF(Table2[[#This Row],[Age Days]]&lt;=7,"Normal",IF(Table2[[#This Row],[Age Days]]&lt;=14,"Perlu Dipantau",IF(Table2[[#This Row],[Age Days]]&lt;=30,"Perlu Ditindaklanjuti","Overdue")))</f>
        <v>Normal</v>
      </c>
    </row>
    <row r="31" spans="1:15" x14ac:dyDescent="0.3">
      <c r="A31" t="s">
        <v>115</v>
      </c>
      <c r="B31" s="3">
        <v>46030</v>
      </c>
      <c r="C31" t="s">
        <v>55</v>
      </c>
      <c r="D31" t="s">
        <v>56</v>
      </c>
      <c r="E31" t="s">
        <v>24</v>
      </c>
      <c r="F31" t="s">
        <v>20</v>
      </c>
      <c r="G31" t="s">
        <v>57</v>
      </c>
      <c r="H31" s="5">
        <v>430000</v>
      </c>
      <c r="I31" s="5">
        <v>350000</v>
      </c>
      <c r="J31" s="5">
        <v>80000</v>
      </c>
      <c r="K31" s="5">
        <f>Table2[[#This Row],[Advance Amount]]-Table2[[#This Row],[Expense Amount]]-Table2[[#This Row],[Return Amount]]</f>
        <v>0</v>
      </c>
      <c r="L31" s="5" t="str">
        <f>IF(Table2[[#This Row],[Outstanding]]=0,"Settled",IF(Table2[[#This Row],[Outstanding]]&gt;0,"Outstanding"))</f>
        <v>Settled</v>
      </c>
      <c r="M31" s="5" t="str">
        <f>IF(Table2[[#This Row],[Advance Amount]]=Table2[[#This Row],[Expense Amount]]+Table2[[#This Row],[Return Amount]]+Table2[[#This Row],[Outstanding]],"Ok","Check")</f>
        <v>Ok</v>
      </c>
      <c r="N31" s="11">
        <f>IF(Table2[[#This Row],[Status]]="Settled",0,$Q$2-Table2[[#This Row],[Date]])</f>
        <v>0</v>
      </c>
      <c r="O31" s="5" t="str">
        <f>IF(Table2[[#This Row],[Age Days]]&lt;=7,"Normal",IF(Table2[[#This Row],[Age Days]]&lt;=14,"Perlu Dipantau",IF(Table2[[#This Row],[Age Days]]&lt;=30,"Perlu Ditindaklanjuti","Overdue")))</f>
        <v>Normal</v>
      </c>
    </row>
    <row r="32" spans="1:15" x14ac:dyDescent="0.3">
      <c r="A32" t="s">
        <v>116</v>
      </c>
      <c r="B32" s="3">
        <v>46030</v>
      </c>
      <c r="C32" t="s">
        <v>48</v>
      </c>
      <c r="D32" t="s">
        <v>49</v>
      </c>
      <c r="E32" t="s">
        <v>19</v>
      </c>
      <c r="F32" t="s">
        <v>14</v>
      </c>
      <c r="G32" t="s">
        <v>57</v>
      </c>
      <c r="H32" s="5">
        <v>80000</v>
      </c>
      <c r="I32" s="5">
        <v>0</v>
      </c>
      <c r="J32" s="5">
        <v>0</v>
      </c>
      <c r="K32" s="5">
        <f>Table2[[#This Row],[Advance Amount]]-Table2[[#This Row],[Expense Amount]]-Table2[[#This Row],[Return Amount]]</f>
        <v>80000</v>
      </c>
      <c r="L32" s="5" t="str">
        <f>IF(Table2[[#This Row],[Outstanding]]=0,"Settled",IF(Table2[[#This Row],[Outstanding]]&gt;0,"Outstanding"))</f>
        <v>Outstanding</v>
      </c>
      <c r="M32" s="5" t="str">
        <f>IF(Table2[[#This Row],[Advance Amount]]=Table2[[#This Row],[Expense Amount]]+Table2[[#This Row],[Return Amount]]+Table2[[#This Row],[Outstanding]],"Ok","Check")</f>
        <v>Ok</v>
      </c>
      <c r="N32" s="11">
        <f>IF(Table2[[#This Row],[Status]]="Settled",0,$Q$2-Table2[[#This Row],[Date]])</f>
        <v>235</v>
      </c>
      <c r="O32" s="5" t="str">
        <f>IF(Table2[[#This Row],[Age Days]]&lt;=7,"Normal",IF(Table2[[#This Row],[Age Days]]&lt;=14,"Perlu Dipantau",IF(Table2[[#This Row],[Age Days]]&lt;=30,"Perlu Ditindaklanjuti","Overdue")))</f>
        <v>Overdue</v>
      </c>
    </row>
    <row r="33" spans="1:15" x14ac:dyDescent="0.3">
      <c r="A33" t="s">
        <v>117</v>
      </c>
      <c r="B33" s="3">
        <v>46030</v>
      </c>
      <c r="C33" t="s">
        <v>48</v>
      </c>
      <c r="D33" t="s">
        <v>49</v>
      </c>
      <c r="E33" t="s">
        <v>19</v>
      </c>
      <c r="F33" t="s">
        <v>20</v>
      </c>
      <c r="G33" t="s">
        <v>58</v>
      </c>
      <c r="H33" s="5">
        <v>200000</v>
      </c>
      <c r="I33" s="5">
        <v>150000</v>
      </c>
      <c r="J33" s="5">
        <v>50000</v>
      </c>
      <c r="K33" s="5">
        <f>Table2[[#This Row],[Advance Amount]]-Table2[[#This Row],[Expense Amount]]-Table2[[#This Row],[Return Amount]]</f>
        <v>0</v>
      </c>
      <c r="L33" s="5" t="str">
        <f>IF(Table2[[#This Row],[Outstanding]]=0,"Settled",IF(Table2[[#This Row],[Outstanding]]&gt;0,"Outstanding"))</f>
        <v>Settled</v>
      </c>
      <c r="M33" s="5" t="str">
        <f>IF(Table2[[#This Row],[Advance Amount]]=Table2[[#This Row],[Expense Amount]]+Table2[[#This Row],[Return Amount]]+Table2[[#This Row],[Outstanding]],"Ok","Check")</f>
        <v>Ok</v>
      </c>
      <c r="N33" s="11">
        <f>IF(Table2[[#This Row],[Status]]="Settled",0,$Q$2-Table2[[#This Row],[Date]])</f>
        <v>0</v>
      </c>
      <c r="O33" s="5" t="str">
        <f>IF(Table2[[#This Row],[Age Days]]&lt;=7,"Normal",IF(Table2[[#This Row],[Age Days]]&lt;=14,"Perlu Dipantau",IF(Table2[[#This Row],[Age Days]]&lt;=30,"Perlu Ditindaklanjuti","Overdue")))</f>
        <v>Normal</v>
      </c>
    </row>
    <row r="34" spans="1:15" x14ac:dyDescent="0.3">
      <c r="A34" t="s">
        <v>118</v>
      </c>
      <c r="B34" s="3">
        <v>46030</v>
      </c>
      <c r="C34" t="s">
        <v>22</v>
      </c>
      <c r="D34" t="s">
        <v>23</v>
      </c>
      <c r="E34" t="s">
        <v>24</v>
      </c>
      <c r="F34" t="s">
        <v>20</v>
      </c>
      <c r="G34" t="s">
        <v>57</v>
      </c>
      <c r="H34" s="5">
        <v>180000</v>
      </c>
      <c r="I34" s="5">
        <v>150000</v>
      </c>
      <c r="J34" s="5">
        <v>30000</v>
      </c>
      <c r="K34" s="5">
        <f>Table2[[#This Row],[Advance Amount]]-Table2[[#This Row],[Expense Amount]]-Table2[[#This Row],[Return Amount]]</f>
        <v>0</v>
      </c>
      <c r="L34" s="5" t="str">
        <f>IF(Table2[[#This Row],[Outstanding]]=0,"Settled",IF(Table2[[#This Row],[Outstanding]]&gt;0,"Outstanding"))</f>
        <v>Settled</v>
      </c>
      <c r="M34" s="5" t="str">
        <f>IF(Table2[[#This Row],[Advance Amount]]=Table2[[#This Row],[Expense Amount]]+Table2[[#This Row],[Return Amount]]+Table2[[#This Row],[Outstanding]],"Ok","Check")</f>
        <v>Ok</v>
      </c>
      <c r="N34" s="11">
        <f>IF(Table2[[#This Row],[Status]]="Settled",0,$Q$2-Table2[[#This Row],[Date]])</f>
        <v>0</v>
      </c>
      <c r="O34" s="5" t="str">
        <f>IF(Table2[[#This Row],[Age Days]]&lt;=7,"Normal",IF(Table2[[#This Row],[Age Days]]&lt;=14,"Perlu Dipantau",IF(Table2[[#This Row],[Age Days]]&lt;=30,"Perlu Ditindaklanjuti","Overdue")))</f>
        <v>Normal</v>
      </c>
    </row>
    <row r="35" spans="1:15" x14ac:dyDescent="0.3">
      <c r="A35" t="s">
        <v>119</v>
      </c>
      <c r="B35" s="3">
        <v>46030</v>
      </c>
      <c r="C35" t="s">
        <v>59</v>
      </c>
      <c r="D35" t="s">
        <v>60</v>
      </c>
      <c r="E35" t="s">
        <v>19</v>
      </c>
      <c r="F35" t="s">
        <v>20</v>
      </c>
      <c r="G35" t="s">
        <v>57</v>
      </c>
      <c r="H35" s="5">
        <v>130000</v>
      </c>
      <c r="I35" s="5">
        <v>125000</v>
      </c>
      <c r="J35" s="5">
        <v>5000</v>
      </c>
      <c r="K35" s="5">
        <f>Table2[[#This Row],[Advance Amount]]-Table2[[#This Row],[Expense Amount]]-Table2[[#This Row],[Return Amount]]</f>
        <v>0</v>
      </c>
      <c r="L35" s="5" t="str">
        <f>IF(Table2[[#This Row],[Outstanding]]=0,"Settled",IF(Table2[[#This Row],[Outstanding]]&gt;0,"Outstanding"))</f>
        <v>Settled</v>
      </c>
      <c r="M35" s="5" t="str">
        <f>IF(Table2[[#This Row],[Advance Amount]]=Table2[[#This Row],[Expense Amount]]+Table2[[#This Row],[Return Amount]]+Table2[[#This Row],[Outstanding]],"Ok","Check")</f>
        <v>Ok</v>
      </c>
      <c r="N35" s="11">
        <f>IF(Table2[[#This Row],[Status]]="Settled",0,$Q$2-Table2[[#This Row],[Date]])</f>
        <v>0</v>
      </c>
      <c r="O35" s="5" t="str">
        <f>IF(Table2[[#This Row],[Age Days]]&lt;=7,"Normal",IF(Table2[[#This Row],[Age Days]]&lt;=14,"Perlu Dipantau",IF(Table2[[#This Row],[Age Days]]&lt;=30,"Perlu Ditindaklanjuti","Overdue")))</f>
        <v>Normal</v>
      </c>
    </row>
    <row r="36" spans="1:15" x14ac:dyDescent="0.3">
      <c r="A36" t="s">
        <v>120</v>
      </c>
      <c r="B36" s="3">
        <v>46030</v>
      </c>
      <c r="C36" t="s">
        <v>25</v>
      </c>
      <c r="D36" t="s">
        <v>26</v>
      </c>
      <c r="E36" t="s">
        <v>27</v>
      </c>
      <c r="F36" t="s">
        <v>20</v>
      </c>
      <c r="G36" t="s">
        <v>61</v>
      </c>
      <c r="H36" s="5">
        <v>225000</v>
      </c>
      <c r="I36" s="5">
        <v>200000</v>
      </c>
      <c r="J36" s="5">
        <v>25000</v>
      </c>
      <c r="K36" s="5">
        <f>Table2[[#This Row],[Advance Amount]]-Table2[[#This Row],[Expense Amount]]-Table2[[#This Row],[Return Amount]]</f>
        <v>0</v>
      </c>
      <c r="L36" s="5" t="str">
        <f>IF(Table2[[#This Row],[Outstanding]]=0,"Settled",IF(Table2[[#This Row],[Outstanding]]&gt;0,"Outstanding"))</f>
        <v>Settled</v>
      </c>
      <c r="M36" s="5" t="str">
        <f>IF(Table2[[#This Row],[Advance Amount]]=Table2[[#This Row],[Expense Amount]]+Table2[[#This Row],[Return Amount]]+Table2[[#This Row],[Outstanding]],"Ok","Check")</f>
        <v>Ok</v>
      </c>
      <c r="N36" s="11">
        <f>IF(Table2[[#This Row],[Status]]="Settled",0,$Q$2-Table2[[#This Row],[Date]])</f>
        <v>0</v>
      </c>
      <c r="O36" s="5" t="str">
        <f>IF(Table2[[#This Row],[Age Days]]&lt;=7,"Normal",IF(Table2[[#This Row],[Age Days]]&lt;=14,"Perlu Dipantau",IF(Table2[[#This Row],[Age Days]]&lt;=30,"Perlu Ditindaklanjuti","Overdue")))</f>
        <v>Normal</v>
      </c>
    </row>
    <row r="37" spans="1:15" x14ac:dyDescent="0.3">
      <c r="A37" t="s">
        <v>121</v>
      </c>
      <c r="B37" s="3">
        <v>46031</v>
      </c>
      <c r="C37" t="s">
        <v>62</v>
      </c>
      <c r="D37" t="s">
        <v>63</v>
      </c>
      <c r="E37" t="s">
        <v>52</v>
      </c>
      <c r="F37" t="s">
        <v>14</v>
      </c>
      <c r="G37" t="s">
        <v>58</v>
      </c>
      <c r="H37" s="5">
        <v>650000</v>
      </c>
      <c r="I37" s="5">
        <v>625000</v>
      </c>
      <c r="J37" s="5">
        <v>25000</v>
      </c>
      <c r="K37" s="5">
        <f>Table2[[#This Row],[Advance Amount]]-Table2[[#This Row],[Expense Amount]]-Table2[[#This Row],[Return Amount]]</f>
        <v>0</v>
      </c>
      <c r="L37" s="5" t="str">
        <f>IF(Table2[[#This Row],[Outstanding]]=0,"Settled",IF(Table2[[#This Row],[Outstanding]]&gt;0,"Outstanding"))</f>
        <v>Settled</v>
      </c>
      <c r="M37" s="5" t="str">
        <f>IF(Table2[[#This Row],[Advance Amount]]=Table2[[#This Row],[Expense Amount]]+Table2[[#This Row],[Return Amount]]+Table2[[#This Row],[Outstanding]],"Ok","Check")</f>
        <v>Ok</v>
      </c>
      <c r="N37" s="11">
        <f>IF(Table2[[#This Row],[Status]]="Settled",0,$Q$2-Table2[[#This Row],[Date]])</f>
        <v>0</v>
      </c>
      <c r="O37" s="5" t="str">
        <f>IF(Table2[[#This Row],[Age Days]]&lt;=7,"Normal",IF(Table2[[#This Row],[Age Days]]&lt;=14,"Perlu Dipantau",IF(Table2[[#This Row],[Age Days]]&lt;=30,"Perlu Ditindaklanjuti","Overdue")))</f>
        <v>Normal</v>
      </c>
    </row>
    <row r="38" spans="1:15" x14ac:dyDescent="0.3">
      <c r="A38" t="s">
        <v>122</v>
      </c>
      <c r="B38" s="3">
        <v>46031</v>
      </c>
      <c r="C38" t="s">
        <v>11</v>
      </c>
      <c r="D38" t="s">
        <v>12</v>
      </c>
      <c r="E38" t="s">
        <v>13</v>
      </c>
      <c r="F38" t="s">
        <v>14</v>
      </c>
      <c r="G38" t="s">
        <v>34</v>
      </c>
      <c r="H38" s="5">
        <v>600000</v>
      </c>
      <c r="I38" s="5">
        <v>0</v>
      </c>
      <c r="J38" s="5">
        <v>0</v>
      </c>
      <c r="K38" s="5">
        <f>Table2[[#This Row],[Advance Amount]]-Table2[[#This Row],[Expense Amount]]-Table2[[#This Row],[Return Amount]]</f>
        <v>600000</v>
      </c>
      <c r="L38" s="5" t="str">
        <f>IF(Table2[[#This Row],[Outstanding]]=0,"Settled",IF(Table2[[#This Row],[Outstanding]]&gt;0,"Outstanding"))</f>
        <v>Outstanding</v>
      </c>
      <c r="M38" s="5" t="str">
        <f>IF(Table2[[#This Row],[Advance Amount]]=Table2[[#This Row],[Expense Amount]]+Table2[[#This Row],[Return Amount]]+Table2[[#This Row],[Outstanding]],"Ok","Check")</f>
        <v>Ok</v>
      </c>
      <c r="N38" s="11">
        <f>IF(Table2[[#This Row],[Status]]="Settled",0,$Q$2-Table2[[#This Row],[Date]])</f>
        <v>234</v>
      </c>
      <c r="O38" s="5" t="str">
        <f>IF(Table2[[#This Row],[Age Days]]&lt;=7,"Normal",IF(Table2[[#This Row],[Age Days]]&lt;=14,"Perlu Dipantau",IF(Table2[[#This Row],[Age Days]]&lt;=30,"Perlu Ditindaklanjuti","Overdue")))</f>
        <v>Overdue</v>
      </c>
    </row>
    <row r="39" spans="1:15" x14ac:dyDescent="0.3">
      <c r="A39" t="s">
        <v>123</v>
      </c>
      <c r="B39" s="3">
        <v>46032</v>
      </c>
      <c r="C39" t="s">
        <v>38</v>
      </c>
      <c r="D39" t="s">
        <v>39</v>
      </c>
      <c r="E39" t="s">
        <v>24</v>
      </c>
      <c r="F39" t="s">
        <v>14</v>
      </c>
      <c r="G39" t="s">
        <v>15</v>
      </c>
      <c r="H39" s="5">
        <v>3400000</v>
      </c>
      <c r="I39" s="5">
        <v>2525000</v>
      </c>
      <c r="J39" s="5">
        <v>875000</v>
      </c>
      <c r="K39" s="5">
        <f>Table2[[#This Row],[Advance Amount]]-Table2[[#This Row],[Expense Amount]]-Table2[[#This Row],[Return Amount]]</f>
        <v>0</v>
      </c>
      <c r="L39" s="5" t="str">
        <f>IF(Table2[[#This Row],[Outstanding]]=0,"Settled",IF(Table2[[#This Row],[Outstanding]]&gt;0,"Outstanding"))</f>
        <v>Settled</v>
      </c>
      <c r="M39" s="5" t="str">
        <f>IF(Table2[[#This Row],[Advance Amount]]=Table2[[#This Row],[Expense Amount]]+Table2[[#This Row],[Return Amount]]+Table2[[#This Row],[Outstanding]],"Ok","Check")</f>
        <v>Ok</v>
      </c>
      <c r="N39" s="11">
        <f>IF(Table2[[#This Row],[Status]]="Settled",0,$Q$2-Table2[[#This Row],[Date]])</f>
        <v>0</v>
      </c>
      <c r="O39" s="5" t="str">
        <f>IF(Table2[[#This Row],[Age Days]]&lt;=7,"Normal",IF(Table2[[#This Row],[Age Days]]&lt;=14,"Perlu Dipantau",IF(Table2[[#This Row],[Age Days]]&lt;=30,"Perlu Ditindaklanjuti","Overdue")))</f>
        <v>Normal</v>
      </c>
    </row>
    <row r="40" spans="1:15" x14ac:dyDescent="0.3">
      <c r="A40" t="s">
        <v>124</v>
      </c>
      <c r="B40" s="3">
        <v>46032</v>
      </c>
      <c r="C40" t="s">
        <v>64</v>
      </c>
      <c r="D40" t="s">
        <v>65</v>
      </c>
      <c r="E40" t="s">
        <v>37</v>
      </c>
      <c r="F40" t="s">
        <v>14</v>
      </c>
      <c r="G40" t="s">
        <v>31</v>
      </c>
      <c r="H40" s="5">
        <v>1325000</v>
      </c>
      <c r="I40" s="5">
        <v>1200000</v>
      </c>
      <c r="J40" s="5">
        <v>125000</v>
      </c>
      <c r="K40" s="5">
        <f>Table2[[#This Row],[Advance Amount]]-Table2[[#This Row],[Expense Amount]]-Table2[[#This Row],[Return Amount]]</f>
        <v>0</v>
      </c>
      <c r="L40" s="5" t="str">
        <f>IF(Table2[[#This Row],[Outstanding]]=0,"Settled",IF(Table2[[#This Row],[Outstanding]]&gt;0,"Outstanding"))</f>
        <v>Settled</v>
      </c>
      <c r="M40" s="5" t="str">
        <f>IF(Table2[[#This Row],[Advance Amount]]=Table2[[#This Row],[Expense Amount]]+Table2[[#This Row],[Return Amount]]+Table2[[#This Row],[Outstanding]],"Ok","Check")</f>
        <v>Ok</v>
      </c>
      <c r="N40" s="11">
        <f>IF(Table2[[#This Row],[Status]]="Settled",0,$Q$2-Table2[[#This Row],[Date]])</f>
        <v>0</v>
      </c>
      <c r="O40" s="5" t="str">
        <f>IF(Table2[[#This Row],[Age Days]]&lt;=7,"Normal",IF(Table2[[#This Row],[Age Days]]&lt;=14,"Perlu Dipantau",IF(Table2[[#This Row],[Age Days]]&lt;=30,"Perlu Ditindaklanjuti","Overdue")))</f>
        <v>Normal</v>
      </c>
    </row>
    <row r="41" spans="1:15" x14ac:dyDescent="0.3">
      <c r="A41" t="s">
        <v>125</v>
      </c>
      <c r="B41" s="3">
        <v>46032</v>
      </c>
      <c r="C41" t="s">
        <v>53</v>
      </c>
      <c r="D41" t="s">
        <v>54</v>
      </c>
      <c r="E41" t="s">
        <v>43</v>
      </c>
      <c r="F41" t="s">
        <v>14</v>
      </c>
      <c r="G41" t="s">
        <v>15</v>
      </c>
      <c r="H41" s="5">
        <v>3950000</v>
      </c>
      <c r="I41" s="5">
        <v>3475000</v>
      </c>
      <c r="J41" s="5">
        <v>475000</v>
      </c>
      <c r="K41" s="5">
        <f>Table2[[#This Row],[Advance Amount]]-Table2[[#This Row],[Expense Amount]]-Table2[[#This Row],[Return Amount]]</f>
        <v>0</v>
      </c>
      <c r="L41" s="5" t="str">
        <f>IF(Table2[[#This Row],[Outstanding]]=0,"Settled",IF(Table2[[#This Row],[Outstanding]]&gt;0,"Outstanding"))</f>
        <v>Settled</v>
      </c>
      <c r="M41" s="5" t="str">
        <f>IF(Table2[[#This Row],[Advance Amount]]=Table2[[#This Row],[Expense Amount]]+Table2[[#This Row],[Return Amount]]+Table2[[#This Row],[Outstanding]],"Ok","Check")</f>
        <v>Ok</v>
      </c>
      <c r="N41" s="11">
        <f>IF(Table2[[#This Row],[Status]]="Settled",0,$Q$2-Table2[[#This Row],[Date]])</f>
        <v>0</v>
      </c>
      <c r="O41" s="5" t="str">
        <f>IF(Table2[[#This Row],[Age Days]]&lt;=7,"Normal",IF(Table2[[#This Row],[Age Days]]&lt;=14,"Perlu Dipantau",IF(Table2[[#This Row],[Age Days]]&lt;=30,"Perlu Ditindaklanjuti","Overdue")))</f>
        <v>Normal</v>
      </c>
    </row>
    <row r="42" spans="1:15" x14ac:dyDescent="0.3">
      <c r="A42" t="s">
        <v>126</v>
      </c>
      <c r="B42" s="3">
        <v>46032</v>
      </c>
      <c r="C42" t="s">
        <v>59</v>
      </c>
      <c r="D42" t="s">
        <v>60</v>
      </c>
      <c r="E42" t="s">
        <v>19</v>
      </c>
      <c r="F42" t="s">
        <v>20</v>
      </c>
      <c r="G42" t="s">
        <v>57</v>
      </c>
      <c r="H42" s="5">
        <v>305000</v>
      </c>
      <c r="I42" s="5">
        <v>0</v>
      </c>
      <c r="J42" s="5">
        <v>0</v>
      </c>
      <c r="K42" s="5">
        <f>Table2[[#This Row],[Advance Amount]]-Table2[[#This Row],[Expense Amount]]-Table2[[#This Row],[Return Amount]]</f>
        <v>305000</v>
      </c>
      <c r="L42" s="5" t="str">
        <f>IF(Table2[[#This Row],[Outstanding]]=0,"Settled",IF(Table2[[#This Row],[Outstanding]]&gt;0,"Outstanding"))</f>
        <v>Outstanding</v>
      </c>
      <c r="M42" s="5" t="str">
        <f>IF(Table2[[#This Row],[Advance Amount]]=Table2[[#This Row],[Expense Amount]]+Table2[[#This Row],[Return Amount]]+Table2[[#This Row],[Outstanding]],"Ok","Check")</f>
        <v>Ok</v>
      </c>
      <c r="N42" s="11">
        <f>IF(Table2[[#This Row],[Status]]="Settled",0,$Q$2-Table2[[#This Row],[Date]])</f>
        <v>233</v>
      </c>
      <c r="O42" s="5" t="str">
        <f>IF(Table2[[#This Row],[Age Days]]&lt;=7,"Normal",IF(Table2[[#This Row],[Age Days]]&lt;=14,"Perlu Dipantau",IF(Table2[[#This Row],[Age Days]]&lt;=30,"Perlu Ditindaklanjuti","Overdue")))</f>
        <v>Overdue</v>
      </c>
    </row>
    <row r="43" spans="1:15" x14ac:dyDescent="0.3">
      <c r="A43" t="s">
        <v>127</v>
      </c>
      <c r="B43" s="3">
        <v>46033</v>
      </c>
      <c r="C43" t="s">
        <v>46</v>
      </c>
      <c r="D43" t="s">
        <v>47</v>
      </c>
      <c r="E43" t="s">
        <v>37</v>
      </c>
      <c r="F43" t="s">
        <v>20</v>
      </c>
      <c r="G43" t="s">
        <v>58</v>
      </c>
      <c r="H43" s="5">
        <v>150000</v>
      </c>
      <c r="I43" s="5">
        <v>0</v>
      </c>
      <c r="J43" s="5">
        <v>0</v>
      </c>
      <c r="K43" s="5">
        <f>Table2[[#This Row],[Advance Amount]]-Table2[[#This Row],[Expense Amount]]-Table2[[#This Row],[Return Amount]]</f>
        <v>150000</v>
      </c>
      <c r="L43" s="5" t="str">
        <f>IF(Table2[[#This Row],[Outstanding]]=0,"Settled",IF(Table2[[#This Row],[Outstanding]]&gt;0,"Outstanding"))</f>
        <v>Outstanding</v>
      </c>
      <c r="M43" s="5" t="str">
        <f>IF(Table2[[#This Row],[Advance Amount]]=Table2[[#This Row],[Expense Amount]]+Table2[[#This Row],[Return Amount]]+Table2[[#This Row],[Outstanding]],"Ok","Check")</f>
        <v>Ok</v>
      </c>
      <c r="N43" s="11">
        <f>IF(Table2[[#This Row],[Status]]="Settled",0,$Q$2-Table2[[#This Row],[Date]])</f>
        <v>232</v>
      </c>
      <c r="O43" s="5" t="str">
        <f>IF(Table2[[#This Row],[Age Days]]&lt;=7,"Normal",IF(Table2[[#This Row],[Age Days]]&lt;=14,"Perlu Dipantau",IF(Table2[[#This Row],[Age Days]]&lt;=30,"Perlu Ditindaklanjuti","Overdue")))</f>
        <v>Overdue</v>
      </c>
    </row>
    <row r="44" spans="1:15" x14ac:dyDescent="0.3">
      <c r="A44" t="s">
        <v>128</v>
      </c>
      <c r="B44" s="3">
        <v>46033</v>
      </c>
      <c r="C44" t="s">
        <v>32</v>
      </c>
      <c r="D44" t="s">
        <v>33</v>
      </c>
      <c r="E44" t="s">
        <v>27</v>
      </c>
      <c r="F44" t="s">
        <v>20</v>
      </c>
      <c r="G44" t="s">
        <v>57</v>
      </c>
      <c r="H44" s="5">
        <v>30000</v>
      </c>
      <c r="I44" s="5">
        <v>0</v>
      </c>
      <c r="J44" s="5">
        <v>0</v>
      </c>
      <c r="K44" s="5">
        <f>Table2[[#This Row],[Advance Amount]]-Table2[[#This Row],[Expense Amount]]-Table2[[#This Row],[Return Amount]]</f>
        <v>30000</v>
      </c>
      <c r="L44" s="5" t="str">
        <f>IF(Table2[[#This Row],[Outstanding]]=0,"Settled",IF(Table2[[#This Row],[Outstanding]]&gt;0,"Outstanding"))</f>
        <v>Outstanding</v>
      </c>
      <c r="M44" s="5" t="str">
        <f>IF(Table2[[#This Row],[Advance Amount]]=Table2[[#This Row],[Expense Amount]]+Table2[[#This Row],[Return Amount]]+Table2[[#This Row],[Outstanding]],"Ok","Check")</f>
        <v>Ok</v>
      </c>
      <c r="N44" s="11">
        <f>IF(Table2[[#This Row],[Status]]="Settled",0,$Q$2-Table2[[#This Row],[Date]])</f>
        <v>232</v>
      </c>
      <c r="O44" s="5" t="str">
        <f>IF(Table2[[#This Row],[Age Days]]&lt;=7,"Normal",IF(Table2[[#This Row],[Age Days]]&lt;=14,"Perlu Dipantau",IF(Table2[[#This Row],[Age Days]]&lt;=30,"Perlu Ditindaklanjuti","Overdue")))</f>
        <v>Overdue</v>
      </c>
    </row>
    <row r="45" spans="1:15" x14ac:dyDescent="0.3">
      <c r="A45" t="s">
        <v>129</v>
      </c>
      <c r="B45" s="3">
        <v>46033</v>
      </c>
      <c r="C45" t="s">
        <v>48</v>
      </c>
      <c r="D45" t="s">
        <v>49</v>
      </c>
      <c r="E45" t="s">
        <v>19</v>
      </c>
      <c r="F45" t="s">
        <v>14</v>
      </c>
      <c r="G45" t="s">
        <v>57</v>
      </c>
      <c r="H45" s="5">
        <v>130000</v>
      </c>
      <c r="I45" s="5">
        <v>125000</v>
      </c>
      <c r="J45" s="5">
        <v>5000</v>
      </c>
      <c r="K45" s="5">
        <f>Table2[[#This Row],[Advance Amount]]-Table2[[#This Row],[Expense Amount]]-Table2[[#This Row],[Return Amount]]</f>
        <v>0</v>
      </c>
      <c r="L45" s="5" t="str">
        <f>IF(Table2[[#This Row],[Outstanding]]=0,"Settled",IF(Table2[[#This Row],[Outstanding]]&gt;0,"Outstanding"))</f>
        <v>Settled</v>
      </c>
      <c r="M45" s="5" t="str">
        <f>IF(Table2[[#This Row],[Advance Amount]]=Table2[[#This Row],[Expense Amount]]+Table2[[#This Row],[Return Amount]]+Table2[[#This Row],[Outstanding]],"Ok","Check")</f>
        <v>Ok</v>
      </c>
      <c r="N45" s="11">
        <f>IF(Table2[[#This Row],[Status]]="Settled",0,$Q$2-Table2[[#This Row],[Date]])</f>
        <v>0</v>
      </c>
      <c r="O45" s="5" t="str">
        <f>IF(Table2[[#This Row],[Age Days]]&lt;=7,"Normal",IF(Table2[[#This Row],[Age Days]]&lt;=14,"Perlu Dipantau",IF(Table2[[#This Row],[Age Days]]&lt;=30,"Perlu Ditindaklanjuti","Overdue")))</f>
        <v>Normal</v>
      </c>
    </row>
    <row r="46" spans="1:15" x14ac:dyDescent="0.3">
      <c r="A46" t="s">
        <v>130</v>
      </c>
      <c r="B46" s="3">
        <v>46033</v>
      </c>
      <c r="C46" t="s">
        <v>35</v>
      </c>
      <c r="D46" t="s">
        <v>36</v>
      </c>
      <c r="E46" t="s">
        <v>37</v>
      </c>
      <c r="F46" t="s">
        <v>14</v>
      </c>
      <c r="G46" t="s">
        <v>61</v>
      </c>
      <c r="H46" s="5">
        <v>325000</v>
      </c>
      <c r="I46" s="5">
        <v>300000</v>
      </c>
      <c r="J46" s="5">
        <v>25000</v>
      </c>
      <c r="K46" s="5">
        <f>Table2[[#This Row],[Advance Amount]]-Table2[[#This Row],[Expense Amount]]-Table2[[#This Row],[Return Amount]]</f>
        <v>0</v>
      </c>
      <c r="L46" s="5" t="str">
        <f>IF(Table2[[#This Row],[Outstanding]]=0,"Settled",IF(Table2[[#This Row],[Outstanding]]&gt;0,"Outstanding"))</f>
        <v>Settled</v>
      </c>
      <c r="M46" s="5" t="str">
        <f>IF(Table2[[#This Row],[Advance Amount]]=Table2[[#This Row],[Expense Amount]]+Table2[[#This Row],[Return Amount]]+Table2[[#This Row],[Outstanding]],"Ok","Check")</f>
        <v>Ok</v>
      </c>
      <c r="N46" s="11">
        <f>IF(Table2[[#This Row],[Status]]="Settled",0,$Q$2-Table2[[#This Row],[Date]])</f>
        <v>0</v>
      </c>
      <c r="O46" s="5" t="str">
        <f>IF(Table2[[#This Row],[Age Days]]&lt;=7,"Normal",IF(Table2[[#This Row],[Age Days]]&lt;=14,"Perlu Dipantau",IF(Table2[[#This Row],[Age Days]]&lt;=30,"Perlu Ditindaklanjuti","Overdue")))</f>
        <v>Normal</v>
      </c>
    </row>
    <row r="47" spans="1:15" x14ac:dyDescent="0.3">
      <c r="A47" t="s">
        <v>131</v>
      </c>
      <c r="B47" s="3">
        <v>46033</v>
      </c>
      <c r="C47" t="s">
        <v>17</v>
      </c>
      <c r="D47" t="s">
        <v>18</v>
      </c>
      <c r="E47" t="s">
        <v>19</v>
      </c>
      <c r="F47" t="s">
        <v>14</v>
      </c>
      <c r="G47" t="s">
        <v>58</v>
      </c>
      <c r="H47" s="5">
        <v>525000</v>
      </c>
      <c r="I47" s="5">
        <v>375000</v>
      </c>
      <c r="J47" s="5">
        <v>150000</v>
      </c>
      <c r="K47" s="5">
        <f>Table2[[#This Row],[Advance Amount]]-Table2[[#This Row],[Expense Amount]]-Table2[[#This Row],[Return Amount]]</f>
        <v>0</v>
      </c>
      <c r="L47" s="5" t="str">
        <f>IF(Table2[[#This Row],[Outstanding]]=0,"Settled",IF(Table2[[#This Row],[Outstanding]]&gt;0,"Outstanding"))</f>
        <v>Settled</v>
      </c>
      <c r="M47" s="5" t="str">
        <f>IF(Table2[[#This Row],[Advance Amount]]=Table2[[#This Row],[Expense Amount]]+Table2[[#This Row],[Return Amount]]+Table2[[#This Row],[Outstanding]],"Ok","Check")</f>
        <v>Ok</v>
      </c>
      <c r="N47" s="11">
        <f>IF(Table2[[#This Row],[Status]]="Settled",0,$Q$2-Table2[[#This Row],[Date]])</f>
        <v>0</v>
      </c>
      <c r="O47" s="5" t="str">
        <f>IF(Table2[[#This Row],[Age Days]]&lt;=7,"Normal",IF(Table2[[#This Row],[Age Days]]&lt;=14,"Perlu Dipantau",IF(Table2[[#This Row],[Age Days]]&lt;=30,"Perlu Ditindaklanjuti","Overdue")))</f>
        <v>Normal</v>
      </c>
    </row>
    <row r="48" spans="1:15" x14ac:dyDescent="0.3">
      <c r="A48" t="s">
        <v>132</v>
      </c>
      <c r="B48" s="3">
        <v>46033</v>
      </c>
      <c r="C48" t="s">
        <v>64</v>
      </c>
      <c r="D48" t="s">
        <v>65</v>
      </c>
      <c r="E48" t="s">
        <v>37</v>
      </c>
      <c r="F48" t="s">
        <v>14</v>
      </c>
      <c r="G48" t="s">
        <v>15</v>
      </c>
      <c r="H48" s="5">
        <v>975000</v>
      </c>
      <c r="I48" s="5">
        <v>0</v>
      </c>
      <c r="J48" s="5">
        <v>0</v>
      </c>
      <c r="K48" s="5">
        <f>Table2[[#This Row],[Advance Amount]]-Table2[[#This Row],[Expense Amount]]-Table2[[#This Row],[Return Amount]]</f>
        <v>975000</v>
      </c>
      <c r="L48" s="5" t="str">
        <f>IF(Table2[[#This Row],[Outstanding]]=0,"Settled",IF(Table2[[#This Row],[Outstanding]]&gt;0,"Outstanding"))</f>
        <v>Outstanding</v>
      </c>
      <c r="M48" s="5" t="str">
        <f>IF(Table2[[#This Row],[Advance Amount]]=Table2[[#This Row],[Expense Amount]]+Table2[[#This Row],[Return Amount]]+Table2[[#This Row],[Outstanding]],"Ok","Check")</f>
        <v>Ok</v>
      </c>
      <c r="N48" s="11">
        <f>IF(Table2[[#This Row],[Status]]="Settled",0,$Q$2-Table2[[#This Row],[Date]])</f>
        <v>232</v>
      </c>
      <c r="O48" s="5" t="str">
        <f>IF(Table2[[#This Row],[Age Days]]&lt;=7,"Normal",IF(Table2[[#This Row],[Age Days]]&lt;=14,"Perlu Dipantau",IF(Table2[[#This Row],[Age Days]]&lt;=30,"Perlu Ditindaklanjuti","Overdue")))</f>
        <v>Overdue</v>
      </c>
    </row>
    <row r="49" spans="1:15" x14ac:dyDescent="0.3">
      <c r="A49" t="s">
        <v>133</v>
      </c>
      <c r="B49" s="3">
        <v>46033</v>
      </c>
      <c r="C49" t="s">
        <v>53</v>
      </c>
      <c r="D49" t="s">
        <v>54</v>
      </c>
      <c r="E49" t="s">
        <v>43</v>
      </c>
      <c r="F49" t="s">
        <v>20</v>
      </c>
      <c r="G49" t="s">
        <v>28</v>
      </c>
      <c r="H49" s="5">
        <v>330000</v>
      </c>
      <c r="I49" s="5">
        <v>250000</v>
      </c>
      <c r="J49" s="5">
        <v>80000</v>
      </c>
      <c r="K49" s="5">
        <f>Table2[[#This Row],[Advance Amount]]-Table2[[#This Row],[Expense Amount]]-Table2[[#This Row],[Return Amount]]</f>
        <v>0</v>
      </c>
      <c r="L49" s="5" t="str">
        <f>IF(Table2[[#This Row],[Outstanding]]=0,"Settled",IF(Table2[[#This Row],[Outstanding]]&gt;0,"Outstanding"))</f>
        <v>Settled</v>
      </c>
      <c r="M49" s="5" t="str">
        <f>IF(Table2[[#This Row],[Advance Amount]]=Table2[[#This Row],[Expense Amount]]+Table2[[#This Row],[Return Amount]]+Table2[[#This Row],[Outstanding]],"Ok","Check")</f>
        <v>Ok</v>
      </c>
      <c r="N49" s="11">
        <f>IF(Table2[[#This Row],[Status]]="Settled",0,$Q$2-Table2[[#This Row],[Date]])</f>
        <v>0</v>
      </c>
      <c r="O49" s="5" t="str">
        <f>IF(Table2[[#This Row],[Age Days]]&lt;=7,"Normal",IF(Table2[[#This Row],[Age Days]]&lt;=14,"Perlu Dipantau",IF(Table2[[#This Row],[Age Days]]&lt;=30,"Perlu Ditindaklanjuti","Overdue")))</f>
        <v>Normal</v>
      </c>
    </row>
    <row r="50" spans="1:15" x14ac:dyDescent="0.3">
      <c r="A50" t="s">
        <v>134</v>
      </c>
      <c r="B50" s="3">
        <v>46033</v>
      </c>
      <c r="C50" t="s">
        <v>22</v>
      </c>
      <c r="D50" t="s">
        <v>23</v>
      </c>
      <c r="E50" t="s">
        <v>24</v>
      </c>
      <c r="F50" t="s">
        <v>20</v>
      </c>
      <c r="G50" t="s">
        <v>58</v>
      </c>
      <c r="H50" s="5">
        <v>550000</v>
      </c>
      <c r="I50" s="5">
        <v>0</v>
      </c>
      <c r="J50" s="5">
        <v>0</v>
      </c>
      <c r="K50" s="5">
        <f>Table2[[#This Row],[Advance Amount]]-Table2[[#This Row],[Expense Amount]]-Table2[[#This Row],[Return Amount]]</f>
        <v>550000</v>
      </c>
      <c r="L50" s="5" t="str">
        <f>IF(Table2[[#This Row],[Outstanding]]=0,"Settled",IF(Table2[[#This Row],[Outstanding]]&gt;0,"Outstanding"))</f>
        <v>Outstanding</v>
      </c>
      <c r="M50" s="5" t="str">
        <f>IF(Table2[[#This Row],[Advance Amount]]=Table2[[#This Row],[Expense Amount]]+Table2[[#This Row],[Return Amount]]+Table2[[#This Row],[Outstanding]],"Ok","Check")</f>
        <v>Ok</v>
      </c>
      <c r="N50" s="11">
        <f>IF(Table2[[#This Row],[Status]]="Settled",0,$Q$2-Table2[[#This Row],[Date]])</f>
        <v>232</v>
      </c>
      <c r="O50" s="5" t="str">
        <f>IF(Table2[[#This Row],[Age Days]]&lt;=7,"Normal",IF(Table2[[#This Row],[Age Days]]&lt;=14,"Perlu Dipantau",IF(Table2[[#This Row],[Age Days]]&lt;=30,"Perlu Ditindaklanjuti","Overdue")))</f>
        <v>Overdue</v>
      </c>
    </row>
    <row r="51" spans="1:15" x14ac:dyDescent="0.3">
      <c r="A51" t="s">
        <v>135</v>
      </c>
      <c r="B51" s="3">
        <v>46034</v>
      </c>
      <c r="C51" t="s">
        <v>50</v>
      </c>
      <c r="D51" t="s">
        <v>51</v>
      </c>
      <c r="E51" t="s">
        <v>52</v>
      </c>
      <c r="F51" t="s">
        <v>14</v>
      </c>
      <c r="G51" t="s">
        <v>40</v>
      </c>
      <c r="H51" s="5">
        <v>875000</v>
      </c>
      <c r="I51" s="5">
        <v>775000</v>
      </c>
      <c r="J51" s="5">
        <v>100000</v>
      </c>
      <c r="K51" s="5">
        <f>Table2[[#This Row],[Advance Amount]]-Table2[[#This Row],[Expense Amount]]-Table2[[#This Row],[Return Amount]]</f>
        <v>0</v>
      </c>
      <c r="L51" s="5" t="str">
        <f>IF(Table2[[#This Row],[Outstanding]]=0,"Settled",IF(Table2[[#This Row],[Outstanding]]&gt;0,"Outstanding"))</f>
        <v>Settled</v>
      </c>
      <c r="M51" s="5" t="str">
        <f>IF(Table2[[#This Row],[Advance Amount]]=Table2[[#This Row],[Expense Amount]]+Table2[[#This Row],[Return Amount]]+Table2[[#This Row],[Outstanding]],"Ok","Check")</f>
        <v>Ok</v>
      </c>
      <c r="N51" s="11">
        <f>IF(Table2[[#This Row],[Status]]="Settled",0,$Q$2-Table2[[#This Row],[Date]])</f>
        <v>0</v>
      </c>
      <c r="O51" s="5" t="str">
        <f>IF(Table2[[#This Row],[Age Days]]&lt;=7,"Normal",IF(Table2[[#This Row],[Age Days]]&lt;=14,"Perlu Dipantau",IF(Table2[[#This Row],[Age Days]]&lt;=30,"Perlu Ditindaklanjuti","Overdue")))</f>
        <v>Normal</v>
      </c>
    </row>
    <row r="52" spans="1:15" x14ac:dyDescent="0.3">
      <c r="A52" t="s">
        <v>136</v>
      </c>
      <c r="B52" s="3">
        <v>46035</v>
      </c>
      <c r="C52" t="s">
        <v>29</v>
      </c>
      <c r="D52" t="s">
        <v>30</v>
      </c>
      <c r="E52" t="s">
        <v>13</v>
      </c>
      <c r="F52" t="s">
        <v>14</v>
      </c>
      <c r="G52" t="s">
        <v>58</v>
      </c>
      <c r="H52" s="5">
        <v>900000</v>
      </c>
      <c r="I52" s="5">
        <v>775000</v>
      </c>
      <c r="J52" s="5">
        <v>125000</v>
      </c>
      <c r="K52" s="5">
        <f>Table2[[#This Row],[Advance Amount]]-Table2[[#This Row],[Expense Amount]]-Table2[[#This Row],[Return Amount]]</f>
        <v>0</v>
      </c>
      <c r="L52" s="5" t="str">
        <f>IF(Table2[[#This Row],[Outstanding]]=0,"Settled",IF(Table2[[#This Row],[Outstanding]]&gt;0,"Outstanding"))</f>
        <v>Settled</v>
      </c>
      <c r="M52" s="5" t="str">
        <f>IF(Table2[[#This Row],[Advance Amount]]=Table2[[#This Row],[Expense Amount]]+Table2[[#This Row],[Return Amount]]+Table2[[#This Row],[Outstanding]],"Ok","Check")</f>
        <v>Ok</v>
      </c>
      <c r="N52" s="11">
        <f>IF(Table2[[#This Row],[Status]]="Settled",0,$Q$2-Table2[[#This Row],[Date]])</f>
        <v>0</v>
      </c>
      <c r="O52" s="5" t="str">
        <f>IF(Table2[[#This Row],[Age Days]]&lt;=7,"Normal",IF(Table2[[#This Row],[Age Days]]&lt;=14,"Perlu Dipantau",IF(Table2[[#This Row],[Age Days]]&lt;=30,"Perlu Ditindaklanjuti","Overdue")))</f>
        <v>Normal</v>
      </c>
    </row>
    <row r="53" spans="1:15" x14ac:dyDescent="0.3">
      <c r="A53" t="s">
        <v>137</v>
      </c>
      <c r="B53" s="3">
        <v>46035</v>
      </c>
      <c r="C53" t="s">
        <v>35</v>
      </c>
      <c r="D53" t="s">
        <v>36</v>
      </c>
      <c r="E53" t="s">
        <v>37</v>
      </c>
      <c r="F53" t="s">
        <v>14</v>
      </c>
      <c r="G53" t="s">
        <v>40</v>
      </c>
      <c r="H53" s="5">
        <v>225000</v>
      </c>
      <c r="I53" s="5">
        <v>0</v>
      </c>
      <c r="J53" s="5">
        <v>0</v>
      </c>
      <c r="K53" s="5">
        <f>Table2[[#This Row],[Advance Amount]]-Table2[[#This Row],[Expense Amount]]-Table2[[#This Row],[Return Amount]]</f>
        <v>225000</v>
      </c>
      <c r="L53" s="5" t="str">
        <f>IF(Table2[[#This Row],[Outstanding]]=0,"Settled",IF(Table2[[#This Row],[Outstanding]]&gt;0,"Outstanding"))</f>
        <v>Outstanding</v>
      </c>
      <c r="M53" s="5" t="str">
        <f>IF(Table2[[#This Row],[Advance Amount]]=Table2[[#This Row],[Expense Amount]]+Table2[[#This Row],[Return Amount]]+Table2[[#This Row],[Outstanding]],"Ok","Check")</f>
        <v>Ok</v>
      </c>
      <c r="N53" s="11">
        <f>IF(Table2[[#This Row],[Status]]="Settled",0,$Q$2-Table2[[#This Row],[Date]])</f>
        <v>230</v>
      </c>
      <c r="O53" s="5" t="str">
        <f>IF(Table2[[#This Row],[Age Days]]&lt;=7,"Normal",IF(Table2[[#This Row],[Age Days]]&lt;=14,"Perlu Dipantau",IF(Table2[[#This Row],[Age Days]]&lt;=30,"Perlu Ditindaklanjuti","Overdue")))</f>
        <v>Overdue</v>
      </c>
    </row>
    <row r="54" spans="1:15" x14ac:dyDescent="0.3">
      <c r="A54" t="s">
        <v>138</v>
      </c>
      <c r="B54" s="3">
        <v>46035</v>
      </c>
      <c r="C54" t="s">
        <v>64</v>
      </c>
      <c r="D54" t="s">
        <v>65</v>
      </c>
      <c r="E54" t="s">
        <v>37</v>
      </c>
      <c r="F54" t="s">
        <v>14</v>
      </c>
      <c r="G54" t="s">
        <v>40</v>
      </c>
      <c r="H54" s="5">
        <v>350000</v>
      </c>
      <c r="I54" s="5">
        <v>275000</v>
      </c>
      <c r="J54" s="5">
        <v>75000</v>
      </c>
      <c r="K54" s="5">
        <f>Table2[[#This Row],[Advance Amount]]-Table2[[#This Row],[Expense Amount]]-Table2[[#This Row],[Return Amount]]</f>
        <v>0</v>
      </c>
      <c r="L54" s="5" t="str">
        <f>IF(Table2[[#This Row],[Outstanding]]=0,"Settled",IF(Table2[[#This Row],[Outstanding]]&gt;0,"Outstanding"))</f>
        <v>Settled</v>
      </c>
      <c r="M54" s="5" t="str">
        <f>IF(Table2[[#This Row],[Advance Amount]]=Table2[[#This Row],[Expense Amount]]+Table2[[#This Row],[Return Amount]]+Table2[[#This Row],[Outstanding]],"Ok","Check")</f>
        <v>Ok</v>
      </c>
      <c r="N54" s="11">
        <f>IF(Table2[[#This Row],[Status]]="Settled",0,$Q$2-Table2[[#This Row],[Date]])</f>
        <v>0</v>
      </c>
      <c r="O54" s="5" t="str">
        <f>IF(Table2[[#This Row],[Age Days]]&lt;=7,"Normal",IF(Table2[[#This Row],[Age Days]]&lt;=14,"Perlu Dipantau",IF(Table2[[#This Row],[Age Days]]&lt;=30,"Perlu Ditindaklanjuti","Overdue")))</f>
        <v>Normal</v>
      </c>
    </row>
    <row r="55" spans="1:15" x14ac:dyDescent="0.3">
      <c r="A55" t="s">
        <v>139</v>
      </c>
      <c r="B55" s="3">
        <v>46035</v>
      </c>
      <c r="C55" t="s">
        <v>53</v>
      </c>
      <c r="D55" t="s">
        <v>54</v>
      </c>
      <c r="E55" t="s">
        <v>43</v>
      </c>
      <c r="F55" t="s">
        <v>14</v>
      </c>
      <c r="G55" t="s">
        <v>40</v>
      </c>
      <c r="H55" s="5">
        <v>525000</v>
      </c>
      <c r="I55" s="5">
        <v>400000</v>
      </c>
      <c r="J55" s="5">
        <v>125000</v>
      </c>
      <c r="K55" s="5">
        <f>Table2[[#This Row],[Advance Amount]]-Table2[[#This Row],[Expense Amount]]-Table2[[#This Row],[Return Amount]]</f>
        <v>0</v>
      </c>
      <c r="L55" s="5" t="str">
        <f>IF(Table2[[#This Row],[Outstanding]]=0,"Settled",IF(Table2[[#This Row],[Outstanding]]&gt;0,"Outstanding"))</f>
        <v>Settled</v>
      </c>
      <c r="M55" s="5" t="str">
        <f>IF(Table2[[#This Row],[Advance Amount]]=Table2[[#This Row],[Expense Amount]]+Table2[[#This Row],[Return Amount]]+Table2[[#This Row],[Outstanding]],"Ok","Check")</f>
        <v>Ok</v>
      </c>
      <c r="N55" s="11">
        <f>IF(Table2[[#This Row],[Status]]="Settled",0,$Q$2-Table2[[#This Row],[Date]])</f>
        <v>0</v>
      </c>
      <c r="O55" s="5" t="str">
        <f>IF(Table2[[#This Row],[Age Days]]&lt;=7,"Normal",IF(Table2[[#This Row],[Age Days]]&lt;=14,"Perlu Dipantau",IF(Table2[[#This Row],[Age Days]]&lt;=30,"Perlu Ditindaklanjuti","Overdue")))</f>
        <v>Normal</v>
      </c>
    </row>
    <row r="56" spans="1:15" x14ac:dyDescent="0.3">
      <c r="A56" t="s">
        <v>140</v>
      </c>
      <c r="B56" s="3">
        <v>46036</v>
      </c>
      <c r="C56" t="s">
        <v>46</v>
      </c>
      <c r="D56" t="s">
        <v>47</v>
      </c>
      <c r="E56" t="s">
        <v>37</v>
      </c>
      <c r="F56" t="s">
        <v>20</v>
      </c>
      <c r="G56" t="s">
        <v>31</v>
      </c>
      <c r="H56" s="5">
        <v>300000</v>
      </c>
      <c r="I56" s="5">
        <v>275000</v>
      </c>
      <c r="J56" s="5">
        <v>25000</v>
      </c>
      <c r="K56" s="5">
        <f>Table2[[#This Row],[Advance Amount]]-Table2[[#This Row],[Expense Amount]]-Table2[[#This Row],[Return Amount]]</f>
        <v>0</v>
      </c>
      <c r="L56" s="5" t="str">
        <f>IF(Table2[[#This Row],[Outstanding]]=0,"Settled",IF(Table2[[#This Row],[Outstanding]]&gt;0,"Outstanding"))</f>
        <v>Settled</v>
      </c>
      <c r="M56" s="5" t="str">
        <f>IF(Table2[[#This Row],[Advance Amount]]=Table2[[#This Row],[Expense Amount]]+Table2[[#This Row],[Return Amount]]+Table2[[#This Row],[Outstanding]],"Ok","Check")</f>
        <v>Ok</v>
      </c>
      <c r="N56" s="11">
        <f>IF(Table2[[#This Row],[Status]]="Settled",0,$Q$2-Table2[[#This Row],[Date]])</f>
        <v>0</v>
      </c>
      <c r="O56" s="5" t="str">
        <f>IF(Table2[[#This Row],[Age Days]]&lt;=7,"Normal",IF(Table2[[#This Row],[Age Days]]&lt;=14,"Perlu Dipantau",IF(Table2[[#This Row],[Age Days]]&lt;=30,"Perlu Ditindaklanjuti","Overdue")))</f>
        <v>Normal</v>
      </c>
    </row>
    <row r="57" spans="1:15" x14ac:dyDescent="0.3">
      <c r="A57" t="s">
        <v>141</v>
      </c>
      <c r="B57" s="3">
        <v>46036</v>
      </c>
      <c r="C57" t="s">
        <v>64</v>
      </c>
      <c r="D57" t="s">
        <v>65</v>
      </c>
      <c r="E57" t="s">
        <v>37</v>
      </c>
      <c r="F57" t="s">
        <v>14</v>
      </c>
      <c r="G57" t="s">
        <v>57</v>
      </c>
      <c r="H57" s="5">
        <v>55000</v>
      </c>
      <c r="I57" s="5">
        <v>50000</v>
      </c>
      <c r="J57" s="5">
        <v>5000</v>
      </c>
      <c r="K57" s="5">
        <f>Table2[[#This Row],[Advance Amount]]-Table2[[#This Row],[Expense Amount]]-Table2[[#This Row],[Return Amount]]</f>
        <v>0</v>
      </c>
      <c r="L57" s="5" t="str">
        <f>IF(Table2[[#This Row],[Outstanding]]=0,"Settled",IF(Table2[[#This Row],[Outstanding]]&gt;0,"Outstanding"))</f>
        <v>Settled</v>
      </c>
      <c r="M57" s="5" t="str">
        <f>IF(Table2[[#This Row],[Advance Amount]]=Table2[[#This Row],[Expense Amount]]+Table2[[#This Row],[Return Amount]]+Table2[[#This Row],[Outstanding]],"Ok","Check")</f>
        <v>Ok</v>
      </c>
      <c r="N57" s="11">
        <f>IF(Table2[[#This Row],[Status]]="Settled",0,$Q$2-Table2[[#This Row],[Date]])</f>
        <v>0</v>
      </c>
      <c r="O57" s="5" t="str">
        <f>IF(Table2[[#This Row],[Age Days]]&lt;=7,"Normal",IF(Table2[[#This Row],[Age Days]]&lt;=14,"Perlu Dipantau",IF(Table2[[#This Row],[Age Days]]&lt;=30,"Perlu Ditindaklanjuti","Overdue")))</f>
        <v>Normal</v>
      </c>
    </row>
    <row r="58" spans="1:15" x14ac:dyDescent="0.3">
      <c r="A58" t="s">
        <v>142</v>
      </c>
      <c r="B58" s="3">
        <v>46036</v>
      </c>
      <c r="C58" t="s">
        <v>59</v>
      </c>
      <c r="D58" t="s">
        <v>60</v>
      </c>
      <c r="E58" t="s">
        <v>19</v>
      </c>
      <c r="F58" t="s">
        <v>14</v>
      </c>
      <c r="G58" t="s">
        <v>28</v>
      </c>
      <c r="H58" s="5">
        <v>55000</v>
      </c>
      <c r="I58" s="5">
        <v>50000</v>
      </c>
      <c r="J58" s="5">
        <v>5000</v>
      </c>
      <c r="K58" s="5">
        <f>Table2[[#This Row],[Advance Amount]]-Table2[[#This Row],[Expense Amount]]-Table2[[#This Row],[Return Amount]]</f>
        <v>0</v>
      </c>
      <c r="L58" s="5" t="str">
        <f>IF(Table2[[#This Row],[Outstanding]]=0,"Settled",IF(Table2[[#This Row],[Outstanding]]&gt;0,"Outstanding"))</f>
        <v>Settled</v>
      </c>
      <c r="M58" s="5" t="str">
        <f>IF(Table2[[#This Row],[Advance Amount]]=Table2[[#This Row],[Expense Amount]]+Table2[[#This Row],[Return Amount]]+Table2[[#This Row],[Outstanding]],"Ok","Check")</f>
        <v>Ok</v>
      </c>
      <c r="N58" s="11">
        <f>IF(Table2[[#This Row],[Status]]="Settled",0,$Q$2-Table2[[#This Row],[Date]])</f>
        <v>0</v>
      </c>
      <c r="O58" s="5" t="str">
        <f>IF(Table2[[#This Row],[Age Days]]&lt;=7,"Normal",IF(Table2[[#This Row],[Age Days]]&lt;=14,"Perlu Dipantau",IF(Table2[[#This Row],[Age Days]]&lt;=30,"Perlu Ditindaklanjuti","Overdue")))</f>
        <v>Normal</v>
      </c>
    </row>
    <row r="59" spans="1:15" x14ac:dyDescent="0.3">
      <c r="A59" t="s">
        <v>143</v>
      </c>
      <c r="B59" s="3">
        <v>46037</v>
      </c>
      <c r="C59" t="s">
        <v>29</v>
      </c>
      <c r="D59" t="s">
        <v>30</v>
      </c>
      <c r="E59" t="s">
        <v>13</v>
      </c>
      <c r="F59" t="s">
        <v>20</v>
      </c>
      <c r="G59" t="s">
        <v>15</v>
      </c>
      <c r="H59" s="5">
        <v>1825000</v>
      </c>
      <c r="I59" s="5">
        <v>1525000</v>
      </c>
      <c r="J59" s="5">
        <v>300000</v>
      </c>
      <c r="K59" s="5">
        <f>Table2[[#This Row],[Advance Amount]]-Table2[[#This Row],[Expense Amount]]-Table2[[#This Row],[Return Amount]]</f>
        <v>0</v>
      </c>
      <c r="L59" s="5" t="str">
        <f>IF(Table2[[#This Row],[Outstanding]]=0,"Settled",IF(Table2[[#This Row],[Outstanding]]&gt;0,"Outstanding"))</f>
        <v>Settled</v>
      </c>
      <c r="M59" s="5" t="str">
        <f>IF(Table2[[#This Row],[Advance Amount]]=Table2[[#This Row],[Expense Amount]]+Table2[[#This Row],[Return Amount]]+Table2[[#This Row],[Outstanding]],"Ok","Check")</f>
        <v>Ok</v>
      </c>
      <c r="N59" s="11">
        <f>IF(Table2[[#This Row],[Status]]="Settled",0,$Q$2-Table2[[#This Row],[Date]])</f>
        <v>0</v>
      </c>
      <c r="O59" s="5" t="str">
        <f>IF(Table2[[#This Row],[Age Days]]&lt;=7,"Normal",IF(Table2[[#This Row],[Age Days]]&lt;=14,"Perlu Dipantau",IF(Table2[[#This Row],[Age Days]]&lt;=30,"Perlu Ditindaklanjuti","Overdue")))</f>
        <v>Normal</v>
      </c>
    </row>
    <row r="60" spans="1:15" x14ac:dyDescent="0.3">
      <c r="A60" t="s">
        <v>144</v>
      </c>
      <c r="B60" s="3">
        <v>46037</v>
      </c>
      <c r="C60" t="s">
        <v>41</v>
      </c>
      <c r="D60" t="s">
        <v>42</v>
      </c>
      <c r="E60" t="s">
        <v>43</v>
      </c>
      <c r="F60" t="s">
        <v>14</v>
      </c>
      <c r="G60" t="s">
        <v>40</v>
      </c>
      <c r="H60" s="5">
        <v>175000</v>
      </c>
      <c r="I60" s="5">
        <v>0</v>
      </c>
      <c r="J60" s="5">
        <v>0</v>
      </c>
      <c r="K60" s="5">
        <f>Table2[[#This Row],[Advance Amount]]-Table2[[#This Row],[Expense Amount]]-Table2[[#This Row],[Return Amount]]</f>
        <v>175000</v>
      </c>
      <c r="L60" s="5" t="str">
        <f>IF(Table2[[#This Row],[Outstanding]]=0,"Settled",IF(Table2[[#This Row],[Outstanding]]&gt;0,"Outstanding"))</f>
        <v>Outstanding</v>
      </c>
      <c r="M60" s="5" t="str">
        <f>IF(Table2[[#This Row],[Advance Amount]]=Table2[[#This Row],[Expense Amount]]+Table2[[#This Row],[Return Amount]]+Table2[[#This Row],[Outstanding]],"Ok","Check")</f>
        <v>Ok</v>
      </c>
      <c r="N60" s="11">
        <f>IF(Table2[[#This Row],[Status]]="Settled",0,$Q$2-Table2[[#This Row],[Date]])</f>
        <v>228</v>
      </c>
      <c r="O60" s="5" t="str">
        <f>IF(Table2[[#This Row],[Age Days]]&lt;=7,"Normal",IF(Table2[[#This Row],[Age Days]]&lt;=14,"Perlu Dipantau",IF(Table2[[#This Row],[Age Days]]&lt;=30,"Perlu Ditindaklanjuti","Overdue")))</f>
        <v>Overdue</v>
      </c>
    </row>
    <row r="61" spans="1:15" x14ac:dyDescent="0.3">
      <c r="A61" t="s">
        <v>145</v>
      </c>
      <c r="B61" s="3">
        <v>46037</v>
      </c>
      <c r="C61" t="s">
        <v>35</v>
      </c>
      <c r="D61" t="s">
        <v>36</v>
      </c>
      <c r="E61" t="s">
        <v>37</v>
      </c>
      <c r="F61" t="s">
        <v>20</v>
      </c>
      <c r="G61" t="s">
        <v>40</v>
      </c>
      <c r="H61" s="5">
        <v>175000</v>
      </c>
      <c r="I61" s="5">
        <v>150000</v>
      </c>
      <c r="J61" s="5">
        <v>25000</v>
      </c>
      <c r="K61" s="5">
        <f>Table2[[#This Row],[Advance Amount]]-Table2[[#This Row],[Expense Amount]]-Table2[[#This Row],[Return Amount]]</f>
        <v>0</v>
      </c>
      <c r="L61" s="5" t="str">
        <f>IF(Table2[[#This Row],[Outstanding]]=0,"Settled",IF(Table2[[#This Row],[Outstanding]]&gt;0,"Outstanding"))</f>
        <v>Settled</v>
      </c>
      <c r="M61" s="5" t="str">
        <f>IF(Table2[[#This Row],[Advance Amount]]=Table2[[#This Row],[Expense Amount]]+Table2[[#This Row],[Return Amount]]+Table2[[#This Row],[Outstanding]],"Ok","Check")</f>
        <v>Ok</v>
      </c>
      <c r="N61" s="11">
        <f>IF(Table2[[#This Row],[Status]]="Settled",0,$Q$2-Table2[[#This Row],[Date]])</f>
        <v>0</v>
      </c>
      <c r="O61" s="5" t="str">
        <f>IF(Table2[[#This Row],[Age Days]]&lt;=7,"Normal",IF(Table2[[#This Row],[Age Days]]&lt;=14,"Perlu Dipantau",IF(Table2[[#This Row],[Age Days]]&lt;=30,"Perlu Ditindaklanjuti","Overdue")))</f>
        <v>Normal</v>
      </c>
    </row>
    <row r="62" spans="1:15" x14ac:dyDescent="0.3">
      <c r="A62" t="s">
        <v>146</v>
      </c>
      <c r="B62" s="3">
        <v>46037</v>
      </c>
      <c r="C62" t="s">
        <v>44</v>
      </c>
      <c r="D62" t="s">
        <v>45</v>
      </c>
      <c r="E62" t="s">
        <v>43</v>
      </c>
      <c r="F62" t="s">
        <v>20</v>
      </c>
      <c r="G62" t="s">
        <v>34</v>
      </c>
      <c r="H62" s="5">
        <v>75000</v>
      </c>
      <c r="I62" s="5">
        <v>50000</v>
      </c>
      <c r="J62" s="5">
        <v>25000</v>
      </c>
      <c r="K62" s="5">
        <f>Table2[[#This Row],[Advance Amount]]-Table2[[#This Row],[Expense Amount]]-Table2[[#This Row],[Return Amount]]</f>
        <v>0</v>
      </c>
      <c r="L62" s="5" t="str">
        <f>IF(Table2[[#This Row],[Outstanding]]=0,"Settled",IF(Table2[[#This Row],[Outstanding]]&gt;0,"Outstanding"))</f>
        <v>Settled</v>
      </c>
      <c r="M62" s="5" t="str">
        <f>IF(Table2[[#This Row],[Advance Amount]]=Table2[[#This Row],[Expense Amount]]+Table2[[#This Row],[Return Amount]]+Table2[[#This Row],[Outstanding]],"Ok","Check")</f>
        <v>Ok</v>
      </c>
      <c r="N62" s="11">
        <f>IF(Table2[[#This Row],[Status]]="Settled",0,$Q$2-Table2[[#This Row],[Date]])</f>
        <v>0</v>
      </c>
      <c r="O62" s="5" t="str">
        <f>IF(Table2[[#This Row],[Age Days]]&lt;=7,"Normal",IF(Table2[[#This Row],[Age Days]]&lt;=14,"Perlu Dipantau",IF(Table2[[#This Row],[Age Days]]&lt;=30,"Perlu Ditindaklanjuti","Overdue")))</f>
        <v>Normal</v>
      </c>
    </row>
    <row r="63" spans="1:15" x14ac:dyDescent="0.3">
      <c r="A63" t="s">
        <v>147</v>
      </c>
      <c r="B63" s="3">
        <v>46037</v>
      </c>
      <c r="C63" t="s">
        <v>22</v>
      </c>
      <c r="D63" t="s">
        <v>23</v>
      </c>
      <c r="E63" t="s">
        <v>24</v>
      </c>
      <c r="F63" t="s">
        <v>14</v>
      </c>
      <c r="G63" t="s">
        <v>58</v>
      </c>
      <c r="H63" s="5">
        <v>325000</v>
      </c>
      <c r="I63" s="5">
        <v>0</v>
      </c>
      <c r="J63" s="5">
        <v>0</v>
      </c>
      <c r="K63" s="5">
        <f>Table2[[#This Row],[Advance Amount]]-Table2[[#This Row],[Expense Amount]]-Table2[[#This Row],[Return Amount]]</f>
        <v>325000</v>
      </c>
      <c r="L63" s="5" t="str">
        <f>IF(Table2[[#This Row],[Outstanding]]=0,"Settled",IF(Table2[[#This Row],[Outstanding]]&gt;0,"Outstanding"))</f>
        <v>Outstanding</v>
      </c>
      <c r="M63" s="5" t="str">
        <f>IF(Table2[[#This Row],[Advance Amount]]=Table2[[#This Row],[Expense Amount]]+Table2[[#This Row],[Return Amount]]+Table2[[#This Row],[Outstanding]],"Ok","Check")</f>
        <v>Ok</v>
      </c>
      <c r="N63" s="11">
        <f>IF(Table2[[#This Row],[Status]]="Settled",0,$Q$2-Table2[[#This Row],[Date]])</f>
        <v>228</v>
      </c>
      <c r="O63" s="5" t="str">
        <f>IF(Table2[[#This Row],[Age Days]]&lt;=7,"Normal",IF(Table2[[#This Row],[Age Days]]&lt;=14,"Perlu Dipantau",IF(Table2[[#This Row],[Age Days]]&lt;=30,"Perlu Ditindaklanjuti","Overdue")))</f>
        <v>Overdue</v>
      </c>
    </row>
    <row r="64" spans="1:15" x14ac:dyDescent="0.3">
      <c r="A64" t="s">
        <v>148</v>
      </c>
      <c r="B64" s="3">
        <v>46038</v>
      </c>
      <c r="C64" t="s">
        <v>32</v>
      </c>
      <c r="D64" t="s">
        <v>33</v>
      </c>
      <c r="E64" t="s">
        <v>27</v>
      </c>
      <c r="F64" t="s">
        <v>14</v>
      </c>
      <c r="G64" t="s">
        <v>31</v>
      </c>
      <c r="H64" s="5">
        <v>125000</v>
      </c>
      <c r="I64" s="5">
        <v>100000</v>
      </c>
      <c r="J64" s="5">
        <v>25000</v>
      </c>
      <c r="K64" s="5">
        <f>Table2[[#This Row],[Advance Amount]]-Table2[[#This Row],[Expense Amount]]-Table2[[#This Row],[Return Amount]]</f>
        <v>0</v>
      </c>
      <c r="L64" s="5" t="str">
        <f>IF(Table2[[#This Row],[Outstanding]]=0,"Settled",IF(Table2[[#This Row],[Outstanding]]&gt;0,"Outstanding"))</f>
        <v>Settled</v>
      </c>
      <c r="M64" s="5" t="str">
        <f>IF(Table2[[#This Row],[Advance Amount]]=Table2[[#This Row],[Expense Amount]]+Table2[[#This Row],[Return Amount]]+Table2[[#This Row],[Outstanding]],"Ok","Check")</f>
        <v>Ok</v>
      </c>
      <c r="N64" s="11">
        <f>IF(Table2[[#This Row],[Status]]="Settled",0,$Q$2-Table2[[#This Row],[Date]])</f>
        <v>0</v>
      </c>
      <c r="O64" s="5" t="str">
        <f>IF(Table2[[#This Row],[Age Days]]&lt;=7,"Normal",IF(Table2[[#This Row],[Age Days]]&lt;=14,"Perlu Dipantau",IF(Table2[[#This Row],[Age Days]]&lt;=30,"Perlu Ditindaklanjuti","Overdue")))</f>
        <v>Normal</v>
      </c>
    </row>
    <row r="65" spans="1:15" x14ac:dyDescent="0.3">
      <c r="A65" t="s">
        <v>149</v>
      </c>
      <c r="B65" s="3">
        <v>46038</v>
      </c>
      <c r="C65" t="s">
        <v>48</v>
      </c>
      <c r="D65" t="s">
        <v>49</v>
      </c>
      <c r="E65" t="s">
        <v>19</v>
      </c>
      <c r="F65" t="s">
        <v>14</v>
      </c>
      <c r="G65" t="s">
        <v>61</v>
      </c>
      <c r="H65" s="5">
        <v>100000</v>
      </c>
      <c r="I65" s="5">
        <v>75000</v>
      </c>
      <c r="J65" s="5">
        <v>25000</v>
      </c>
      <c r="K65" s="5">
        <f>Table2[[#This Row],[Advance Amount]]-Table2[[#This Row],[Expense Amount]]-Table2[[#This Row],[Return Amount]]</f>
        <v>0</v>
      </c>
      <c r="L65" s="5" t="str">
        <f>IF(Table2[[#This Row],[Outstanding]]=0,"Settled",IF(Table2[[#This Row],[Outstanding]]&gt;0,"Outstanding"))</f>
        <v>Settled</v>
      </c>
      <c r="M65" s="5" t="str">
        <f>IF(Table2[[#This Row],[Advance Amount]]=Table2[[#This Row],[Expense Amount]]+Table2[[#This Row],[Return Amount]]+Table2[[#This Row],[Outstanding]],"Ok","Check")</f>
        <v>Ok</v>
      </c>
      <c r="N65" s="11">
        <f>IF(Table2[[#This Row],[Status]]="Settled",0,$Q$2-Table2[[#This Row],[Date]])</f>
        <v>0</v>
      </c>
      <c r="O65" s="5" t="str">
        <f>IF(Table2[[#This Row],[Age Days]]&lt;=7,"Normal",IF(Table2[[#This Row],[Age Days]]&lt;=14,"Perlu Dipantau",IF(Table2[[#This Row],[Age Days]]&lt;=30,"Perlu Ditindaklanjuti","Overdue")))</f>
        <v>Normal</v>
      </c>
    </row>
    <row r="66" spans="1:15" x14ac:dyDescent="0.3">
      <c r="A66" t="s">
        <v>150</v>
      </c>
      <c r="B66" s="3">
        <v>46038</v>
      </c>
      <c r="C66" t="s">
        <v>11</v>
      </c>
      <c r="D66" t="s">
        <v>12</v>
      </c>
      <c r="E66" t="s">
        <v>13</v>
      </c>
      <c r="F66" t="s">
        <v>14</v>
      </c>
      <c r="G66" t="s">
        <v>61</v>
      </c>
      <c r="H66" s="5">
        <v>125000</v>
      </c>
      <c r="I66" s="5">
        <v>100000</v>
      </c>
      <c r="J66" s="5">
        <v>25000</v>
      </c>
      <c r="K66" s="5">
        <f>Table2[[#This Row],[Advance Amount]]-Table2[[#This Row],[Expense Amount]]-Table2[[#This Row],[Return Amount]]</f>
        <v>0</v>
      </c>
      <c r="L66" s="5" t="str">
        <f>IF(Table2[[#This Row],[Outstanding]]=0,"Settled",IF(Table2[[#This Row],[Outstanding]]&gt;0,"Outstanding"))</f>
        <v>Settled</v>
      </c>
      <c r="M66" s="5" t="str">
        <f>IF(Table2[[#This Row],[Advance Amount]]=Table2[[#This Row],[Expense Amount]]+Table2[[#This Row],[Return Amount]]+Table2[[#This Row],[Outstanding]],"Ok","Check")</f>
        <v>Ok</v>
      </c>
      <c r="N66" s="11">
        <f>IF(Table2[[#This Row],[Status]]="Settled",0,$Q$2-Table2[[#This Row],[Date]])</f>
        <v>0</v>
      </c>
      <c r="O66" s="5" t="str">
        <f>IF(Table2[[#This Row],[Age Days]]&lt;=7,"Normal",IF(Table2[[#This Row],[Age Days]]&lt;=14,"Perlu Dipantau",IF(Table2[[#This Row],[Age Days]]&lt;=30,"Perlu Ditindaklanjuti","Overdue")))</f>
        <v>Normal</v>
      </c>
    </row>
    <row r="67" spans="1:15" x14ac:dyDescent="0.3">
      <c r="A67" t="s">
        <v>151</v>
      </c>
      <c r="B67" s="3">
        <v>46038</v>
      </c>
      <c r="C67" t="s">
        <v>66</v>
      </c>
      <c r="D67" t="s">
        <v>67</v>
      </c>
      <c r="E67" t="s">
        <v>13</v>
      </c>
      <c r="F67" t="s">
        <v>20</v>
      </c>
      <c r="G67" t="s">
        <v>28</v>
      </c>
      <c r="H67" s="5">
        <v>80000</v>
      </c>
      <c r="I67" s="5">
        <v>75000</v>
      </c>
      <c r="J67" s="5">
        <v>5000</v>
      </c>
      <c r="K67" s="5">
        <f>Table2[[#This Row],[Advance Amount]]-Table2[[#This Row],[Expense Amount]]-Table2[[#This Row],[Return Amount]]</f>
        <v>0</v>
      </c>
      <c r="L67" s="5" t="str">
        <f>IF(Table2[[#This Row],[Outstanding]]=0,"Settled",IF(Table2[[#This Row],[Outstanding]]&gt;0,"Outstanding"))</f>
        <v>Settled</v>
      </c>
      <c r="M67" s="5" t="str">
        <f>IF(Table2[[#This Row],[Advance Amount]]=Table2[[#This Row],[Expense Amount]]+Table2[[#This Row],[Return Amount]]+Table2[[#This Row],[Outstanding]],"Ok","Check")</f>
        <v>Ok</v>
      </c>
      <c r="N67" s="11">
        <f>IF(Table2[[#This Row],[Status]]="Settled",0,$Q$2-Table2[[#This Row],[Date]])</f>
        <v>0</v>
      </c>
      <c r="O67" s="5" t="str">
        <f>IF(Table2[[#This Row],[Age Days]]&lt;=7,"Normal",IF(Table2[[#This Row],[Age Days]]&lt;=14,"Perlu Dipantau",IF(Table2[[#This Row],[Age Days]]&lt;=30,"Perlu Ditindaklanjuti","Overdue")))</f>
        <v>Normal</v>
      </c>
    </row>
    <row r="68" spans="1:15" x14ac:dyDescent="0.3">
      <c r="A68" t="s">
        <v>152</v>
      </c>
      <c r="B68" s="3">
        <v>46039</v>
      </c>
      <c r="C68" t="s">
        <v>46</v>
      </c>
      <c r="D68" t="s">
        <v>47</v>
      </c>
      <c r="E68" t="s">
        <v>37</v>
      </c>
      <c r="F68" t="s">
        <v>20</v>
      </c>
      <c r="G68" t="s">
        <v>61</v>
      </c>
      <c r="H68" s="5">
        <v>375000</v>
      </c>
      <c r="I68" s="5">
        <v>350000</v>
      </c>
      <c r="J68" s="5">
        <v>25000</v>
      </c>
      <c r="K68" s="5">
        <f>Table2[[#This Row],[Advance Amount]]-Table2[[#This Row],[Expense Amount]]-Table2[[#This Row],[Return Amount]]</f>
        <v>0</v>
      </c>
      <c r="L68" s="5" t="str">
        <f>IF(Table2[[#This Row],[Outstanding]]=0,"Settled",IF(Table2[[#This Row],[Outstanding]]&gt;0,"Outstanding"))</f>
        <v>Settled</v>
      </c>
      <c r="M68" s="5" t="str">
        <f>IF(Table2[[#This Row],[Advance Amount]]=Table2[[#This Row],[Expense Amount]]+Table2[[#This Row],[Return Amount]]+Table2[[#This Row],[Outstanding]],"Ok","Check")</f>
        <v>Ok</v>
      </c>
      <c r="N68" s="11">
        <f>IF(Table2[[#This Row],[Status]]="Settled",0,$Q$2-Table2[[#This Row],[Date]])</f>
        <v>0</v>
      </c>
      <c r="O68" s="5" t="str">
        <f>IF(Table2[[#This Row],[Age Days]]&lt;=7,"Normal",IF(Table2[[#This Row],[Age Days]]&lt;=14,"Perlu Dipantau",IF(Table2[[#This Row],[Age Days]]&lt;=30,"Perlu Ditindaklanjuti","Overdue")))</f>
        <v>Normal</v>
      </c>
    </row>
    <row r="69" spans="1:15" x14ac:dyDescent="0.3">
      <c r="A69" t="s">
        <v>153</v>
      </c>
      <c r="B69" s="3">
        <v>46039</v>
      </c>
      <c r="C69" t="s">
        <v>68</v>
      </c>
      <c r="D69" t="s">
        <v>69</v>
      </c>
      <c r="E69" t="s">
        <v>27</v>
      </c>
      <c r="F69" t="s">
        <v>14</v>
      </c>
      <c r="G69" t="s">
        <v>28</v>
      </c>
      <c r="H69" s="5">
        <v>105000</v>
      </c>
      <c r="I69" s="5">
        <v>0</v>
      </c>
      <c r="J69" s="5">
        <v>0</v>
      </c>
      <c r="K69" s="5">
        <f>Table2[[#This Row],[Advance Amount]]-Table2[[#This Row],[Expense Amount]]-Table2[[#This Row],[Return Amount]]</f>
        <v>105000</v>
      </c>
      <c r="L69" s="5" t="str">
        <f>IF(Table2[[#This Row],[Outstanding]]=0,"Settled",IF(Table2[[#This Row],[Outstanding]]&gt;0,"Outstanding"))</f>
        <v>Outstanding</v>
      </c>
      <c r="M69" s="5" t="str">
        <f>IF(Table2[[#This Row],[Advance Amount]]=Table2[[#This Row],[Expense Amount]]+Table2[[#This Row],[Return Amount]]+Table2[[#This Row],[Outstanding]],"Ok","Check")</f>
        <v>Ok</v>
      </c>
      <c r="N69" s="11">
        <f>IF(Table2[[#This Row],[Status]]="Settled",0,$Q$2-Table2[[#This Row],[Date]])</f>
        <v>226</v>
      </c>
      <c r="O69" s="5" t="str">
        <f>IF(Table2[[#This Row],[Age Days]]&lt;=7,"Normal",IF(Table2[[#This Row],[Age Days]]&lt;=14,"Perlu Dipantau",IF(Table2[[#This Row],[Age Days]]&lt;=30,"Perlu Ditindaklanjuti","Overdue")))</f>
        <v>Overdue</v>
      </c>
    </row>
    <row r="70" spans="1:15" x14ac:dyDescent="0.3">
      <c r="A70" t="s">
        <v>154</v>
      </c>
      <c r="B70" s="3">
        <v>46039</v>
      </c>
      <c r="C70" t="s">
        <v>68</v>
      </c>
      <c r="D70" t="s">
        <v>69</v>
      </c>
      <c r="E70" t="s">
        <v>27</v>
      </c>
      <c r="F70" t="s">
        <v>14</v>
      </c>
      <c r="G70" t="s">
        <v>15</v>
      </c>
      <c r="H70" s="5">
        <v>1625000</v>
      </c>
      <c r="I70" s="5">
        <v>1375000</v>
      </c>
      <c r="J70" s="5">
        <v>250000</v>
      </c>
      <c r="K70" s="5">
        <f>Table2[[#This Row],[Advance Amount]]-Table2[[#This Row],[Expense Amount]]-Table2[[#This Row],[Return Amount]]</f>
        <v>0</v>
      </c>
      <c r="L70" s="5" t="str">
        <f>IF(Table2[[#This Row],[Outstanding]]=0,"Settled",IF(Table2[[#This Row],[Outstanding]]&gt;0,"Outstanding"))</f>
        <v>Settled</v>
      </c>
      <c r="M70" s="5" t="str">
        <f>IF(Table2[[#This Row],[Advance Amount]]=Table2[[#This Row],[Expense Amount]]+Table2[[#This Row],[Return Amount]]+Table2[[#This Row],[Outstanding]],"Ok","Check")</f>
        <v>Ok</v>
      </c>
      <c r="N70" s="11">
        <f>IF(Table2[[#This Row],[Status]]="Settled",0,$Q$2-Table2[[#This Row],[Date]])</f>
        <v>0</v>
      </c>
      <c r="O70" s="5" t="str">
        <f>IF(Table2[[#This Row],[Age Days]]&lt;=7,"Normal",IF(Table2[[#This Row],[Age Days]]&lt;=14,"Perlu Dipantau",IF(Table2[[#This Row],[Age Days]]&lt;=30,"Perlu Ditindaklanjuti","Overdue")))</f>
        <v>Normal</v>
      </c>
    </row>
    <row r="71" spans="1:15" x14ac:dyDescent="0.3">
      <c r="A71" t="s">
        <v>155</v>
      </c>
      <c r="B71" s="3">
        <v>46039</v>
      </c>
      <c r="C71" t="s">
        <v>59</v>
      </c>
      <c r="D71" t="s">
        <v>60</v>
      </c>
      <c r="E71" t="s">
        <v>19</v>
      </c>
      <c r="F71" t="s">
        <v>14</v>
      </c>
      <c r="G71" t="s">
        <v>34</v>
      </c>
      <c r="H71" s="5">
        <v>100000</v>
      </c>
      <c r="I71" s="5">
        <v>0</v>
      </c>
      <c r="J71" s="5">
        <v>0</v>
      </c>
      <c r="K71" s="5">
        <f>Table2[[#This Row],[Advance Amount]]-Table2[[#This Row],[Expense Amount]]-Table2[[#This Row],[Return Amount]]</f>
        <v>100000</v>
      </c>
      <c r="L71" s="5" t="str">
        <f>IF(Table2[[#This Row],[Outstanding]]=0,"Settled",IF(Table2[[#This Row],[Outstanding]]&gt;0,"Outstanding"))</f>
        <v>Outstanding</v>
      </c>
      <c r="M71" s="5" t="str">
        <f>IF(Table2[[#This Row],[Advance Amount]]=Table2[[#This Row],[Expense Amount]]+Table2[[#This Row],[Return Amount]]+Table2[[#This Row],[Outstanding]],"Ok","Check")</f>
        <v>Ok</v>
      </c>
      <c r="N71" s="11">
        <f>IF(Table2[[#This Row],[Status]]="Settled",0,$Q$2-Table2[[#This Row],[Date]])</f>
        <v>226</v>
      </c>
      <c r="O71" s="5" t="str">
        <f>IF(Table2[[#This Row],[Age Days]]&lt;=7,"Normal",IF(Table2[[#This Row],[Age Days]]&lt;=14,"Perlu Dipantau",IF(Table2[[#This Row],[Age Days]]&lt;=30,"Perlu Ditindaklanjuti","Overdue")))</f>
        <v>Overdue</v>
      </c>
    </row>
    <row r="72" spans="1:15" x14ac:dyDescent="0.3">
      <c r="A72" t="s">
        <v>156</v>
      </c>
      <c r="B72" s="3">
        <v>46040</v>
      </c>
      <c r="C72" t="s">
        <v>68</v>
      </c>
      <c r="D72" t="s">
        <v>69</v>
      </c>
      <c r="E72" t="s">
        <v>27</v>
      </c>
      <c r="F72" t="s">
        <v>14</v>
      </c>
      <c r="G72" t="s">
        <v>61</v>
      </c>
      <c r="H72" s="5">
        <v>275000</v>
      </c>
      <c r="I72" s="5">
        <v>0</v>
      </c>
      <c r="J72" s="5">
        <v>0</v>
      </c>
      <c r="K72" s="5">
        <f>Table2[[#This Row],[Advance Amount]]-Table2[[#This Row],[Expense Amount]]-Table2[[#This Row],[Return Amount]]</f>
        <v>275000</v>
      </c>
      <c r="L72" s="5" t="str">
        <f>IF(Table2[[#This Row],[Outstanding]]=0,"Settled",IF(Table2[[#This Row],[Outstanding]]&gt;0,"Outstanding"))</f>
        <v>Outstanding</v>
      </c>
      <c r="M72" s="5" t="str">
        <f>IF(Table2[[#This Row],[Advance Amount]]=Table2[[#This Row],[Expense Amount]]+Table2[[#This Row],[Return Amount]]+Table2[[#This Row],[Outstanding]],"Ok","Check")</f>
        <v>Ok</v>
      </c>
      <c r="N72" s="11">
        <f>IF(Table2[[#This Row],[Status]]="Settled",0,$Q$2-Table2[[#This Row],[Date]])</f>
        <v>225</v>
      </c>
      <c r="O72" s="5" t="str">
        <f>IF(Table2[[#This Row],[Age Days]]&lt;=7,"Normal",IF(Table2[[#This Row],[Age Days]]&lt;=14,"Perlu Dipantau",IF(Table2[[#This Row],[Age Days]]&lt;=30,"Perlu Ditindaklanjuti","Overdue")))</f>
        <v>Overdue</v>
      </c>
    </row>
    <row r="73" spans="1:15" x14ac:dyDescent="0.3">
      <c r="A73" t="s">
        <v>157</v>
      </c>
      <c r="B73" s="3">
        <v>46040</v>
      </c>
      <c r="C73" t="s">
        <v>68</v>
      </c>
      <c r="D73" t="s">
        <v>69</v>
      </c>
      <c r="E73" t="s">
        <v>27</v>
      </c>
      <c r="F73" t="s">
        <v>20</v>
      </c>
      <c r="G73" t="s">
        <v>61</v>
      </c>
      <c r="H73" s="5">
        <v>100000</v>
      </c>
      <c r="I73" s="5">
        <v>75000</v>
      </c>
      <c r="J73" s="5">
        <v>25000</v>
      </c>
      <c r="K73" s="5">
        <f>Table2[[#This Row],[Advance Amount]]-Table2[[#This Row],[Expense Amount]]-Table2[[#This Row],[Return Amount]]</f>
        <v>0</v>
      </c>
      <c r="L73" s="5" t="str">
        <f>IF(Table2[[#This Row],[Outstanding]]=0,"Settled",IF(Table2[[#This Row],[Outstanding]]&gt;0,"Outstanding"))</f>
        <v>Settled</v>
      </c>
      <c r="M73" s="5" t="str">
        <f>IF(Table2[[#This Row],[Advance Amount]]=Table2[[#This Row],[Expense Amount]]+Table2[[#This Row],[Return Amount]]+Table2[[#This Row],[Outstanding]],"Ok","Check")</f>
        <v>Ok</v>
      </c>
      <c r="N73" s="11">
        <f>IF(Table2[[#This Row],[Status]]="Settled",0,$Q$2-Table2[[#This Row],[Date]])</f>
        <v>0</v>
      </c>
      <c r="O73" s="5" t="str">
        <f>IF(Table2[[#This Row],[Age Days]]&lt;=7,"Normal",IF(Table2[[#This Row],[Age Days]]&lt;=14,"Perlu Dipantau",IF(Table2[[#This Row],[Age Days]]&lt;=30,"Perlu Ditindaklanjuti","Overdue")))</f>
        <v>Normal</v>
      </c>
    </row>
    <row r="74" spans="1:15" x14ac:dyDescent="0.3">
      <c r="A74" t="s">
        <v>158</v>
      </c>
      <c r="B74" s="3">
        <v>46040</v>
      </c>
      <c r="C74" t="s">
        <v>44</v>
      </c>
      <c r="D74" t="s">
        <v>45</v>
      </c>
      <c r="E74" t="s">
        <v>43</v>
      </c>
      <c r="F74" t="s">
        <v>20</v>
      </c>
      <c r="G74" t="s">
        <v>15</v>
      </c>
      <c r="H74" s="5">
        <v>675000</v>
      </c>
      <c r="I74" s="5">
        <v>550000</v>
      </c>
      <c r="J74" s="5">
        <v>125000</v>
      </c>
      <c r="K74" s="5">
        <f>Table2[[#This Row],[Advance Amount]]-Table2[[#This Row],[Expense Amount]]-Table2[[#This Row],[Return Amount]]</f>
        <v>0</v>
      </c>
      <c r="L74" s="5" t="str">
        <f>IF(Table2[[#This Row],[Outstanding]]=0,"Settled",IF(Table2[[#This Row],[Outstanding]]&gt;0,"Outstanding"))</f>
        <v>Settled</v>
      </c>
      <c r="M74" s="5" t="str">
        <f>IF(Table2[[#This Row],[Advance Amount]]=Table2[[#This Row],[Expense Amount]]+Table2[[#This Row],[Return Amount]]+Table2[[#This Row],[Outstanding]],"Ok","Check")</f>
        <v>Ok</v>
      </c>
      <c r="N74" s="11">
        <f>IF(Table2[[#This Row],[Status]]="Settled",0,$Q$2-Table2[[#This Row],[Date]])</f>
        <v>0</v>
      </c>
      <c r="O74" s="5" t="str">
        <f>IF(Table2[[#This Row],[Age Days]]&lt;=7,"Normal",IF(Table2[[#This Row],[Age Days]]&lt;=14,"Perlu Dipantau",IF(Table2[[#This Row],[Age Days]]&lt;=30,"Perlu Ditindaklanjuti","Overdue")))</f>
        <v>Normal</v>
      </c>
    </row>
    <row r="75" spans="1:15" x14ac:dyDescent="0.3">
      <c r="A75" t="s">
        <v>159</v>
      </c>
      <c r="B75" s="3">
        <v>46040</v>
      </c>
      <c r="C75" t="s">
        <v>25</v>
      </c>
      <c r="D75" t="s">
        <v>26</v>
      </c>
      <c r="E75" t="s">
        <v>27</v>
      </c>
      <c r="F75" t="s">
        <v>20</v>
      </c>
      <c r="G75" t="s">
        <v>40</v>
      </c>
      <c r="H75" s="5">
        <v>175000</v>
      </c>
      <c r="I75" s="5">
        <v>150000</v>
      </c>
      <c r="J75" s="5">
        <v>25000</v>
      </c>
      <c r="K75" s="5">
        <f>Table2[[#This Row],[Advance Amount]]-Table2[[#This Row],[Expense Amount]]-Table2[[#This Row],[Return Amount]]</f>
        <v>0</v>
      </c>
      <c r="L75" s="5" t="str">
        <f>IF(Table2[[#This Row],[Outstanding]]=0,"Settled",IF(Table2[[#This Row],[Outstanding]]&gt;0,"Outstanding"))</f>
        <v>Settled</v>
      </c>
      <c r="M75" s="5" t="str">
        <f>IF(Table2[[#This Row],[Advance Amount]]=Table2[[#This Row],[Expense Amount]]+Table2[[#This Row],[Return Amount]]+Table2[[#This Row],[Outstanding]],"Ok","Check")</f>
        <v>Ok</v>
      </c>
      <c r="N75" s="11">
        <f>IF(Table2[[#This Row],[Status]]="Settled",0,$Q$2-Table2[[#This Row],[Date]])</f>
        <v>0</v>
      </c>
      <c r="O75" s="5" t="str">
        <f>IF(Table2[[#This Row],[Age Days]]&lt;=7,"Normal",IF(Table2[[#This Row],[Age Days]]&lt;=14,"Perlu Dipantau",IF(Table2[[#This Row],[Age Days]]&lt;=30,"Perlu Ditindaklanjuti","Overdue")))</f>
        <v>Normal</v>
      </c>
    </row>
    <row r="76" spans="1:15" x14ac:dyDescent="0.3">
      <c r="A76" t="s">
        <v>160</v>
      </c>
      <c r="B76" s="3">
        <v>46041</v>
      </c>
      <c r="C76" t="s">
        <v>11</v>
      </c>
      <c r="D76" t="s">
        <v>12</v>
      </c>
      <c r="E76" t="s">
        <v>13</v>
      </c>
      <c r="F76" t="s">
        <v>20</v>
      </c>
      <c r="G76" t="s">
        <v>58</v>
      </c>
      <c r="H76" s="5">
        <v>250000</v>
      </c>
      <c r="I76" s="5">
        <v>225000</v>
      </c>
      <c r="J76" s="5">
        <v>25000</v>
      </c>
      <c r="K76" s="5">
        <f>Table2[[#This Row],[Advance Amount]]-Table2[[#This Row],[Expense Amount]]-Table2[[#This Row],[Return Amount]]</f>
        <v>0</v>
      </c>
      <c r="L76" s="5" t="str">
        <f>IF(Table2[[#This Row],[Outstanding]]=0,"Settled",IF(Table2[[#This Row],[Outstanding]]&gt;0,"Outstanding"))</f>
        <v>Settled</v>
      </c>
      <c r="M76" s="5" t="str">
        <f>IF(Table2[[#This Row],[Advance Amount]]=Table2[[#This Row],[Expense Amount]]+Table2[[#This Row],[Return Amount]]+Table2[[#This Row],[Outstanding]],"Ok","Check")</f>
        <v>Ok</v>
      </c>
      <c r="N76" s="11">
        <f>IF(Table2[[#This Row],[Status]]="Settled",0,$Q$2-Table2[[#This Row],[Date]])</f>
        <v>0</v>
      </c>
      <c r="O76" s="5" t="str">
        <f>IF(Table2[[#This Row],[Age Days]]&lt;=7,"Normal",IF(Table2[[#This Row],[Age Days]]&lt;=14,"Perlu Dipantau",IF(Table2[[#This Row],[Age Days]]&lt;=30,"Perlu Ditindaklanjuti","Overdue")))</f>
        <v>Normal</v>
      </c>
    </row>
    <row r="77" spans="1:15" x14ac:dyDescent="0.3">
      <c r="A77" t="s">
        <v>161</v>
      </c>
      <c r="B77" s="3">
        <v>46041</v>
      </c>
      <c r="C77" t="s">
        <v>68</v>
      </c>
      <c r="D77" t="s">
        <v>69</v>
      </c>
      <c r="E77" t="s">
        <v>27</v>
      </c>
      <c r="F77" t="s">
        <v>14</v>
      </c>
      <c r="G77" t="s">
        <v>34</v>
      </c>
      <c r="H77" s="5">
        <v>50000</v>
      </c>
      <c r="I77" s="5">
        <v>50000</v>
      </c>
      <c r="J77" s="5">
        <v>0</v>
      </c>
      <c r="K77" s="5">
        <f>Table2[[#This Row],[Advance Amount]]-Table2[[#This Row],[Expense Amount]]-Table2[[#This Row],[Return Amount]]</f>
        <v>0</v>
      </c>
      <c r="L77" s="5" t="str">
        <f>IF(Table2[[#This Row],[Outstanding]]=0,"Settled",IF(Table2[[#This Row],[Outstanding]]&gt;0,"Outstanding"))</f>
        <v>Settled</v>
      </c>
      <c r="M77" s="5" t="str">
        <f>IF(Table2[[#This Row],[Advance Amount]]=Table2[[#This Row],[Expense Amount]]+Table2[[#This Row],[Return Amount]]+Table2[[#This Row],[Outstanding]],"Ok","Check")</f>
        <v>Ok</v>
      </c>
      <c r="N77" s="11">
        <f>IF(Table2[[#This Row],[Status]]="Settled",0,$Q$2-Table2[[#This Row],[Date]])</f>
        <v>0</v>
      </c>
      <c r="O77" s="5" t="str">
        <f>IF(Table2[[#This Row],[Age Days]]&lt;=7,"Normal",IF(Table2[[#This Row],[Age Days]]&lt;=14,"Perlu Dipantau",IF(Table2[[#This Row],[Age Days]]&lt;=30,"Perlu Ditindaklanjuti","Overdue")))</f>
        <v>Normal</v>
      </c>
    </row>
    <row r="78" spans="1:15" x14ac:dyDescent="0.3">
      <c r="A78" t="s">
        <v>162</v>
      </c>
      <c r="B78" s="3">
        <v>46041</v>
      </c>
      <c r="C78" t="s">
        <v>44</v>
      </c>
      <c r="D78" t="s">
        <v>45</v>
      </c>
      <c r="E78" t="s">
        <v>43</v>
      </c>
      <c r="F78" t="s">
        <v>20</v>
      </c>
      <c r="G78" t="s">
        <v>40</v>
      </c>
      <c r="H78" s="5">
        <v>675000</v>
      </c>
      <c r="I78" s="5">
        <v>650000</v>
      </c>
      <c r="J78" s="5">
        <v>25000</v>
      </c>
      <c r="K78" s="5">
        <f>Table2[[#This Row],[Advance Amount]]-Table2[[#This Row],[Expense Amount]]-Table2[[#This Row],[Return Amount]]</f>
        <v>0</v>
      </c>
      <c r="L78" s="5" t="str">
        <f>IF(Table2[[#This Row],[Outstanding]]=0,"Settled",IF(Table2[[#This Row],[Outstanding]]&gt;0,"Outstanding"))</f>
        <v>Settled</v>
      </c>
      <c r="M78" s="5" t="str">
        <f>IF(Table2[[#This Row],[Advance Amount]]=Table2[[#This Row],[Expense Amount]]+Table2[[#This Row],[Return Amount]]+Table2[[#This Row],[Outstanding]],"Ok","Check")</f>
        <v>Ok</v>
      </c>
      <c r="N78" s="11">
        <f>IF(Table2[[#This Row],[Status]]="Settled",0,$Q$2-Table2[[#This Row],[Date]])</f>
        <v>0</v>
      </c>
      <c r="O78" s="5" t="str">
        <f>IF(Table2[[#This Row],[Age Days]]&lt;=7,"Normal",IF(Table2[[#This Row],[Age Days]]&lt;=14,"Perlu Dipantau",IF(Table2[[#This Row],[Age Days]]&lt;=30,"Perlu Ditindaklanjuti","Overdue")))</f>
        <v>Normal</v>
      </c>
    </row>
    <row r="79" spans="1:15" x14ac:dyDescent="0.3">
      <c r="A79" t="s">
        <v>163</v>
      </c>
      <c r="B79" s="3">
        <v>46041</v>
      </c>
      <c r="C79" t="s">
        <v>17</v>
      </c>
      <c r="D79" t="s">
        <v>18</v>
      </c>
      <c r="E79" t="s">
        <v>19</v>
      </c>
      <c r="F79" t="s">
        <v>14</v>
      </c>
      <c r="G79" t="s">
        <v>40</v>
      </c>
      <c r="H79" s="5">
        <v>200000</v>
      </c>
      <c r="I79" s="5">
        <v>175000</v>
      </c>
      <c r="J79" s="5">
        <v>25000</v>
      </c>
      <c r="K79" s="5">
        <f>Table2[[#This Row],[Advance Amount]]-Table2[[#This Row],[Expense Amount]]-Table2[[#This Row],[Return Amount]]</f>
        <v>0</v>
      </c>
      <c r="L79" s="5" t="str">
        <f>IF(Table2[[#This Row],[Outstanding]]=0,"Settled",IF(Table2[[#This Row],[Outstanding]]&gt;0,"Outstanding"))</f>
        <v>Settled</v>
      </c>
      <c r="M79" s="5" t="str">
        <f>IF(Table2[[#This Row],[Advance Amount]]=Table2[[#This Row],[Expense Amount]]+Table2[[#This Row],[Return Amount]]+Table2[[#This Row],[Outstanding]],"Ok","Check")</f>
        <v>Ok</v>
      </c>
      <c r="N79" s="11">
        <f>IF(Table2[[#This Row],[Status]]="Settled",0,$Q$2-Table2[[#This Row],[Date]])</f>
        <v>0</v>
      </c>
      <c r="O79" s="5" t="str">
        <f>IF(Table2[[#This Row],[Age Days]]&lt;=7,"Normal",IF(Table2[[#This Row],[Age Days]]&lt;=14,"Perlu Dipantau",IF(Table2[[#This Row],[Age Days]]&lt;=30,"Perlu Ditindaklanjuti","Overdue")))</f>
        <v>Normal</v>
      </c>
    </row>
    <row r="80" spans="1:15" x14ac:dyDescent="0.3">
      <c r="A80" t="s">
        <v>164</v>
      </c>
      <c r="B80" s="3">
        <v>46042</v>
      </c>
      <c r="C80" t="s">
        <v>64</v>
      </c>
      <c r="D80" t="s">
        <v>65</v>
      </c>
      <c r="E80" t="s">
        <v>37</v>
      </c>
      <c r="F80" t="s">
        <v>20</v>
      </c>
      <c r="G80" t="s">
        <v>58</v>
      </c>
      <c r="H80" s="5">
        <v>1100000</v>
      </c>
      <c r="I80" s="5">
        <v>850000</v>
      </c>
      <c r="J80" s="5">
        <v>250000</v>
      </c>
      <c r="K80" s="5">
        <f>Table2[[#This Row],[Advance Amount]]-Table2[[#This Row],[Expense Amount]]-Table2[[#This Row],[Return Amount]]</f>
        <v>0</v>
      </c>
      <c r="L80" s="5" t="str">
        <f>IF(Table2[[#This Row],[Outstanding]]=0,"Settled",IF(Table2[[#This Row],[Outstanding]]&gt;0,"Outstanding"))</f>
        <v>Settled</v>
      </c>
      <c r="M80" s="5" t="str">
        <f>IF(Table2[[#This Row],[Advance Amount]]=Table2[[#This Row],[Expense Amount]]+Table2[[#This Row],[Return Amount]]+Table2[[#This Row],[Outstanding]],"Ok","Check")</f>
        <v>Ok</v>
      </c>
      <c r="N80" s="11">
        <f>IF(Table2[[#This Row],[Status]]="Settled",0,$Q$2-Table2[[#This Row],[Date]])</f>
        <v>0</v>
      </c>
      <c r="O80" s="5" t="str">
        <f>IF(Table2[[#This Row],[Age Days]]&lt;=7,"Normal",IF(Table2[[#This Row],[Age Days]]&lt;=14,"Perlu Dipantau",IF(Table2[[#This Row],[Age Days]]&lt;=30,"Perlu Ditindaklanjuti","Overdue")))</f>
        <v>Normal</v>
      </c>
    </row>
    <row r="81" spans="1:15" x14ac:dyDescent="0.3">
      <c r="A81" t="s">
        <v>165</v>
      </c>
      <c r="B81" s="3">
        <v>46042</v>
      </c>
      <c r="C81" t="s">
        <v>22</v>
      </c>
      <c r="D81" t="s">
        <v>23</v>
      </c>
      <c r="E81" t="s">
        <v>24</v>
      </c>
      <c r="F81" t="s">
        <v>20</v>
      </c>
      <c r="G81" t="s">
        <v>58</v>
      </c>
      <c r="H81" s="5">
        <v>325000</v>
      </c>
      <c r="I81" s="5">
        <v>0</v>
      </c>
      <c r="J81" s="5">
        <v>0</v>
      </c>
      <c r="K81" s="5">
        <f>Table2[[#This Row],[Advance Amount]]-Table2[[#This Row],[Expense Amount]]-Table2[[#This Row],[Return Amount]]</f>
        <v>325000</v>
      </c>
      <c r="L81" s="5" t="str">
        <f>IF(Table2[[#This Row],[Outstanding]]=0,"Settled",IF(Table2[[#This Row],[Outstanding]]&gt;0,"Outstanding"))</f>
        <v>Outstanding</v>
      </c>
      <c r="M81" s="5" t="str">
        <f>IF(Table2[[#This Row],[Advance Amount]]=Table2[[#This Row],[Expense Amount]]+Table2[[#This Row],[Return Amount]]+Table2[[#This Row],[Outstanding]],"Ok","Check")</f>
        <v>Ok</v>
      </c>
      <c r="N81" s="11">
        <f>IF(Table2[[#This Row],[Status]]="Settled",0,$Q$2-Table2[[#This Row],[Date]])</f>
        <v>223</v>
      </c>
      <c r="O81" s="5" t="str">
        <f>IF(Table2[[#This Row],[Age Days]]&lt;=7,"Normal",IF(Table2[[#This Row],[Age Days]]&lt;=14,"Perlu Dipantau",IF(Table2[[#This Row],[Age Days]]&lt;=30,"Perlu Ditindaklanjuti","Overdue")))</f>
        <v>Overdue</v>
      </c>
    </row>
    <row r="82" spans="1:15" x14ac:dyDescent="0.3">
      <c r="A82" t="s">
        <v>166</v>
      </c>
      <c r="B82" s="3">
        <v>46043</v>
      </c>
      <c r="C82" t="s">
        <v>17</v>
      </c>
      <c r="D82" t="s">
        <v>18</v>
      </c>
      <c r="E82" t="s">
        <v>19</v>
      </c>
      <c r="F82" t="s">
        <v>20</v>
      </c>
      <c r="G82" t="s">
        <v>40</v>
      </c>
      <c r="H82" s="5">
        <v>750000</v>
      </c>
      <c r="I82" s="5">
        <v>675000</v>
      </c>
      <c r="J82" s="5">
        <v>75000</v>
      </c>
      <c r="K82" s="5">
        <f>Table2[[#This Row],[Advance Amount]]-Table2[[#This Row],[Expense Amount]]-Table2[[#This Row],[Return Amount]]</f>
        <v>0</v>
      </c>
      <c r="L82" s="5" t="str">
        <f>IF(Table2[[#This Row],[Outstanding]]=0,"Settled",IF(Table2[[#This Row],[Outstanding]]&gt;0,"Outstanding"))</f>
        <v>Settled</v>
      </c>
      <c r="M82" s="5" t="str">
        <f>IF(Table2[[#This Row],[Advance Amount]]=Table2[[#This Row],[Expense Amount]]+Table2[[#This Row],[Return Amount]]+Table2[[#This Row],[Outstanding]],"Ok","Check")</f>
        <v>Ok</v>
      </c>
      <c r="N82" s="11">
        <f>IF(Table2[[#This Row],[Status]]="Settled",0,$Q$2-Table2[[#This Row],[Date]])</f>
        <v>0</v>
      </c>
      <c r="O82" s="5" t="str">
        <f>IF(Table2[[#This Row],[Age Days]]&lt;=7,"Normal",IF(Table2[[#This Row],[Age Days]]&lt;=14,"Perlu Dipantau",IF(Table2[[#This Row],[Age Days]]&lt;=30,"Perlu Ditindaklanjuti","Overdue")))</f>
        <v>Normal</v>
      </c>
    </row>
    <row r="83" spans="1:15" x14ac:dyDescent="0.3">
      <c r="A83" t="s">
        <v>167</v>
      </c>
      <c r="B83" s="3">
        <v>46043</v>
      </c>
      <c r="C83" t="s">
        <v>64</v>
      </c>
      <c r="D83" t="s">
        <v>65</v>
      </c>
      <c r="E83" t="s">
        <v>37</v>
      </c>
      <c r="F83" t="s">
        <v>20</v>
      </c>
      <c r="G83" t="s">
        <v>31</v>
      </c>
      <c r="H83" s="5">
        <v>525000</v>
      </c>
      <c r="I83" s="5">
        <v>0</v>
      </c>
      <c r="J83" s="5">
        <v>0</v>
      </c>
      <c r="K83" s="5">
        <f>Table2[[#This Row],[Advance Amount]]-Table2[[#This Row],[Expense Amount]]-Table2[[#This Row],[Return Amount]]</f>
        <v>525000</v>
      </c>
      <c r="L83" s="5" t="str">
        <f>IF(Table2[[#This Row],[Outstanding]]=0,"Settled",IF(Table2[[#This Row],[Outstanding]]&gt;0,"Outstanding"))</f>
        <v>Outstanding</v>
      </c>
      <c r="M83" s="5" t="str">
        <f>IF(Table2[[#This Row],[Advance Amount]]=Table2[[#This Row],[Expense Amount]]+Table2[[#This Row],[Return Amount]]+Table2[[#This Row],[Outstanding]],"Ok","Check")</f>
        <v>Ok</v>
      </c>
      <c r="N83" s="11">
        <f>IF(Table2[[#This Row],[Status]]="Settled",0,$Q$2-Table2[[#This Row],[Date]])</f>
        <v>222</v>
      </c>
      <c r="O83" s="5" t="str">
        <f>IF(Table2[[#This Row],[Age Days]]&lt;=7,"Normal",IF(Table2[[#This Row],[Age Days]]&lt;=14,"Perlu Dipantau",IF(Table2[[#This Row],[Age Days]]&lt;=30,"Perlu Ditindaklanjuti","Overdue")))</f>
        <v>Overdue</v>
      </c>
    </row>
    <row r="84" spans="1:15" x14ac:dyDescent="0.3">
      <c r="A84" t="s">
        <v>168</v>
      </c>
      <c r="B84" s="3">
        <v>46043</v>
      </c>
      <c r="C84" t="s">
        <v>53</v>
      </c>
      <c r="D84" t="s">
        <v>54</v>
      </c>
      <c r="E84" t="s">
        <v>43</v>
      </c>
      <c r="F84" t="s">
        <v>20</v>
      </c>
      <c r="G84" t="s">
        <v>15</v>
      </c>
      <c r="H84" s="5">
        <v>2100000</v>
      </c>
      <c r="I84" s="5">
        <v>1600000</v>
      </c>
      <c r="J84" s="5">
        <v>500000</v>
      </c>
      <c r="K84" s="5">
        <f>Table2[[#This Row],[Advance Amount]]-Table2[[#This Row],[Expense Amount]]-Table2[[#This Row],[Return Amount]]</f>
        <v>0</v>
      </c>
      <c r="L84" s="5" t="str">
        <f>IF(Table2[[#This Row],[Outstanding]]=0,"Settled",IF(Table2[[#This Row],[Outstanding]]&gt;0,"Outstanding"))</f>
        <v>Settled</v>
      </c>
      <c r="M84" s="5" t="str">
        <f>IF(Table2[[#This Row],[Advance Amount]]=Table2[[#This Row],[Expense Amount]]+Table2[[#This Row],[Return Amount]]+Table2[[#This Row],[Outstanding]],"Ok","Check")</f>
        <v>Ok</v>
      </c>
      <c r="N84" s="11">
        <f>IF(Table2[[#This Row],[Status]]="Settled",0,$Q$2-Table2[[#This Row],[Date]])</f>
        <v>0</v>
      </c>
      <c r="O84" s="5" t="str">
        <f>IF(Table2[[#This Row],[Age Days]]&lt;=7,"Normal",IF(Table2[[#This Row],[Age Days]]&lt;=14,"Perlu Dipantau",IF(Table2[[#This Row],[Age Days]]&lt;=30,"Perlu Ditindaklanjuti","Overdue")))</f>
        <v>Normal</v>
      </c>
    </row>
    <row r="85" spans="1:15" x14ac:dyDescent="0.3">
      <c r="A85" t="s">
        <v>169</v>
      </c>
      <c r="B85" s="3">
        <v>46044</v>
      </c>
      <c r="C85" t="s">
        <v>46</v>
      </c>
      <c r="D85" t="s">
        <v>47</v>
      </c>
      <c r="E85" t="s">
        <v>37</v>
      </c>
      <c r="F85" t="s">
        <v>14</v>
      </c>
      <c r="G85" t="s">
        <v>15</v>
      </c>
      <c r="H85" s="5">
        <v>1825000</v>
      </c>
      <c r="I85" s="5">
        <v>1700000</v>
      </c>
      <c r="J85" s="5">
        <v>125000</v>
      </c>
      <c r="K85" s="5">
        <f>Table2[[#This Row],[Advance Amount]]-Table2[[#This Row],[Expense Amount]]-Table2[[#This Row],[Return Amount]]</f>
        <v>0</v>
      </c>
      <c r="L85" s="5" t="str">
        <f>IF(Table2[[#This Row],[Outstanding]]=0,"Settled",IF(Table2[[#This Row],[Outstanding]]&gt;0,"Outstanding"))</f>
        <v>Settled</v>
      </c>
      <c r="M85" s="5" t="str">
        <f>IF(Table2[[#This Row],[Advance Amount]]=Table2[[#This Row],[Expense Amount]]+Table2[[#This Row],[Return Amount]]+Table2[[#This Row],[Outstanding]],"Ok","Check")</f>
        <v>Ok</v>
      </c>
      <c r="N85" s="11">
        <f>IF(Table2[[#This Row],[Status]]="Settled",0,$Q$2-Table2[[#This Row],[Date]])</f>
        <v>0</v>
      </c>
      <c r="O85" s="5" t="str">
        <f>IF(Table2[[#This Row],[Age Days]]&lt;=7,"Normal",IF(Table2[[#This Row],[Age Days]]&lt;=14,"Perlu Dipantau",IF(Table2[[#This Row],[Age Days]]&lt;=30,"Perlu Ditindaklanjuti","Overdue")))</f>
        <v>Normal</v>
      </c>
    </row>
    <row r="86" spans="1:15" x14ac:dyDescent="0.3">
      <c r="A86" t="s">
        <v>170</v>
      </c>
      <c r="B86" s="3">
        <v>46044</v>
      </c>
      <c r="C86" t="s">
        <v>32</v>
      </c>
      <c r="D86" t="s">
        <v>33</v>
      </c>
      <c r="E86" t="s">
        <v>27</v>
      </c>
      <c r="F86" t="s">
        <v>14</v>
      </c>
      <c r="G86" t="s">
        <v>31</v>
      </c>
      <c r="H86" s="5">
        <v>600000</v>
      </c>
      <c r="I86" s="5">
        <v>475000</v>
      </c>
      <c r="J86" s="5">
        <v>125000</v>
      </c>
      <c r="K86" s="5">
        <f>Table2[[#This Row],[Advance Amount]]-Table2[[#This Row],[Expense Amount]]-Table2[[#This Row],[Return Amount]]</f>
        <v>0</v>
      </c>
      <c r="L86" s="5" t="str">
        <f>IF(Table2[[#This Row],[Outstanding]]=0,"Settled",IF(Table2[[#This Row],[Outstanding]]&gt;0,"Outstanding"))</f>
        <v>Settled</v>
      </c>
      <c r="M86" s="5" t="str">
        <f>IF(Table2[[#This Row],[Advance Amount]]=Table2[[#This Row],[Expense Amount]]+Table2[[#This Row],[Return Amount]]+Table2[[#This Row],[Outstanding]],"Ok","Check")</f>
        <v>Ok</v>
      </c>
      <c r="N86" s="11">
        <f>IF(Table2[[#This Row],[Status]]="Settled",0,$Q$2-Table2[[#This Row],[Date]])</f>
        <v>0</v>
      </c>
      <c r="O86" s="5" t="str">
        <f>IF(Table2[[#This Row],[Age Days]]&lt;=7,"Normal",IF(Table2[[#This Row],[Age Days]]&lt;=14,"Perlu Dipantau",IF(Table2[[#This Row],[Age Days]]&lt;=30,"Perlu Ditindaklanjuti","Overdue")))</f>
        <v>Normal</v>
      </c>
    </row>
    <row r="87" spans="1:15" x14ac:dyDescent="0.3">
      <c r="A87" t="s">
        <v>171</v>
      </c>
      <c r="B87" s="3">
        <v>46044</v>
      </c>
      <c r="C87" t="s">
        <v>32</v>
      </c>
      <c r="D87" t="s">
        <v>33</v>
      </c>
      <c r="E87" t="s">
        <v>27</v>
      </c>
      <c r="F87" t="s">
        <v>14</v>
      </c>
      <c r="G87" t="s">
        <v>28</v>
      </c>
      <c r="H87" s="5">
        <v>255000</v>
      </c>
      <c r="I87" s="5">
        <v>250000</v>
      </c>
      <c r="J87" s="5">
        <v>5000</v>
      </c>
      <c r="K87" s="5">
        <f>Table2[[#This Row],[Advance Amount]]-Table2[[#This Row],[Expense Amount]]-Table2[[#This Row],[Return Amount]]</f>
        <v>0</v>
      </c>
      <c r="L87" s="5" t="str">
        <f>IF(Table2[[#This Row],[Outstanding]]=0,"Settled",IF(Table2[[#This Row],[Outstanding]]&gt;0,"Outstanding"))</f>
        <v>Settled</v>
      </c>
      <c r="M87" s="5" t="str">
        <f>IF(Table2[[#This Row],[Advance Amount]]=Table2[[#This Row],[Expense Amount]]+Table2[[#This Row],[Return Amount]]+Table2[[#This Row],[Outstanding]],"Ok","Check")</f>
        <v>Ok</v>
      </c>
      <c r="N87" s="11">
        <f>IF(Table2[[#This Row],[Status]]="Settled",0,$Q$2-Table2[[#This Row],[Date]])</f>
        <v>0</v>
      </c>
      <c r="O87" s="5" t="str">
        <f>IF(Table2[[#This Row],[Age Days]]&lt;=7,"Normal",IF(Table2[[#This Row],[Age Days]]&lt;=14,"Perlu Dipantau",IF(Table2[[#This Row],[Age Days]]&lt;=30,"Perlu Ditindaklanjuti","Overdue")))</f>
        <v>Normal</v>
      </c>
    </row>
    <row r="88" spans="1:15" x14ac:dyDescent="0.3">
      <c r="A88" t="s">
        <v>172</v>
      </c>
      <c r="B88" s="3">
        <v>46044</v>
      </c>
      <c r="C88" t="s">
        <v>11</v>
      </c>
      <c r="D88" t="s">
        <v>12</v>
      </c>
      <c r="E88" t="s">
        <v>13</v>
      </c>
      <c r="F88" t="s">
        <v>20</v>
      </c>
      <c r="G88" t="s">
        <v>57</v>
      </c>
      <c r="H88" s="5">
        <v>80000</v>
      </c>
      <c r="I88" s="5">
        <v>75000</v>
      </c>
      <c r="J88" s="5">
        <v>5000</v>
      </c>
      <c r="K88" s="5">
        <f>Table2[[#This Row],[Advance Amount]]-Table2[[#This Row],[Expense Amount]]-Table2[[#This Row],[Return Amount]]</f>
        <v>0</v>
      </c>
      <c r="L88" s="5" t="str">
        <f>IF(Table2[[#This Row],[Outstanding]]=0,"Settled",IF(Table2[[#This Row],[Outstanding]]&gt;0,"Outstanding"))</f>
        <v>Settled</v>
      </c>
      <c r="M88" s="5" t="str">
        <f>IF(Table2[[#This Row],[Advance Amount]]=Table2[[#This Row],[Expense Amount]]+Table2[[#This Row],[Return Amount]]+Table2[[#This Row],[Outstanding]],"Ok","Check")</f>
        <v>Ok</v>
      </c>
      <c r="N88" s="11">
        <f>IF(Table2[[#This Row],[Status]]="Settled",0,$Q$2-Table2[[#This Row],[Date]])</f>
        <v>0</v>
      </c>
      <c r="O88" s="5" t="str">
        <f>IF(Table2[[#This Row],[Age Days]]&lt;=7,"Normal",IF(Table2[[#This Row],[Age Days]]&lt;=14,"Perlu Dipantau",IF(Table2[[#This Row],[Age Days]]&lt;=30,"Perlu Ditindaklanjuti","Overdue")))</f>
        <v>Normal</v>
      </c>
    </row>
    <row r="89" spans="1:15" x14ac:dyDescent="0.3">
      <c r="A89" t="s">
        <v>173</v>
      </c>
      <c r="B89" s="3">
        <v>46044</v>
      </c>
      <c r="C89" t="s">
        <v>38</v>
      </c>
      <c r="D89" t="s">
        <v>39</v>
      </c>
      <c r="E89" t="s">
        <v>24</v>
      </c>
      <c r="F89" t="s">
        <v>20</v>
      </c>
      <c r="G89" t="s">
        <v>34</v>
      </c>
      <c r="H89" s="5">
        <v>350000</v>
      </c>
      <c r="I89" s="5">
        <v>275000</v>
      </c>
      <c r="J89" s="5">
        <v>75000</v>
      </c>
      <c r="K89" s="5">
        <f>Table2[[#This Row],[Advance Amount]]-Table2[[#This Row],[Expense Amount]]-Table2[[#This Row],[Return Amount]]</f>
        <v>0</v>
      </c>
      <c r="L89" s="5" t="str">
        <f>IF(Table2[[#This Row],[Outstanding]]=0,"Settled",IF(Table2[[#This Row],[Outstanding]]&gt;0,"Outstanding"))</f>
        <v>Settled</v>
      </c>
      <c r="M89" s="5" t="str">
        <f>IF(Table2[[#This Row],[Advance Amount]]=Table2[[#This Row],[Expense Amount]]+Table2[[#This Row],[Return Amount]]+Table2[[#This Row],[Outstanding]],"Ok","Check")</f>
        <v>Ok</v>
      </c>
      <c r="N89" s="11">
        <f>IF(Table2[[#This Row],[Status]]="Settled",0,$Q$2-Table2[[#This Row],[Date]])</f>
        <v>0</v>
      </c>
      <c r="O89" s="5" t="str">
        <f>IF(Table2[[#This Row],[Age Days]]&lt;=7,"Normal",IF(Table2[[#This Row],[Age Days]]&lt;=14,"Perlu Dipantau",IF(Table2[[#This Row],[Age Days]]&lt;=30,"Perlu Ditindaklanjuti","Overdue")))</f>
        <v>Normal</v>
      </c>
    </row>
    <row r="90" spans="1:15" x14ac:dyDescent="0.3">
      <c r="A90" t="s">
        <v>174</v>
      </c>
      <c r="B90" s="3">
        <v>46044</v>
      </c>
      <c r="C90" t="s">
        <v>38</v>
      </c>
      <c r="D90" t="s">
        <v>39</v>
      </c>
      <c r="E90" t="s">
        <v>24</v>
      </c>
      <c r="F90" t="s">
        <v>20</v>
      </c>
      <c r="G90" t="s">
        <v>34</v>
      </c>
      <c r="H90" s="5">
        <v>275000</v>
      </c>
      <c r="I90" s="5">
        <v>250000</v>
      </c>
      <c r="J90" s="5">
        <v>25000</v>
      </c>
      <c r="K90" s="5">
        <f>Table2[[#This Row],[Advance Amount]]-Table2[[#This Row],[Expense Amount]]-Table2[[#This Row],[Return Amount]]</f>
        <v>0</v>
      </c>
      <c r="L90" s="5" t="str">
        <f>IF(Table2[[#This Row],[Outstanding]]=0,"Settled",IF(Table2[[#This Row],[Outstanding]]&gt;0,"Outstanding"))</f>
        <v>Settled</v>
      </c>
      <c r="M90" s="5" t="str">
        <f>IF(Table2[[#This Row],[Advance Amount]]=Table2[[#This Row],[Expense Amount]]+Table2[[#This Row],[Return Amount]]+Table2[[#This Row],[Outstanding]],"Ok","Check")</f>
        <v>Ok</v>
      </c>
      <c r="N90" s="11">
        <f>IF(Table2[[#This Row],[Status]]="Settled",0,$Q$2-Table2[[#This Row],[Date]])</f>
        <v>0</v>
      </c>
      <c r="O90" s="5" t="str">
        <f>IF(Table2[[#This Row],[Age Days]]&lt;=7,"Normal",IF(Table2[[#This Row],[Age Days]]&lt;=14,"Perlu Dipantau",IF(Table2[[#This Row],[Age Days]]&lt;=30,"Perlu Ditindaklanjuti","Overdue")))</f>
        <v>Normal</v>
      </c>
    </row>
    <row r="91" spans="1:15" x14ac:dyDescent="0.3">
      <c r="A91" t="s">
        <v>175</v>
      </c>
      <c r="B91" s="3">
        <v>46044</v>
      </c>
      <c r="C91" t="s">
        <v>44</v>
      </c>
      <c r="D91" t="s">
        <v>45</v>
      </c>
      <c r="E91" t="s">
        <v>43</v>
      </c>
      <c r="F91" t="s">
        <v>20</v>
      </c>
      <c r="G91" t="s">
        <v>57</v>
      </c>
      <c r="H91" s="5">
        <v>130000</v>
      </c>
      <c r="I91" s="5">
        <v>100000</v>
      </c>
      <c r="J91" s="5">
        <v>30000</v>
      </c>
      <c r="K91" s="5">
        <f>Table2[[#This Row],[Advance Amount]]-Table2[[#This Row],[Expense Amount]]-Table2[[#This Row],[Return Amount]]</f>
        <v>0</v>
      </c>
      <c r="L91" s="5" t="str">
        <f>IF(Table2[[#This Row],[Outstanding]]=0,"Settled",IF(Table2[[#This Row],[Outstanding]]&gt;0,"Outstanding"))</f>
        <v>Settled</v>
      </c>
      <c r="M91" s="5" t="str">
        <f>IF(Table2[[#This Row],[Advance Amount]]=Table2[[#This Row],[Expense Amount]]+Table2[[#This Row],[Return Amount]]+Table2[[#This Row],[Outstanding]],"Ok","Check")</f>
        <v>Ok</v>
      </c>
      <c r="N91" s="11">
        <f>IF(Table2[[#This Row],[Status]]="Settled",0,$Q$2-Table2[[#This Row],[Date]])</f>
        <v>0</v>
      </c>
      <c r="O91" s="5" t="str">
        <f>IF(Table2[[#This Row],[Age Days]]&lt;=7,"Normal",IF(Table2[[#This Row],[Age Days]]&lt;=14,"Perlu Dipantau",IF(Table2[[#This Row],[Age Days]]&lt;=30,"Perlu Ditindaklanjuti","Overdue")))</f>
        <v>Normal</v>
      </c>
    </row>
    <row r="92" spans="1:15" x14ac:dyDescent="0.3">
      <c r="A92" t="s">
        <v>176</v>
      </c>
      <c r="B92" s="3">
        <v>46044</v>
      </c>
      <c r="C92" t="s">
        <v>17</v>
      </c>
      <c r="D92" t="s">
        <v>18</v>
      </c>
      <c r="E92" t="s">
        <v>19</v>
      </c>
      <c r="F92" t="s">
        <v>20</v>
      </c>
      <c r="G92" t="s">
        <v>28</v>
      </c>
      <c r="H92" s="5">
        <v>305000</v>
      </c>
      <c r="I92" s="5">
        <v>0</v>
      </c>
      <c r="J92" s="5">
        <v>0</v>
      </c>
      <c r="K92" s="5">
        <f>Table2[[#This Row],[Advance Amount]]-Table2[[#This Row],[Expense Amount]]-Table2[[#This Row],[Return Amount]]</f>
        <v>305000</v>
      </c>
      <c r="L92" s="5" t="str">
        <f>IF(Table2[[#This Row],[Outstanding]]=0,"Settled",IF(Table2[[#This Row],[Outstanding]]&gt;0,"Outstanding"))</f>
        <v>Outstanding</v>
      </c>
      <c r="M92" s="5" t="str">
        <f>IF(Table2[[#This Row],[Advance Amount]]=Table2[[#This Row],[Expense Amount]]+Table2[[#This Row],[Return Amount]]+Table2[[#This Row],[Outstanding]],"Ok","Check")</f>
        <v>Ok</v>
      </c>
      <c r="N92" s="11">
        <f>IF(Table2[[#This Row],[Status]]="Settled",0,$Q$2-Table2[[#This Row],[Date]])</f>
        <v>221</v>
      </c>
      <c r="O92" s="5" t="str">
        <f>IF(Table2[[#This Row],[Age Days]]&lt;=7,"Normal",IF(Table2[[#This Row],[Age Days]]&lt;=14,"Perlu Dipantau",IF(Table2[[#This Row],[Age Days]]&lt;=30,"Perlu Ditindaklanjuti","Overdue")))</f>
        <v>Overdue</v>
      </c>
    </row>
    <row r="93" spans="1:15" x14ac:dyDescent="0.3">
      <c r="A93" t="s">
        <v>177</v>
      </c>
      <c r="B93" s="3">
        <v>46044</v>
      </c>
      <c r="C93" t="s">
        <v>22</v>
      </c>
      <c r="D93" t="s">
        <v>23</v>
      </c>
      <c r="E93" t="s">
        <v>24</v>
      </c>
      <c r="F93" t="s">
        <v>20</v>
      </c>
      <c r="G93" t="s">
        <v>57</v>
      </c>
      <c r="H93" s="5">
        <v>480000</v>
      </c>
      <c r="I93" s="5">
        <v>0</v>
      </c>
      <c r="J93" s="5">
        <v>0</v>
      </c>
      <c r="K93" s="5">
        <f>Table2[[#This Row],[Advance Amount]]-Table2[[#This Row],[Expense Amount]]-Table2[[#This Row],[Return Amount]]</f>
        <v>480000</v>
      </c>
      <c r="L93" s="5" t="str">
        <f>IF(Table2[[#This Row],[Outstanding]]=0,"Settled",IF(Table2[[#This Row],[Outstanding]]&gt;0,"Outstanding"))</f>
        <v>Outstanding</v>
      </c>
      <c r="M93" s="5" t="str">
        <f>IF(Table2[[#This Row],[Advance Amount]]=Table2[[#This Row],[Expense Amount]]+Table2[[#This Row],[Return Amount]]+Table2[[#This Row],[Outstanding]],"Ok","Check")</f>
        <v>Ok</v>
      </c>
      <c r="N93" s="11">
        <f>IF(Table2[[#This Row],[Status]]="Settled",0,$Q$2-Table2[[#This Row],[Date]])</f>
        <v>221</v>
      </c>
      <c r="O93" s="5" t="str">
        <f>IF(Table2[[#This Row],[Age Days]]&lt;=7,"Normal",IF(Table2[[#This Row],[Age Days]]&lt;=14,"Perlu Dipantau",IF(Table2[[#This Row],[Age Days]]&lt;=30,"Perlu Ditindaklanjuti","Overdue")))</f>
        <v>Overdue</v>
      </c>
    </row>
    <row r="94" spans="1:15" x14ac:dyDescent="0.3">
      <c r="A94" t="s">
        <v>178</v>
      </c>
      <c r="B94" s="3">
        <v>46045</v>
      </c>
      <c r="C94" t="s">
        <v>35</v>
      </c>
      <c r="D94" t="s">
        <v>36</v>
      </c>
      <c r="E94" t="s">
        <v>37</v>
      </c>
      <c r="F94" t="s">
        <v>14</v>
      </c>
      <c r="G94" t="s">
        <v>61</v>
      </c>
      <c r="H94" s="5">
        <v>650000</v>
      </c>
      <c r="I94" s="5">
        <v>0</v>
      </c>
      <c r="J94" s="5">
        <v>0</v>
      </c>
      <c r="K94" s="5">
        <f>Table2[[#This Row],[Advance Amount]]-Table2[[#This Row],[Expense Amount]]-Table2[[#This Row],[Return Amount]]</f>
        <v>650000</v>
      </c>
      <c r="L94" s="5" t="str">
        <f>IF(Table2[[#This Row],[Outstanding]]=0,"Settled",IF(Table2[[#This Row],[Outstanding]]&gt;0,"Outstanding"))</f>
        <v>Outstanding</v>
      </c>
      <c r="M94" s="5" t="str">
        <f>IF(Table2[[#This Row],[Advance Amount]]=Table2[[#This Row],[Expense Amount]]+Table2[[#This Row],[Return Amount]]+Table2[[#This Row],[Outstanding]],"Ok","Check")</f>
        <v>Ok</v>
      </c>
      <c r="N94" s="11">
        <f>IF(Table2[[#This Row],[Status]]="Settled",0,$Q$2-Table2[[#This Row],[Date]])</f>
        <v>220</v>
      </c>
      <c r="O94" s="5" t="str">
        <f>IF(Table2[[#This Row],[Age Days]]&lt;=7,"Normal",IF(Table2[[#This Row],[Age Days]]&lt;=14,"Perlu Dipantau",IF(Table2[[#This Row],[Age Days]]&lt;=30,"Perlu Ditindaklanjuti","Overdue")))</f>
        <v>Overdue</v>
      </c>
    </row>
    <row r="95" spans="1:15" x14ac:dyDescent="0.3">
      <c r="A95" t="s">
        <v>179</v>
      </c>
      <c r="B95" s="3">
        <v>46045</v>
      </c>
      <c r="C95" t="s">
        <v>17</v>
      </c>
      <c r="D95" t="s">
        <v>18</v>
      </c>
      <c r="E95" t="s">
        <v>19</v>
      </c>
      <c r="F95" t="s">
        <v>20</v>
      </c>
      <c r="G95" t="s">
        <v>15</v>
      </c>
      <c r="H95" s="5">
        <v>2075000</v>
      </c>
      <c r="I95" s="5">
        <v>1900000</v>
      </c>
      <c r="J95" s="5">
        <v>175000</v>
      </c>
      <c r="K95" s="5">
        <f>Table2[[#This Row],[Advance Amount]]-Table2[[#This Row],[Expense Amount]]-Table2[[#This Row],[Return Amount]]</f>
        <v>0</v>
      </c>
      <c r="L95" s="5" t="str">
        <f>IF(Table2[[#This Row],[Outstanding]]=0,"Settled",IF(Table2[[#This Row],[Outstanding]]&gt;0,"Outstanding"))</f>
        <v>Settled</v>
      </c>
      <c r="M95" s="5" t="str">
        <f>IF(Table2[[#This Row],[Advance Amount]]=Table2[[#This Row],[Expense Amount]]+Table2[[#This Row],[Return Amount]]+Table2[[#This Row],[Outstanding]],"Ok","Check")</f>
        <v>Ok</v>
      </c>
      <c r="N95" s="11">
        <f>IF(Table2[[#This Row],[Status]]="Settled",0,$Q$2-Table2[[#This Row],[Date]])</f>
        <v>0</v>
      </c>
      <c r="O95" s="5" t="str">
        <f>IF(Table2[[#This Row],[Age Days]]&lt;=7,"Normal",IF(Table2[[#This Row],[Age Days]]&lt;=14,"Perlu Dipantau",IF(Table2[[#This Row],[Age Days]]&lt;=30,"Perlu Ditindaklanjuti","Overdue")))</f>
        <v>Normal</v>
      </c>
    </row>
    <row r="96" spans="1:15" x14ac:dyDescent="0.3">
      <c r="A96" t="s">
        <v>180</v>
      </c>
      <c r="B96" s="3">
        <v>46046</v>
      </c>
      <c r="C96" t="s">
        <v>32</v>
      </c>
      <c r="D96" t="s">
        <v>33</v>
      </c>
      <c r="E96" t="s">
        <v>27</v>
      </c>
      <c r="F96" t="s">
        <v>14</v>
      </c>
      <c r="G96" t="s">
        <v>61</v>
      </c>
      <c r="H96" s="5">
        <v>475000</v>
      </c>
      <c r="I96" s="5">
        <v>375000</v>
      </c>
      <c r="J96" s="5">
        <v>100000</v>
      </c>
      <c r="K96" s="5">
        <f>Table2[[#This Row],[Advance Amount]]-Table2[[#This Row],[Expense Amount]]-Table2[[#This Row],[Return Amount]]</f>
        <v>0</v>
      </c>
      <c r="L96" s="5" t="str">
        <f>IF(Table2[[#This Row],[Outstanding]]=0,"Settled",IF(Table2[[#This Row],[Outstanding]]&gt;0,"Outstanding"))</f>
        <v>Settled</v>
      </c>
      <c r="M96" s="5" t="str">
        <f>IF(Table2[[#This Row],[Advance Amount]]=Table2[[#This Row],[Expense Amount]]+Table2[[#This Row],[Return Amount]]+Table2[[#This Row],[Outstanding]],"Ok","Check")</f>
        <v>Ok</v>
      </c>
      <c r="N96" s="11">
        <f>IF(Table2[[#This Row],[Status]]="Settled",0,$Q$2-Table2[[#This Row],[Date]])</f>
        <v>0</v>
      </c>
      <c r="O96" s="5" t="str">
        <f>IF(Table2[[#This Row],[Age Days]]&lt;=7,"Normal",IF(Table2[[#This Row],[Age Days]]&lt;=14,"Perlu Dipantau",IF(Table2[[#This Row],[Age Days]]&lt;=30,"Perlu Ditindaklanjuti","Overdue")))</f>
        <v>Normal</v>
      </c>
    </row>
    <row r="97" spans="1:15" x14ac:dyDescent="0.3">
      <c r="A97" t="s">
        <v>181</v>
      </c>
      <c r="B97" s="3">
        <v>46046</v>
      </c>
      <c r="C97" t="s">
        <v>48</v>
      </c>
      <c r="D97" t="s">
        <v>49</v>
      </c>
      <c r="E97" t="s">
        <v>19</v>
      </c>
      <c r="F97" t="s">
        <v>20</v>
      </c>
      <c r="G97" t="s">
        <v>31</v>
      </c>
      <c r="H97" s="5">
        <v>750000</v>
      </c>
      <c r="I97" s="5">
        <v>600000</v>
      </c>
      <c r="J97" s="5">
        <v>150000</v>
      </c>
      <c r="K97" s="5">
        <f>Table2[[#This Row],[Advance Amount]]-Table2[[#This Row],[Expense Amount]]-Table2[[#This Row],[Return Amount]]</f>
        <v>0</v>
      </c>
      <c r="L97" s="5" t="str">
        <f>IF(Table2[[#This Row],[Outstanding]]=0,"Settled",IF(Table2[[#This Row],[Outstanding]]&gt;0,"Outstanding"))</f>
        <v>Settled</v>
      </c>
      <c r="M97" s="5" t="str">
        <f>IF(Table2[[#This Row],[Advance Amount]]=Table2[[#This Row],[Expense Amount]]+Table2[[#This Row],[Return Amount]]+Table2[[#This Row],[Outstanding]],"Ok","Check")</f>
        <v>Ok</v>
      </c>
      <c r="N97" s="11">
        <f>IF(Table2[[#This Row],[Status]]="Settled",0,$Q$2-Table2[[#This Row],[Date]])</f>
        <v>0</v>
      </c>
      <c r="O97" s="5" t="str">
        <f>IF(Table2[[#This Row],[Age Days]]&lt;=7,"Normal",IF(Table2[[#This Row],[Age Days]]&lt;=14,"Perlu Dipantau",IF(Table2[[#This Row],[Age Days]]&lt;=30,"Perlu Ditindaklanjuti","Overdue")))</f>
        <v>Normal</v>
      </c>
    </row>
    <row r="98" spans="1:15" x14ac:dyDescent="0.3">
      <c r="A98" t="s">
        <v>182</v>
      </c>
      <c r="B98" s="3">
        <v>46046</v>
      </c>
      <c r="C98" t="s">
        <v>62</v>
      </c>
      <c r="D98" t="s">
        <v>63</v>
      </c>
      <c r="E98" t="s">
        <v>52</v>
      </c>
      <c r="F98" t="s">
        <v>20</v>
      </c>
      <c r="G98" t="s">
        <v>61</v>
      </c>
      <c r="H98" s="5">
        <v>325000</v>
      </c>
      <c r="I98" s="5">
        <v>300000</v>
      </c>
      <c r="J98" s="5">
        <v>25000</v>
      </c>
      <c r="K98" s="5">
        <f>Table2[[#This Row],[Advance Amount]]-Table2[[#This Row],[Expense Amount]]-Table2[[#This Row],[Return Amount]]</f>
        <v>0</v>
      </c>
      <c r="L98" s="5" t="str">
        <f>IF(Table2[[#This Row],[Outstanding]]=0,"Settled",IF(Table2[[#This Row],[Outstanding]]&gt;0,"Outstanding"))</f>
        <v>Settled</v>
      </c>
      <c r="M98" s="5" t="str">
        <f>IF(Table2[[#This Row],[Advance Amount]]=Table2[[#This Row],[Expense Amount]]+Table2[[#This Row],[Return Amount]]+Table2[[#This Row],[Outstanding]],"Ok","Check")</f>
        <v>Ok</v>
      </c>
      <c r="N98" s="11">
        <f>IF(Table2[[#This Row],[Status]]="Settled",0,$Q$2-Table2[[#This Row],[Date]])</f>
        <v>0</v>
      </c>
      <c r="O98" s="5" t="str">
        <f>IF(Table2[[#This Row],[Age Days]]&lt;=7,"Normal",IF(Table2[[#This Row],[Age Days]]&lt;=14,"Perlu Dipantau",IF(Table2[[#This Row],[Age Days]]&lt;=30,"Perlu Ditindaklanjuti","Overdue")))</f>
        <v>Normal</v>
      </c>
    </row>
    <row r="99" spans="1:15" x14ac:dyDescent="0.3">
      <c r="A99" t="s">
        <v>183</v>
      </c>
      <c r="B99" s="3">
        <v>46046</v>
      </c>
      <c r="C99" t="s">
        <v>22</v>
      </c>
      <c r="D99" t="s">
        <v>23</v>
      </c>
      <c r="E99" t="s">
        <v>24</v>
      </c>
      <c r="F99" t="s">
        <v>20</v>
      </c>
      <c r="G99" t="s">
        <v>40</v>
      </c>
      <c r="H99" s="5">
        <v>100000</v>
      </c>
      <c r="I99" s="5">
        <v>75000</v>
      </c>
      <c r="J99" s="5">
        <v>25000</v>
      </c>
      <c r="K99" s="5">
        <f>Table2[[#This Row],[Advance Amount]]-Table2[[#This Row],[Expense Amount]]-Table2[[#This Row],[Return Amount]]</f>
        <v>0</v>
      </c>
      <c r="L99" s="5" t="str">
        <f>IF(Table2[[#This Row],[Outstanding]]=0,"Settled",IF(Table2[[#This Row],[Outstanding]]&gt;0,"Outstanding"))</f>
        <v>Settled</v>
      </c>
      <c r="M99" s="5" t="str">
        <f>IF(Table2[[#This Row],[Advance Amount]]=Table2[[#This Row],[Expense Amount]]+Table2[[#This Row],[Return Amount]]+Table2[[#This Row],[Outstanding]],"Ok","Check")</f>
        <v>Ok</v>
      </c>
      <c r="N99" s="11">
        <f>IF(Table2[[#This Row],[Status]]="Settled",0,$Q$2-Table2[[#This Row],[Date]])</f>
        <v>0</v>
      </c>
      <c r="O99" s="5" t="str">
        <f>IF(Table2[[#This Row],[Age Days]]&lt;=7,"Normal",IF(Table2[[#This Row],[Age Days]]&lt;=14,"Perlu Dipantau",IF(Table2[[#This Row],[Age Days]]&lt;=30,"Perlu Ditindaklanjuti","Overdue")))</f>
        <v>Normal</v>
      </c>
    </row>
    <row r="100" spans="1:15" x14ac:dyDescent="0.3">
      <c r="A100" t="s">
        <v>184</v>
      </c>
      <c r="B100" s="3">
        <v>46046</v>
      </c>
      <c r="C100" t="s">
        <v>25</v>
      </c>
      <c r="D100" t="s">
        <v>26</v>
      </c>
      <c r="E100" t="s">
        <v>27</v>
      </c>
      <c r="F100" t="s">
        <v>14</v>
      </c>
      <c r="G100" t="s">
        <v>34</v>
      </c>
      <c r="H100" s="5">
        <v>575000</v>
      </c>
      <c r="I100" s="5">
        <v>0</v>
      </c>
      <c r="J100" s="5">
        <v>0</v>
      </c>
      <c r="K100" s="5">
        <f>Table2[[#This Row],[Advance Amount]]-Table2[[#This Row],[Expense Amount]]-Table2[[#This Row],[Return Amount]]</f>
        <v>575000</v>
      </c>
      <c r="L100" s="5" t="str">
        <f>IF(Table2[[#This Row],[Outstanding]]=0,"Settled",IF(Table2[[#This Row],[Outstanding]]&gt;0,"Outstanding"))</f>
        <v>Outstanding</v>
      </c>
      <c r="M100" s="5" t="str">
        <f>IF(Table2[[#This Row],[Advance Amount]]=Table2[[#This Row],[Expense Amount]]+Table2[[#This Row],[Return Amount]]+Table2[[#This Row],[Outstanding]],"Ok","Check")</f>
        <v>Ok</v>
      </c>
      <c r="N100" s="11">
        <f>IF(Table2[[#This Row],[Status]]="Settled",0,$Q$2-Table2[[#This Row],[Date]])</f>
        <v>219</v>
      </c>
      <c r="O100" s="5" t="str">
        <f>IF(Table2[[#This Row],[Age Days]]&lt;=7,"Normal",IF(Table2[[#This Row],[Age Days]]&lt;=14,"Perlu Dipantau",IF(Table2[[#This Row],[Age Days]]&lt;=30,"Perlu Ditindaklanjuti","Overdue")))</f>
        <v>Overdue</v>
      </c>
    </row>
    <row r="101" spans="1:15" x14ac:dyDescent="0.3">
      <c r="A101" t="s">
        <v>185</v>
      </c>
      <c r="B101" s="3">
        <v>46046</v>
      </c>
      <c r="C101" t="s">
        <v>25</v>
      </c>
      <c r="D101" t="s">
        <v>26</v>
      </c>
      <c r="E101" t="s">
        <v>27</v>
      </c>
      <c r="F101" t="s">
        <v>20</v>
      </c>
      <c r="G101" t="s">
        <v>15</v>
      </c>
      <c r="H101" s="5">
        <v>2725000</v>
      </c>
      <c r="I101" s="5">
        <v>2275000</v>
      </c>
      <c r="J101" s="5">
        <v>450000</v>
      </c>
      <c r="K101" s="5">
        <f>Table2[[#This Row],[Advance Amount]]-Table2[[#This Row],[Expense Amount]]-Table2[[#This Row],[Return Amount]]</f>
        <v>0</v>
      </c>
      <c r="L101" s="5" t="str">
        <f>IF(Table2[[#This Row],[Outstanding]]=0,"Settled",IF(Table2[[#This Row],[Outstanding]]&gt;0,"Outstanding"))</f>
        <v>Settled</v>
      </c>
      <c r="M101" s="5" t="str">
        <f>IF(Table2[[#This Row],[Advance Amount]]=Table2[[#This Row],[Expense Amount]]+Table2[[#This Row],[Return Amount]]+Table2[[#This Row],[Outstanding]],"Ok","Check")</f>
        <v>Ok</v>
      </c>
      <c r="N101" s="11">
        <f>IF(Table2[[#This Row],[Status]]="Settled",0,$Q$2-Table2[[#This Row],[Date]])</f>
        <v>0</v>
      </c>
      <c r="O101" s="5" t="str">
        <f>IF(Table2[[#This Row],[Age Days]]&lt;=7,"Normal",IF(Table2[[#This Row],[Age Days]]&lt;=14,"Perlu Dipantau",IF(Table2[[#This Row],[Age Days]]&lt;=30,"Perlu Ditindaklanjuti","Overdue")))</f>
        <v>Normal</v>
      </c>
    </row>
    <row r="102" spans="1:15" x14ac:dyDescent="0.3">
      <c r="A102" t="s">
        <v>186</v>
      </c>
      <c r="B102" s="3">
        <v>46047</v>
      </c>
      <c r="C102" t="s">
        <v>29</v>
      </c>
      <c r="D102" t="s">
        <v>30</v>
      </c>
      <c r="E102" t="s">
        <v>13</v>
      </c>
      <c r="F102" t="s">
        <v>20</v>
      </c>
      <c r="G102" t="s">
        <v>15</v>
      </c>
      <c r="H102" s="5">
        <v>775000</v>
      </c>
      <c r="I102" s="5">
        <v>0</v>
      </c>
      <c r="J102" s="5">
        <v>0</v>
      </c>
      <c r="K102" s="5">
        <f>Table2[[#This Row],[Advance Amount]]-Table2[[#This Row],[Expense Amount]]-Table2[[#This Row],[Return Amount]]</f>
        <v>775000</v>
      </c>
      <c r="L102" s="5" t="str">
        <f>IF(Table2[[#This Row],[Outstanding]]=0,"Settled",IF(Table2[[#This Row],[Outstanding]]&gt;0,"Outstanding"))</f>
        <v>Outstanding</v>
      </c>
      <c r="M102" s="5" t="str">
        <f>IF(Table2[[#This Row],[Advance Amount]]=Table2[[#This Row],[Expense Amount]]+Table2[[#This Row],[Return Amount]]+Table2[[#This Row],[Outstanding]],"Ok","Check")</f>
        <v>Ok</v>
      </c>
      <c r="N102" s="11">
        <f>IF(Table2[[#This Row],[Status]]="Settled",0,$Q$2-Table2[[#This Row],[Date]])</f>
        <v>218</v>
      </c>
      <c r="O102" s="5" t="str">
        <f>IF(Table2[[#This Row],[Age Days]]&lt;=7,"Normal",IF(Table2[[#This Row],[Age Days]]&lt;=14,"Perlu Dipantau",IF(Table2[[#This Row],[Age Days]]&lt;=30,"Perlu Ditindaklanjuti","Overdue")))</f>
        <v>Overdue</v>
      </c>
    </row>
    <row r="103" spans="1:15" x14ac:dyDescent="0.3">
      <c r="A103" t="s">
        <v>187</v>
      </c>
      <c r="B103" s="3">
        <v>46047</v>
      </c>
      <c r="C103" t="s">
        <v>35</v>
      </c>
      <c r="D103" t="s">
        <v>36</v>
      </c>
      <c r="E103" t="s">
        <v>37</v>
      </c>
      <c r="F103" t="s">
        <v>20</v>
      </c>
      <c r="G103" t="s">
        <v>61</v>
      </c>
      <c r="H103" s="5">
        <v>175000</v>
      </c>
      <c r="I103" s="5">
        <v>150000</v>
      </c>
      <c r="J103" s="5">
        <v>25000</v>
      </c>
      <c r="K103" s="5">
        <f>Table2[[#This Row],[Advance Amount]]-Table2[[#This Row],[Expense Amount]]-Table2[[#This Row],[Return Amount]]</f>
        <v>0</v>
      </c>
      <c r="L103" s="5" t="str">
        <f>IF(Table2[[#This Row],[Outstanding]]=0,"Settled",IF(Table2[[#This Row],[Outstanding]]&gt;0,"Outstanding"))</f>
        <v>Settled</v>
      </c>
      <c r="M103" s="5" t="str">
        <f>IF(Table2[[#This Row],[Advance Amount]]=Table2[[#This Row],[Expense Amount]]+Table2[[#This Row],[Return Amount]]+Table2[[#This Row],[Outstanding]],"Ok","Check")</f>
        <v>Ok</v>
      </c>
      <c r="N103" s="11">
        <f>IF(Table2[[#This Row],[Status]]="Settled",0,$Q$2-Table2[[#This Row],[Date]])</f>
        <v>0</v>
      </c>
      <c r="O103" s="5" t="str">
        <f>IF(Table2[[#This Row],[Age Days]]&lt;=7,"Normal",IF(Table2[[#This Row],[Age Days]]&lt;=14,"Perlu Dipantau",IF(Table2[[#This Row],[Age Days]]&lt;=30,"Perlu Ditindaklanjuti","Overdue")))</f>
        <v>Normal</v>
      </c>
    </row>
    <row r="104" spans="1:15" x14ac:dyDescent="0.3">
      <c r="A104" t="s">
        <v>188</v>
      </c>
      <c r="B104" s="3">
        <v>46047</v>
      </c>
      <c r="C104" t="s">
        <v>64</v>
      </c>
      <c r="D104" t="s">
        <v>65</v>
      </c>
      <c r="E104" t="s">
        <v>37</v>
      </c>
      <c r="F104" t="s">
        <v>20</v>
      </c>
      <c r="G104" t="s">
        <v>34</v>
      </c>
      <c r="H104" s="5">
        <v>175000</v>
      </c>
      <c r="I104" s="5">
        <v>0</v>
      </c>
      <c r="J104" s="5">
        <v>0</v>
      </c>
      <c r="K104" s="5">
        <f>Table2[[#This Row],[Advance Amount]]-Table2[[#This Row],[Expense Amount]]-Table2[[#This Row],[Return Amount]]</f>
        <v>175000</v>
      </c>
      <c r="L104" s="5" t="str">
        <f>IF(Table2[[#This Row],[Outstanding]]=0,"Settled",IF(Table2[[#This Row],[Outstanding]]&gt;0,"Outstanding"))</f>
        <v>Outstanding</v>
      </c>
      <c r="M104" s="5" t="str">
        <f>IF(Table2[[#This Row],[Advance Amount]]=Table2[[#This Row],[Expense Amount]]+Table2[[#This Row],[Return Amount]]+Table2[[#This Row],[Outstanding]],"Ok","Check")</f>
        <v>Ok</v>
      </c>
      <c r="N104" s="11">
        <f>IF(Table2[[#This Row],[Status]]="Settled",0,$Q$2-Table2[[#This Row],[Date]])</f>
        <v>218</v>
      </c>
      <c r="O104" s="5" t="str">
        <f>IF(Table2[[#This Row],[Age Days]]&lt;=7,"Normal",IF(Table2[[#This Row],[Age Days]]&lt;=14,"Perlu Dipantau",IF(Table2[[#This Row],[Age Days]]&lt;=30,"Perlu Ditindaklanjuti","Overdue")))</f>
        <v>Overdue</v>
      </c>
    </row>
    <row r="105" spans="1:15" x14ac:dyDescent="0.3">
      <c r="A105" t="s">
        <v>189</v>
      </c>
      <c r="B105" s="3">
        <v>46047</v>
      </c>
      <c r="C105" t="s">
        <v>66</v>
      </c>
      <c r="D105" t="s">
        <v>67</v>
      </c>
      <c r="E105" t="s">
        <v>13</v>
      </c>
      <c r="F105" t="s">
        <v>20</v>
      </c>
      <c r="G105" t="s">
        <v>61</v>
      </c>
      <c r="H105" s="5">
        <v>300000</v>
      </c>
      <c r="I105" s="5">
        <v>250000</v>
      </c>
      <c r="J105" s="5">
        <v>50000</v>
      </c>
      <c r="K105" s="5">
        <f>Table2[[#This Row],[Advance Amount]]-Table2[[#This Row],[Expense Amount]]-Table2[[#This Row],[Return Amount]]</f>
        <v>0</v>
      </c>
      <c r="L105" s="5" t="str">
        <f>IF(Table2[[#This Row],[Outstanding]]=0,"Settled",IF(Table2[[#This Row],[Outstanding]]&gt;0,"Outstanding"))</f>
        <v>Settled</v>
      </c>
      <c r="M105" s="5" t="str">
        <f>IF(Table2[[#This Row],[Advance Amount]]=Table2[[#This Row],[Expense Amount]]+Table2[[#This Row],[Return Amount]]+Table2[[#This Row],[Outstanding]],"Ok","Check")</f>
        <v>Ok</v>
      </c>
      <c r="N105" s="11">
        <f>IF(Table2[[#This Row],[Status]]="Settled",0,$Q$2-Table2[[#This Row],[Date]])</f>
        <v>0</v>
      </c>
      <c r="O105" s="5" t="str">
        <f>IF(Table2[[#This Row],[Age Days]]&lt;=7,"Normal",IF(Table2[[#This Row],[Age Days]]&lt;=14,"Perlu Dipantau",IF(Table2[[#This Row],[Age Days]]&lt;=30,"Perlu Ditindaklanjuti","Overdue")))</f>
        <v>Normal</v>
      </c>
    </row>
    <row r="106" spans="1:15" x14ac:dyDescent="0.3">
      <c r="A106" t="s">
        <v>190</v>
      </c>
      <c r="B106" s="3">
        <v>46047</v>
      </c>
      <c r="C106" t="s">
        <v>53</v>
      </c>
      <c r="D106" t="s">
        <v>54</v>
      </c>
      <c r="E106" t="s">
        <v>43</v>
      </c>
      <c r="F106" t="s">
        <v>20</v>
      </c>
      <c r="G106" t="s">
        <v>61</v>
      </c>
      <c r="H106" s="5">
        <v>450000</v>
      </c>
      <c r="I106" s="5">
        <v>375000</v>
      </c>
      <c r="J106" s="5">
        <v>75000</v>
      </c>
      <c r="K106" s="5">
        <f>Table2[[#This Row],[Advance Amount]]-Table2[[#This Row],[Expense Amount]]-Table2[[#This Row],[Return Amount]]</f>
        <v>0</v>
      </c>
      <c r="L106" s="5" t="str">
        <f>IF(Table2[[#This Row],[Outstanding]]=0,"Settled",IF(Table2[[#This Row],[Outstanding]]&gt;0,"Outstanding"))</f>
        <v>Settled</v>
      </c>
      <c r="M106" s="5" t="str">
        <f>IF(Table2[[#This Row],[Advance Amount]]=Table2[[#This Row],[Expense Amount]]+Table2[[#This Row],[Return Amount]]+Table2[[#This Row],[Outstanding]],"Ok","Check")</f>
        <v>Ok</v>
      </c>
      <c r="N106" s="11">
        <f>IF(Table2[[#This Row],[Status]]="Settled",0,$Q$2-Table2[[#This Row],[Date]])</f>
        <v>0</v>
      </c>
      <c r="O106" s="5" t="str">
        <f>IF(Table2[[#This Row],[Age Days]]&lt;=7,"Normal",IF(Table2[[#This Row],[Age Days]]&lt;=14,"Perlu Dipantau",IF(Table2[[#This Row],[Age Days]]&lt;=30,"Perlu Ditindaklanjuti","Overdue")))</f>
        <v>Normal</v>
      </c>
    </row>
    <row r="107" spans="1:15" x14ac:dyDescent="0.3">
      <c r="A107" t="s">
        <v>191</v>
      </c>
      <c r="B107" s="3">
        <v>46048</v>
      </c>
      <c r="C107" t="s">
        <v>41</v>
      </c>
      <c r="D107" t="s">
        <v>42</v>
      </c>
      <c r="E107" t="s">
        <v>43</v>
      </c>
      <c r="F107" t="s">
        <v>14</v>
      </c>
      <c r="G107" t="s">
        <v>61</v>
      </c>
      <c r="H107" s="5">
        <v>325000</v>
      </c>
      <c r="I107" s="5">
        <v>275000</v>
      </c>
      <c r="J107" s="5">
        <v>50000</v>
      </c>
      <c r="K107" s="5">
        <f>Table2[[#This Row],[Advance Amount]]-Table2[[#This Row],[Expense Amount]]-Table2[[#This Row],[Return Amount]]</f>
        <v>0</v>
      </c>
      <c r="L107" s="5" t="str">
        <f>IF(Table2[[#This Row],[Outstanding]]=0,"Settled",IF(Table2[[#This Row],[Outstanding]]&gt;0,"Outstanding"))</f>
        <v>Settled</v>
      </c>
      <c r="M107" s="5" t="str">
        <f>IF(Table2[[#This Row],[Advance Amount]]=Table2[[#This Row],[Expense Amount]]+Table2[[#This Row],[Return Amount]]+Table2[[#This Row],[Outstanding]],"Ok","Check")</f>
        <v>Ok</v>
      </c>
      <c r="N107" s="11">
        <f>IF(Table2[[#This Row],[Status]]="Settled",0,$Q$2-Table2[[#This Row],[Date]])</f>
        <v>0</v>
      </c>
      <c r="O107" s="5" t="str">
        <f>IF(Table2[[#This Row],[Age Days]]&lt;=7,"Normal",IF(Table2[[#This Row],[Age Days]]&lt;=14,"Perlu Dipantau",IF(Table2[[#This Row],[Age Days]]&lt;=30,"Perlu Ditindaklanjuti","Overdue")))</f>
        <v>Normal</v>
      </c>
    </row>
    <row r="108" spans="1:15" x14ac:dyDescent="0.3">
      <c r="A108" t="s">
        <v>192</v>
      </c>
      <c r="B108" s="3">
        <v>46048</v>
      </c>
      <c r="C108" t="s">
        <v>50</v>
      </c>
      <c r="D108" t="s">
        <v>51</v>
      </c>
      <c r="E108" t="s">
        <v>52</v>
      </c>
      <c r="F108" t="s">
        <v>20</v>
      </c>
      <c r="G108" t="s">
        <v>58</v>
      </c>
      <c r="H108" s="5">
        <v>350000</v>
      </c>
      <c r="I108" s="5">
        <v>300000</v>
      </c>
      <c r="J108" s="5">
        <v>50000</v>
      </c>
      <c r="K108" s="5">
        <f>Table2[[#This Row],[Advance Amount]]-Table2[[#This Row],[Expense Amount]]-Table2[[#This Row],[Return Amount]]</f>
        <v>0</v>
      </c>
      <c r="L108" s="5" t="str">
        <f>IF(Table2[[#This Row],[Outstanding]]=0,"Settled",IF(Table2[[#This Row],[Outstanding]]&gt;0,"Outstanding"))</f>
        <v>Settled</v>
      </c>
      <c r="M108" s="5" t="str">
        <f>IF(Table2[[#This Row],[Advance Amount]]=Table2[[#This Row],[Expense Amount]]+Table2[[#This Row],[Return Amount]]+Table2[[#This Row],[Outstanding]],"Ok","Check")</f>
        <v>Ok</v>
      </c>
      <c r="N108" s="11">
        <f>IF(Table2[[#This Row],[Status]]="Settled",0,$Q$2-Table2[[#This Row],[Date]])</f>
        <v>0</v>
      </c>
      <c r="O108" s="5" t="str">
        <f>IF(Table2[[#This Row],[Age Days]]&lt;=7,"Normal",IF(Table2[[#This Row],[Age Days]]&lt;=14,"Perlu Dipantau",IF(Table2[[#This Row],[Age Days]]&lt;=30,"Perlu Ditindaklanjuti","Overdue")))</f>
        <v>Normal</v>
      </c>
    </row>
    <row r="109" spans="1:15" x14ac:dyDescent="0.3">
      <c r="A109" t="s">
        <v>193</v>
      </c>
      <c r="B109" s="3">
        <v>46048</v>
      </c>
      <c r="C109" t="s">
        <v>64</v>
      </c>
      <c r="D109" t="s">
        <v>65</v>
      </c>
      <c r="E109" t="s">
        <v>37</v>
      </c>
      <c r="F109" t="s">
        <v>20</v>
      </c>
      <c r="G109" t="s">
        <v>57</v>
      </c>
      <c r="H109" s="5">
        <v>405000</v>
      </c>
      <c r="I109" s="5">
        <v>325000</v>
      </c>
      <c r="J109" s="5">
        <v>80000</v>
      </c>
      <c r="K109" s="5">
        <f>Table2[[#This Row],[Advance Amount]]-Table2[[#This Row],[Expense Amount]]-Table2[[#This Row],[Return Amount]]</f>
        <v>0</v>
      </c>
      <c r="L109" s="5" t="str">
        <f>IF(Table2[[#This Row],[Outstanding]]=0,"Settled",IF(Table2[[#This Row],[Outstanding]]&gt;0,"Outstanding"))</f>
        <v>Settled</v>
      </c>
      <c r="M109" s="5" t="str">
        <f>IF(Table2[[#This Row],[Advance Amount]]=Table2[[#This Row],[Expense Amount]]+Table2[[#This Row],[Return Amount]]+Table2[[#This Row],[Outstanding]],"Ok","Check")</f>
        <v>Ok</v>
      </c>
      <c r="N109" s="11">
        <f>IF(Table2[[#This Row],[Status]]="Settled",0,$Q$2-Table2[[#This Row],[Date]])</f>
        <v>0</v>
      </c>
      <c r="O109" s="5" t="str">
        <f>IF(Table2[[#This Row],[Age Days]]&lt;=7,"Normal",IF(Table2[[#This Row],[Age Days]]&lt;=14,"Perlu Dipantau",IF(Table2[[#This Row],[Age Days]]&lt;=30,"Perlu Ditindaklanjuti","Overdue")))</f>
        <v>Normal</v>
      </c>
    </row>
    <row r="110" spans="1:15" x14ac:dyDescent="0.3">
      <c r="A110" t="s">
        <v>194</v>
      </c>
      <c r="B110" s="3">
        <v>46048</v>
      </c>
      <c r="C110" t="s">
        <v>53</v>
      </c>
      <c r="D110" t="s">
        <v>54</v>
      </c>
      <c r="E110" t="s">
        <v>43</v>
      </c>
      <c r="F110" t="s">
        <v>14</v>
      </c>
      <c r="G110" t="s">
        <v>31</v>
      </c>
      <c r="H110" s="5">
        <v>950000</v>
      </c>
      <c r="I110" s="5">
        <v>775000</v>
      </c>
      <c r="J110" s="5">
        <v>175000</v>
      </c>
      <c r="K110" s="5">
        <f>Table2[[#This Row],[Advance Amount]]-Table2[[#This Row],[Expense Amount]]-Table2[[#This Row],[Return Amount]]</f>
        <v>0</v>
      </c>
      <c r="L110" s="5" t="str">
        <f>IF(Table2[[#This Row],[Outstanding]]=0,"Settled",IF(Table2[[#This Row],[Outstanding]]&gt;0,"Outstanding"))</f>
        <v>Settled</v>
      </c>
      <c r="M110" s="5" t="str">
        <f>IF(Table2[[#This Row],[Advance Amount]]=Table2[[#This Row],[Expense Amount]]+Table2[[#This Row],[Return Amount]]+Table2[[#This Row],[Outstanding]],"Ok","Check")</f>
        <v>Ok</v>
      </c>
      <c r="N110" s="11">
        <f>IF(Table2[[#This Row],[Status]]="Settled",0,$Q$2-Table2[[#This Row],[Date]])</f>
        <v>0</v>
      </c>
      <c r="O110" s="5" t="str">
        <f>IF(Table2[[#This Row],[Age Days]]&lt;=7,"Normal",IF(Table2[[#This Row],[Age Days]]&lt;=14,"Perlu Dipantau",IF(Table2[[#This Row],[Age Days]]&lt;=30,"Perlu Ditindaklanjuti","Overdue")))</f>
        <v>Normal</v>
      </c>
    </row>
    <row r="111" spans="1:15" x14ac:dyDescent="0.3">
      <c r="A111" t="s">
        <v>195</v>
      </c>
      <c r="B111" s="3">
        <v>46048</v>
      </c>
      <c r="C111" t="s">
        <v>25</v>
      </c>
      <c r="D111" t="s">
        <v>26</v>
      </c>
      <c r="E111" t="s">
        <v>27</v>
      </c>
      <c r="F111" t="s">
        <v>14</v>
      </c>
      <c r="G111" t="s">
        <v>31</v>
      </c>
      <c r="H111" s="5">
        <v>850000</v>
      </c>
      <c r="I111" s="5">
        <v>700000</v>
      </c>
      <c r="J111" s="5">
        <v>150000</v>
      </c>
      <c r="K111" s="5">
        <f>Table2[[#This Row],[Advance Amount]]-Table2[[#This Row],[Expense Amount]]-Table2[[#This Row],[Return Amount]]</f>
        <v>0</v>
      </c>
      <c r="L111" s="5" t="str">
        <f>IF(Table2[[#This Row],[Outstanding]]=0,"Settled",IF(Table2[[#This Row],[Outstanding]]&gt;0,"Outstanding"))</f>
        <v>Settled</v>
      </c>
      <c r="M111" s="5" t="str">
        <f>IF(Table2[[#This Row],[Advance Amount]]=Table2[[#This Row],[Expense Amount]]+Table2[[#This Row],[Return Amount]]+Table2[[#This Row],[Outstanding]],"Ok","Check")</f>
        <v>Ok</v>
      </c>
      <c r="N111" s="11">
        <f>IF(Table2[[#This Row],[Status]]="Settled",0,$Q$2-Table2[[#This Row],[Date]])</f>
        <v>0</v>
      </c>
      <c r="O111" s="5" t="str">
        <f>IF(Table2[[#This Row],[Age Days]]&lt;=7,"Normal",IF(Table2[[#This Row],[Age Days]]&lt;=14,"Perlu Dipantau",IF(Table2[[#This Row],[Age Days]]&lt;=30,"Perlu Ditindaklanjuti","Overdue")))</f>
        <v>Normal</v>
      </c>
    </row>
    <row r="112" spans="1:15" x14ac:dyDescent="0.3">
      <c r="A112" t="s">
        <v>196</v>
      </c>
      <c r="B112" s="3">
        <v>46049</v>
      </c>
      <c r="C112" t="s">
        <v>29</v>
      </c>
      <c r="D112" t="s">
        <v>30</v>
      </c>
      <c r="E112" t="s">
        <v>13</v>
      </c>
      <c r="F112" t="s">
        <v>20</v>
      </c>
      <c r="G112" t="s">
        <v>57</v>
      </c>
      <c r="H112" s="5">
        <v>30000</v>
      </c>
      <c r="I112" s="5">
        <v>0</v>
      </c>
      <c r="J112" s="5">
        <v>0</v>
      </c>
      <c r="K112" s="5">
        <f>Table2[[#This Row],[Advance Amount]]-Table2[[#This Row],[Expense Amount]]-Table2[[#This Row],[Return Amount]]</f>
        <v>30000</v>
      </c>
      <c r="L112" s="5" t="str">
        <f>IF(Table2[[#This Row],[Outstanding]]=0,"Settled",IF(Table2[[#This Row],[Outstanding]]&gt;0,"Outstanding"))</f>
        <v>Outstanding</v>
      </c>
      <c r="M112" s="5" t="str">
        <f>IF(Table2[[#This Row],[Advance Amount]]=Table2[[#This Row],[Expense Amount]]+Table2[[#This Row],[Return Amount]]+Table2[[#This Row],[Outstanding]],"Ok","Check")</f>
        <v>Ok</v>
      </c>
      <c r="N112" s="11">
        <f>IF(Table2[[#This Row],[Status]]="Settled",0,$Q$2-Table2[[#This Row],[Date]])</f>
        <v>216</v>
      </c>
      <c r="O112" s="5" t="str">
        <f>IF(Table2[[#This Row],[Age Days]]&lt;=7,"Normal",IF(Table2[[#This Row],[Age Days]]&lt;=14,"Perlu Dipantau",IF(Table2[[#This Row],[Age Days]]&lt;=30,"Perlu Ditindaklanjuti","Overdue")))</f>
        <v>Overdue</v>
      </c>
    </row>
    <row r="113" spans="1:15" x14ac:dyDescent="0.3">
      <c r="A113" t="s">
        <v>197</v>
      </c>
      <c r="B113" s="3">
        <v>46049</v>
      </c>
      <c r="C113" t="s">
        <v>48</v>
      </c>
      <c r="D113" t="s">
        <v>49</v>
      </c>
      <c r="E113" t="s">
        <v>19</v>
      </c>
      <c r="F113" t="s">
        <v>20</v>
      </c>
      <c r="G113" t="s">
        <v>61</v>
      </c>
      <c r="H113" s="5">
        <v>650000</v>
      </c>
      <c r="I113" s="5">
        <v>0</v>
      </c>
      <c r="J113" s="5">
        <v>0</v>
      </c>
      <c r="K113" s="5">
        <f>Table2[[#This Row],[Advance Amount]]-Table2[[#This Row],[Expense Amount]]-Table2[[#This Row],[Return Amount]]</f>
        <v>650000</v>
      </c>
      <c r="L113" s="5" t="str">
        <f>IF(Table2[[#This Row],[Outstanding]]=0,"Settled",IF(Table2[[#This Row],[Outstanding]]&gt;0,"Outstanding"))</f>
        <v>Outstanding</v>
      </c>
      <c r="M113" s="5" t="str">
        <f>IF(Table2[[#This Row],[Advance Amount]]=Table2[[#This Row],[Expense Amount]]+Table2[[#This Row],[Return Amount]]+Table2[[#This Row],[Outstanding]],"Ok","Check")</f>
        <v>Ok</v>
      </c>
      <c r="N113" s="11">
        <f>IF(Table2[[#This Row],[Status]]="Settled",0,$Q$2-Table2[[#This Row],[Date]])</f>
        <v>216</v>
      </c>
      <c r="O113" s="5" t="str">
        <f>IF(Table2[[#This Row],[Age Days]]&lt;=7,"Normal",IF(Table2[[#This Row],[Age Days]]&lt;=14,"Perlu Dipantau",IF(Table2[[#This Row],[Age Days]]&lt;=30,"Perlu Ditindaklanjuti","Overdue")))</f>
        <v>Overdue</v>
      </c>
    </row>
    <row r="114" spans="1:15" x14ac:dyDescent="0.3">
      <c r="A114" t="s">
        <v>198</v>
      </c>
      <c r="B114" s="3">
        <v>46049</v>
      </c>
      <c r="C114" t="s">
        <v>62</v>
      </c>
      <c r="D114" t="s">
        <v>63</v>
      </c>
      <c r="E114" t="s">
        <v>52</v>
      </c>
      <c r="F114" t="s">
        <v>14</v>
      </c>
      <c r="G114" t="s">
        <v>61</v>
      </c>
      <c r="H114" s="5">
        <v>675000</v>
      </c>
      <c r="I114" s="5">
        <v>550000</v>
      </c>
      <c r="J114" s="5">
        <v>125000</v>
      </c>
      <c r="K114" s="5">
        <f>Table2[[#This Row],[Advance Amount]]-Table2[[#This Row],[Expense Amount]]-Table2[[#This Row],[Return Amount]]</f>
        <v>0</v>
      </c>
      <c r="L114" s="5" t="str">
        <f>IF(Table2[[#This Row],[Outstanding]]=0,"Settled",IF(Table2[[#This Row],[Outstanding]]&gt;0,"Outstanding"))</f>
        <v>Settled</v>
      </c>
      <c r="M114" s="5" t="str">
        <f>IF(Table2[[#This Row],[Advance Amount]]=Table2[[#This Row],[Expense Amount]]+Table2[[#This Row],[Return Amount]]+Table2[[#This Row],[Outstanding]],"Ok","Check")</f>
        <v>Ok</v>
      </c>
      <c r="N114" s="11">
        <f>IF(Table2[[#This Row],[Status]]="Settled",0,$Q$2-Table2[[#This Row],[Date]])</f>
        <v>0</v>
      </c>
      <c r="O114" s="5" t="str">
        <f>IF(Table2[[#This Row],[Age Days]]&lt;=7,"Normal",IF(Table2[[#This Row],[Age Days]]&lt;=14,"Perlu Dipantau",IF(Table2[[#This Row],[Age Days]]&lt;=30,"Perlu Ditindaklanjuti","Overdue")))</f>
        <v>Normal</v>
      </c>
    </row>
    <row r="115" spans="1:15" x14ac:dyDescent="0.3">
      <c r="A115" t="s">
        <v>199</v>
      </c>
      <c r="B115" s="3">
        <v>46049</v>
      </c>
      <c r="C115" t="s">
        <v>11</v>
      </c>
      <c r="D115" t="s">
        <v>12</v>
      </c>
      <c r="E115" t="s">
        <v>13</v>
      </c>
      <c r="F115" t="s">
        <v>14</v>
      </c>
      <c r="G115" t="s">
        <v>34</v>
      </c>
      <c r="H115" s="5">
        <v>200000</v>
      </c>
      <c r="I115" s="5">
        <v>150000</v>
      </c>
      <c r="J115" s="5">
        <v>50000</v>
      </c>
      <c r="K115" s="5">
        <f>Table2[[#This Row],[Advance Amount]]-Table2[[#This Row],[Expense Amount]]-Table2[[#This Row],[Return Amount]]</f>
        <v>0</v>
      </c>
      <c r="L115" s="5" t="str">
        <f>IF(Table2[[#This Row],[Outstanding]]=0,"Settled",IF(Table2[[#This Row],[Outstanding]]&gt;0,"Outstanding"))</f>
        <v>Settled</v>
      </c>
      <c r="M115" s="5" t="str">
        <f>IF(Table2[[#This Row],[Advance Amount]]=Table2[[#This Row],[Expense Amount]]+Table2[[#This Row],[Return Amount]]+Table2[[#This Row],[Outstanding]],"Ok","Check")</f>
        <v>Ok</v>
      </c>
      <c r="N115" s="11">
        <f>IF(Table2[[#This Row],[Status]]="Settled",0,$Q$2-Table2[[#This Row],[Date]])</f>
        <v>0</v>
      </c>
      <c r="O115" s="5" t="str">
        <f>IF(Table2[[#This Row],[Age Days]]&lt;=7,"Normal",IF(Table2[[#This Row],[Age Days]]&lt;=14,"Perlu Dipantau",IF(Table2[[#This Row],[Age Days]]&lt;=30,"Perlu Ditindaklanjuti","Overdue")))</f>
        <v>Normal</v>
      </c>
    </row>
    <row r="116" spans="1:15" x14ac:dyDescent="0.3">
      <c r="A116" t="s">
        <v>200</v>
      </c>
      <c r="B116" s="3">
        <v>46050</v>
      </c>
      <c r="C116" t="s">
        <v>32</v>
      </c>
      <c r="D116" t="s">
        <v>33</v>
      </c>
      <c r="E116" t="s">
        <v>27</v>
      </c>
      <c r="F116" t="s">
        <v>14</v>
      </c>
      <c r="G116" t="s">
        <v>28</v>
      </c>
      <c r="H116" s="5">
        <v>80000</v>
      </c>
      <c r="I116" s="5">
        <v>0</v>
      </c>
      <c r="J116" s="5">
        <v>0</v>
      </c>
      <c r="K116" s="5">
        <f>Table2[[#This Row],[Advance Amount]]-Table2[[#This Row],[Expense Amount]]-Table2[[#This Row],[Return Amount]]</f>
        <v>80000</v>
      </c>
      <c r="L116" s="5" t="str">
        <f>IF(Table2[[#This Row],[Outstanding]]=0,"Settled",IF(Table2[[#This Row],[Outstanding]]&gt;0,"Outstanding"))</f>
        <v>Outstanding</v>
      </c>
      <c r="M116" s="5" t="str">
        <f>IF(Table2[[#This Row],[Advance Amount]]=Table2[[#This Row],[Expense Amount]]+Table2[[#This Row],[Return Amount]]+Table2[[#This Row],[Outstanding]],"Ok","Check")</f>
        <v>Ok</v>
      </c>
      <c r="N116" s="11">
        <f>IF(Table2[[#This Row],[Status]]="Settled",0,$Q$2-Table2[[#This Row],[Date]])</f>
        <v>215</v>
      </c>
      <c r="O116" s="5" t="str">
        <f>IF(Table2[[#This Row],[Age Days]]&lt;=7,"Normal",IF(Table2[[#This Row],[Age Days]]&lt;=14,"Perlu Dipantau",IF(Table2[[#This Row],[Age Days]]&lt;=30,"Perlu Ditindaklanjuti","Overdue")))</f>
        <v>Overdue</v>
      </c>
    </row>
    <row r="117" spans="1:15" x14ac:dyDescent="0.3">
      <c r="A117" t="s">
        <v>201</v>
      </c>
      <c r="B117" s="3">
        <v>46050</v>
      </c>
      <c r="C117" t="s">
        <v>55</v>
      </c>
      <c r="D117" t="s">
        <v>56</v>
      </c>
      <c r="E117" t="s">
        <v>24</v>
      </c>
      <c r="F117" t="s">
        <v>14</v>
      </c>
      <c r="G117" t="s">
        <v>15</v>
      </c>
      <c r="H117" s="5">
        <v>1375000</v>
      </c>
      <c r="I117" s="5">
        <v>0</v>
      </c>
      <c r="J117" s="5">
        <v>0</v>
      </c>
      <c r="K117" s="5">
        <f>Table2[[#This Row],[Advance Amount]]-Table2[[#This Row],[Expense Amount]]-Table2[[#This Row],[Return Amount]]</f>
        <v>1375000</v>
      </c>
      <c r="L117" s="5" t="str">
        <f>IF(Table2[[#This Row],[Outstanding]]=0,"Settled",IF(Table2[[#This Row],[Outstanding]]&gt;0,"Outstanding"))</f>
        <v>Outstanding</v>
      </c>
      <c r="M117" s="5" t="str">
        <f>IF(Table2[[#This Row],[Advance Amount]]=Table2[[#This Row],[Expense Amount]]+Table2[[#This Row],[Return Amount]]+Table2[[#This Row],[Outstanding]],"Ok","Check")</f>
        <v>Ok</v>
      </c>
      <c r="N117" s="11">
        <f>IF(Table2[[#This Row],[Status]]="Settled",0,$Q$2-Table2[[#This Row],[Date]])</f>
        <v>215</v>
      </c>
      <c r="O117" s="5" t="str">
        <f>IF(Table2[[#This Row],[Age Days]]&lt;=7,"Normal",IF(Table2[[#This Row],[Age Days]]&lt;=14,"Perlu Dipantau",IF(Table2[[#This Row],[Age Days]]&lt;=30,"Perlu Ditindaklanjuti","Overdue")))</f>
        <v>Overdue</v>
      </c>
    </row>
    <row r="118" spans="1:15" x14ac:dyDescent="0.3">
      <c r="A118" t="s">
        <v>202</v>
      </c>
      <c r="B118" s="3">
        <v>46050</v>
      </c>
      <c r="C118" t="s">
        <v>62</v>
      </c>
      <c r="D118" t="s">
        <v>63</v>
      </c>
      <c r="E118" t="s">
        <v>52</v>
      </c>
      <c r="F118" t="s">
        <v>14</v>
      </c>
      <c r="G118" t="s">
        <v>57</v>
      </c>
      <c r="H118" s="5">
        <v>480000</v>
      </c>
      <c r="I118" s="5">
        <v>425000</v>
      </c>
      <c r="J118" s="5">
        <v>55000</v>
      </c>
      <c r="K118" s="5">
        <f>Table2[[#This Row],[Advance Amount]]-Table2[[#This Row],[Expense Amount]]-Table2[[#This Row],[Return Amount]]</f>
        <v>0</v>
      </c>
      <c r="L118" s="5" t="str">
        <f>IF(Table2[[#This Row],[Outstanding]]=0,"Settled",IF(Table2[[#This Row],[Outstanding]]&gt;0,"Outstanding"))</f>
        <v>Settled</v>
      </c>
      <c r="M118" s="5" t="str">
        <f>IF(Table2[[#This Row],[Advance Amount]]=Table2[[#This Row],[Expense Amount]]+Table2[[#This Row],[Return Amount]]+Table2[[#This Row],[Outstanding]],"Ok","Check")</f>
        <v>Ok</v>
      </c>
      <c r="N118" s="11">
        <f>IF(Table2[[#This Row],[Status]]="Settled",0,$Q$2-Table2[[#This Row],[Date]])</f>
        <v>0</v>
      </c>
      <c r="O118" s="5" t="str">
        <f>IF(Table2[[#This Row],[Age Days]]&lt;=7,"Normal",IF(Table2[[#This Row],[Age Days]]&lt;=14,"Perlu Dipantau",IF(Table2[[#This Row],[Age Days]]&lt;=30,"Perlu Ditindaklanjuti","Overdue")))</f>
        <v>Normal</v>
      </c>
    </row>
    <row r="119" spans="1:15" x14ac:dyDescent="0.3">
      <c r="A119" t="s">
        <v>203</v>
      </c>
      <c r="B119" s="3">
        <v>46050</v>
      </c>
      <c r="C119" t="s">
        <v>62</v>
      </c>
      <c r="D119" t="s">
        <v>63</v>
      </c>
      <c r="E119" t="s">
        <v>52</v>
      </c>
      <c r="F119" t="s">
        <v>14</v>
      </c>
      <c r="G119" t="s">
        <v>31</v>
      </c>
      <c r="H119" s="5">
        <v>1425000</v>
      </c>
      <c r="I119" s="5">
        <v>0</v>
      </c>
      <c r="J119" s="5">
        <v>0</v>
      </c>
      <c r="K119" s="5">
        <f>Table2[[#This Row],[Advance Amount]]-Table2[[#This Row],[Expense Amount]]-Table2[[#This Row],[Return Amount]]</f>
        <v>1425000</v>
      </c>
      <c r="L119" s="5" t="str">
        <f>IF(Table2[[#This Row],[Outstanding]]=0,"Settled",IF(Table2[[#This Row],[Outstanding]]&gt;0,"Outstanding"))</f>
        <v>Outstanding</v>
      </c>
      <c r="M119" s="5" t="str">
        <f>IF(Table2[[#This Row],[Advance Amount]]=Table2[[#This Row],[Expense Amount]]+Table2[[#This Row],[Return Amount]]+Table2[[#This Row],[Outstanding]],"Ok","Check")</f>
        <v>Ok</v>
      </c>
      <c r="N119" s="11">
        <f>IF(Table2[[#This Row],[Status]]="Settled",0,$Q$2-Table2[[#This Row],[Date]])</f>
        <v>215</v>
      </c>
      <c r="O119" s="5" t="str">
        <f>IF(Table2[[#This Row],[Age Days]]&lt;=7,"Normal",IF(Table2[[#This Row],[Age Days]]&lt;=14,"Perlu Dipantau",IF(Table2[[#This Row],[Age Days]]&lt;=30,"Perlu Ditindaklanjuti","Overdue")))</f>
        <v>Overdue</v>
      </c>
    </row>
    <row r="120" spans="1:15" x14ac:dyDescent="0.3">
      <c r="A120" t="s">
        <v>204</v>
      </c>
      <c r="B120" s="3">
        <v>46050</v>
      </c>
      <c r="C120" t="s">
        <v>38</v>
      </c>
      <c r="D120" t="s">
        <v>39</v>
      </c>
      <c r="E120" t="s">
        <v>24</v>
      </c>
      <c r="F120" t="s">
        <v>14</v>
      </c>
      <c r="G120" t="s">
        <v>31</v>
      </c>
      <c r="H120" s="5">
        <v>750000</v>
      </c>
      <c r="I120" s="5">
        <v>650000</v>
      </c>
      <c r="J120" s="5">
        <v>100000</v>
      </c>
      <c r="K120" s="5">
        <f>Table2[[#This Row],[Advance Amount]]-Table2[[#This Row],[Expense Amount]]-Table2[[#This Row],[Return Amount]]</f>
        <v>0</v>
      </c>
      <c r="L120" s="5" t="str">
        <f>IF(Table2[[#This Row],[Outstanding]]=0,"Settled",IF(Table2[[#This Row],[Outstanding]]&gt;0,"Outstanding"))</f>
        <v>Settled</v>
      </c>
      <c r="M120" s="5" t="str">
        <f>IF(Table2[[#This Row],[Advance Amount]]=Table2[[#This Row],[Expense Amount]]+Table2[[#This Row],[Return Amount]]+Table2[[#This Row],[Outstanding]],"Ok","Check")</f>
        <v>Ok</v>
      </c>
      <c r="N120" s="11">
        <f>IF(Table2[[#This Row],[Status]]="Settled",0,$Q$2-Table2[[#This Row],[Date]])</f>
        <v>0</v>
      </c>
      <c r="O120" s="5" t="str">
        <f>IF(Table2[[#This Row],[Age Days]]&lt;=7,"Normal",IF(Table2[[#This Row],[Age Days]]&lt;=14,"Perlu Dipantau",IF(Table2[[#This Row],[Age Days]]&lt;=30,"Perlu Ditindaklanjuti","Overdue")))</f>
        <v>Normal</v>
      </c>
    </row>
    <row r="121" spans="1:15" x14ac:dyDescent="0.3">
      <c r="A121" t="s">
        <v>205</v>
      </c>
      <c r="B121" s="3">
        <v>46050</v>
      </c>
      <c r="C121" t="s">
        <v>68</v>
      </c>
      <c r="D121" t="s">
        <v>69</v>
      </c>
      <c r="E121" t="s">
        <v>27</v>
      </c>
      <c r="F121" t="s">
        <v>14</v>
      </c>
      <c r="G121" t="s">
        <v>34</v>
      </c>
      <c r="H121" s="5">
        <v>325000</v>
      </c>
      <c r="I121" s="5">
        <v>300000</v>
      </c>
      <c r="J121" s="5">
        <v>25000</v>
      </c>
      <c r="K121" s="5">
        <f>Table2[[#This Row],[Advance Amount]]-Table2[[#This Row],[Expense Amount]]-Table2[[#This Row],[Return Amount]]</f>
        <v>0</v>
      </c>
      <c r="L121" s="5" t="str">
        <f>IF(Table2[[#This Row],[Outstanding]]=0,"Settled",IF(Table2[[#This Row],[Outstanding]]&gt;0,"Outstanding"))</f>
        <v>Settled</v>
      </c>
      <c r="M121" s="5" t="str">
        <f>IF(Table2[[#This Row],[Advance Amount]]=Table2[[#This Row],[Expense Amount]]+Table2[[#This Row],[Return Amount]]+Table2[[#This Row],[Outstanding]],"Ok","Check")</f>
        <v>Ok</v>
      </c>
      <c r="N121" s="11">
        <f>IF(Table2[[#This Row],[Status]]="Settled",0,$Q$2-Table2[[#This Row],[Date]])</f>
        <v>0</v>
      </c>
      <c r="O121" s="5" t="str">
        <f>IF(Table2[[#This Row],[Age Days]]&lt;=7,"Normal",IF(Table2[[#This Row],[Age Days]]&lt;=14,"Perlu Dipantau",IF(Table2[[#This Row],[Age Days]]&lt;=30,"Perlu Ditindaklanjuti","Overdue")))</f>
        <v>Normal</v>
      </c>
    </row>
    <row r="122" spans="1:15" x14ac:dyDescent="0.3">
      <c r="A122" t="s">
        <v>206</v>
      </c>
      <c r="B122" s="3">
        <v>46050</v>
      </c>
      <c r="C122" t="s">
        <v>64</v>
      </c>
      <c r="D122" t="s">
        <v>65</v>
      </c>
      <c r="E122" t="s">
        <v>37</v>
      </c>
      <c r="F122" t="s">
        <v>20</v>
      </c>
      <c r="G122" t="s">
        <v>31</v>
      </c>
      <c r="H122" s="5">
        <v>1275000</v>
      </c>
      <c r="I122" s="5">
        <v>1150000</v>
      </c>
      <c r="J122" s="5">
        <v>125000</v>
      </c>
      <c r="K122" s="5">
        <f>Table2[[#This Row],[Advance Amount]]-Table2[[#This Row],[Expense Amount]]-Table2[[#This Row],[Return Amount]]</f>
        <v>0</v>
      </c>
      <c r="L122" s="5" t="str">
        <f>IF(Table2[[#This Row],[Outstanding]]=0,"Settled",IF(Table2[[#This Row],[Outstanding]]&gt;0,"Outstanding"))</f>
        <v>Settled</v>
      </c>
      <c r="M122" s="5" t="str">
        <f>IF(Table2[[#This Row],[Advance Amount]]=Table2[[#This Row],[Expense Amount]]+Table2[[#This Row],[Return Amount]]+Table2[[#This Row],[Outstanding]],"Ok","Check")</f>
        <v>Ok</v>
      </c>
      <c r="N122" s="11">
        <f>IF(Table2[[#This Row],[Status]]="Settled",0,$Q$2-Table2[[#This Row],[Date]])</f>
        <v>0</v>
      </c>
      <c r="O122" s="5" t="str">
        <f>IF(Table2[[#This Row],[Age Days]]&lt;=7,"Normal",IF(Table2[[#This Row],[Age Days]]&lt;=14,"Perlu Dipantau",IF(Table2[[#This Row],[Age Days]]&lt;=30,"Perlu Ditindaklanjuti","Overdue")))</f>
        <v>Normal</v>
      </c>
    </row>
    <row r="123" spans="1:15" x14ac:dyDescent="0.3">
      <c r="A123" t="s">
        <v>207</v>
      </c>
      <c r="B123" s="3">
        <v>46050</v>
      </c>
      <c r="C123" t="s">
        <v>53</v>
      </c>
      <c r="D123" t="s">
        <v>54</v>
      </c>
      <c r="E123" t="s">
        <v>43</v>
      </c>
      <c r="F123" t="s">
        <v>14</v>
      </c>
      <c r="G123" t="s">
        <v>58</v>
      </c>
      <c r="H123" s="5">
        <v>1025000</v>
      </c>
      <c r="I123" s="5">
        <v>825000</v>
      </c>
      <c r="J123" s="5">
        <v>200000</v>
      </c>
      <c r="K123" s="5">
        <f>Table2[[#This Row],[Advance Amount]]-Table2[[#This Row],[Expense Amount]]-Table2[[#This Row],[Return Amount]]</f>
        <v>0</v>
      </c>
      <c r="L123" s="5" t="str">
        <f>IF(Table2[[#This Row],[Outstanding]]=0,"Settled",IF(Table2[[#This Row],[Outstanding]]&gt;0,"Outstanding"))</f>
        <v>Settled</v>
      </c>
      <c r="M123" s="5" t="str">
        <f>IF(Table2[[#This Row],[Advance Amount]]=Table2[[#This Row],[Expense Amount]]+Table2[[#This Row],[Return Amount]]+Table2[[#This Row],[Outstanding]],"Ok","Check")</f>
        <v>Ok</v>
      </c>
      <c r="N123" s="11">
        <f>IF(Table2[[#This Row],[Status]]="Settled",0,$Q$2-Table2[[#This Row],[Date]])</f>
        <v>0</v>
      </c>
      <c r="O123" s="5" t="str">
        <f>IF(Table2[[#This Row],[Age Days]]&lt;=7,"Normal",IF(Table2[[#This Row],[Age Days]]&lt;=14,"Perlu Dipantau",IF(Table2[[#This Row],[Age Days]]&lt;=30,"Perlu Ditindaklanjuti","Overdue")))</f>
        <v>Normal</v>
      </c>
    </row>
    <row r="124" spans="1:15" x14ac:dyDescent="0.3">
      <c r="A124" t="s">
        <v>208</v>
      </c>
      <c r="B124" s="3">
        <v>46051</v>
      </c>
      <c r="C124" t="s">
        <v>48</v>
      </c>
      <c r="D124" t="s">
        <v>49</v>
      </c>
      <c r="E124" t="s">
        <v>19</v>
      </c>
      <c r="F124" t="s">
        <v>14</v>
      </c>
      <c r="G124" t="s">
        <v>57</v>
      </c>
      <c r="H124" s="5">
        <v>280000</v>
      </c>
      <c r="I124" s="5">
        <v>225000</v>
      </c>
      <c r="J124" s="5">
        <v>55000</v>
      </c>
      <c r="K124" s="5">
        <f>Table2[[#This Row],[Advance Amount]]-Table2[[#This Row],[Expense Amount]]-Table2[[#This Row],[Return Amount]]</f>
        <v>0</v>
      </c>
      <c r="L124" s="5" t="str">
        <f>IF(Table2[[#This Row],[Outstanding]]=0,"Settled",IF(Table2[[#This Row],[Outstanding]]&gt;0,"Outstanding"))</f>
        <v>Settled</v>
      </c>
      <c r="M124" s="5" t="str">
        <f>IF(Table2[[#This Row],[Advance Amount]]=Table2[[#This Row],[Expense Amount]]+Table2[[#This Row],[Return Amount]]+Table2[[#This Row],[Outstanding]],"Ok","Check")</f>
        <v>Ok</v>
      </c>
      <c r="N124" s="11">
        <f>IF(Table2[[#This Row],[Status]]="Settled",0,$Q$2-Table2[[#This Row],[Date]])</f>
        <v>0</v>
      </c>
      <c r="O124" s="5" t="str">
        <f>IF(Table2[[#This Row],[Age Days]]&lt;=7,"Normal",IF(Table2[[#This Row],[Age Days]]&lt;=14,"Perlu Dipantau",IF(Table2[[#This Row],[Age Days]]&lt;=30,"Perlu Ditindaklanjuti","Overdue")))</f>
        <v>Normal</v>
      </c>
    </row>
    <row r="125" spans="1:15" x14ac:dyDescent="0.3">
      <c r="A125" t="s">
        <v>209</v>
      </c>
      <c r="B125" s="3">
        <v>46051</v>
      </c>
      <c r="C125" t="s">
        <v>68</v>
      </c>
      <c r="D125" t="s">
        <v>69</v>
      </c>
      <c r="E125" t="s">
        <v>27</v>
      </c>
      <c r="F125" t="s">
        <v>20</v>
      </c>
      <c r="G125" t="s">
        <v>40</v>
      </c>
      <c r="H125" s="5">
        <v>250000</v>
      </c>
      <c r="I125" s="5">
        <v>225000</v>
      </c>
      <c r="J125" s="5">
        <v>25000</v>
      </c>
      <c r="K125" s="5">
        <f>Table2[[#This Row],[Advance Amount]]-Table2[[#This Row],[Expense Amount]]-Table2[[#This Row],[Return Amount]]</f>
        <v>0</v>
      </c>
      <c r="L125" s="5" t="str">
        <f>IF(Table2[[#This Row],[Outstanding]]=0,"Settled",IF(Table2[[#This Row],[Outstanding]]&gt;0,"Outstanding"))</f>
        <v>Settled</v>
      </c>
      <c r="M125" s="5" t="str">
        <f>IF(Table2[[#This Row],[Advance Amount]]=Table2[[#This Row],[Expense Amount]]+Table2[[#This Row],[Return Amount]]+Table2[[#This Row],[Outstanding]],"Ok","Check")</f>
        <v>Ok</v>
      </c>
      <c r="N125" s="11">
        <f>IF(Table2[[#This Row],[Status]]="Settled",0,$Q$2-Table2[[#This Row],[Date]])</f>
        <v>0</v>
      </c>
      <c r="O125" s="5" t="str">
        <f>IF(Table2[[#This Row],[Age Days]]&lt;=7,"Normal",IF(Table2[[#This Row],[Age Days]]&lt;=14,"Perlu Dipantau",IF(Table2[[#This Row],[Age Days]]&lt;=30,"Perlu Ditindaklanjuti","Overdue")))</f>
        <v>Normal</v>
      </c>
    </row>
    <row r="126" spans="1:15" x14ac:dyDescent="0.3">
      <c r="A126" t="s">
        <v>210</v>
      </c>
      <c r="B126" s="3">
        <v>46051</v>
      </c>
      <c r="C126" t="s">
        <v>50</v>
      </c>
      <c r="D126" t="s">
        <v>51</v>
      </c>
      <c r="E126" t="s">
        <v>52</v>
      </c>
      <c r="F126" t="s">
        <v>14</v>
      </c>
      <c r="G126" t="s">
        <v>15</v>
      </c>
      <c r="H126" s="5">
        <v>1900000</v>
      </c>
      <c r="I126" s="5">
        <v>1650000</v>
      </c>
      <c r="J126" s="5">
        <v>250000</v>
      </c>
      <c r="K126" s="5">
        <f>Table2[[#This Row],[Advance Amount]]-Table2[[#This Row],[Expense Amount]]-Table2[[#This Row],[Return Amount]]</f>
        <v>0</v>
      </c>
      <c r="L126" s="5" t="str">
        <f>IF(Table2[[#This Row],[Outstanding]]=0,"Settled",IF(Table2[[#This Row],[Outstanding]]&gt;0,"Outstanding"))</f>
        <v>Settled</v>
      </c>
      <c r="M126" s="5" t="str">
        <f>IF(Table2[[#This Row],[Advance Amount]]=Table2[[#This Row],[Expense Amount]]+Table2[[#This Row],[Return Amount]]+Table2[[#This Row],[Outstanding]],"Ok","Check")</f>
        <v>Ok</v>
      </c>
      <c r="N126" s="11">
        <f>IF(Table2[[#This Row],[Status]]="Settled",0,$Q$2-Table2[[#This Row],[Date]])</f>
        <v>0</v>
      </c>
      <c r="O126" s="5" t="str">
        <f>IF(Table2[[#This Row],[Age Days]]&lt;=7,"Normal",IF(Table2[[#This Row],[Age Days]]&lt;=14,"Perlu Dipantau",IF(Table2[[#This Row],[Age Days]]&lt;=30,"Perlu Ditindaklanjuti","Overdue")))</f>
        <v>Normal</v>
      </c>
    </row>
    <row r="127" spans="1:15" x14ac:dyDescent="0.3">
      <c r="A127" t="s">
        <v>211</v>
      </c>
      <c r="B127" s="3">
        <v>46052</v>
      </c>
      <c r="C127" t="s">
        <v>29</v>
      </c>
      <c r="D127" t="s">
        <v>30</v>
      </c>
      <c r="E127" t="s">
        <v>13</v>
      </c>
      <c r="F127" t="s">
        <v>14</v>
      </c>
      <c r="G127" t="s">
        <v>57</v>
      </c>
      <c r="H127" s="5">
        <v>55000</v>
      </c>
      <c r="I127" s="5">
        <v>50000</v>
      </c>
      <c r="J127" s="5">
        <v>5000</v>
      </c>
      <c r="K127" s="5">
        <f>Table2[[#This Row],[Advance Amount]]-Table2[[#This Row],[Expense Amount]]-Table2[[#This Row],[Return Amount]]</f>
        <v>0</v>
      </c>
      <c r="L127" s="5" t="str">
        <f>IF(Table2[[#This Row],[Outstanding]]=0,"Settled",IF(Table2[[#This Row],[Outstanding]]&gt;0,"Outstanding"))</f>
        <v>Settled</v>
      </c>
      <c r="M127" s="5" t="str">
        <f>IF(Table2[[#This Row],[Advance Amount]]=Table2[[#This Row],[Expense Amount]]+Table2[[#This Row],[Return Amount]]+Table2[[#This Row],[Outstanding]],"Ok","Check")</f>
        <v>Ok</v>
      </c>
      <c r="N127" s="11">
        <f>IF(Table2[[#This Row],[Status]]="Settled",0,$Q$2-Table2[[#This Row],[Date]])</f>
        <v>0</v>
      </c>
      <c r="O127" s="5" t="str">
        <f>IF(Table2[[#This Row],[Age Days]]&lt;=7,"Normal",IF(Table2[[#This Row],[Age Days]]&lt;=14,"Perlu Dipantau",IF(Table2[[#This Row],[Age Days]]&lt;=30,"Perlu Ditindaklanjuti","Overdue")))</f>
        <v>Normal</v>
      </c>
    </row>
    <row r="128" spans="1:15" x14ac:dyDescent="0.3">
      <c r="A128" t="s">
        <v>212</v>
      </c>
      <c r="B128" s="3">
        <v>46052</v>
      </c>
      <c r="C128" t="s">
        <v>32</v>
      </c>
      <c r="D128" t="s">
        <v>33</v>
      </c>
      <c r="E128" t="s">
        <v>27</v>
      </c>
      <c r="F128" t="s">
        <v>20</v>
      </c>
      <c r="G128" t="s">
        <v>61</v>
      </c>
      <c r="H128" s="5">
        <v>325000</v>
      </c>
      <c r="I128" s="5">
        <v>275000</v>
      </c>
      <c r="J128" s="5">
        <v>50000</v>
      </c>
      <c r="K128" s="5">
        <f>Table2[[#This Row],[Advance Amount]]-Table2[[#This Row],[Expense Amount]]-Table2[[#This Row],[Return Amount]]</f>
        <v>0</v>
      </c>
      <c r="L128" s="5" t="str">
        <f>IF(Table2[[#This Row],[Outstanding]]=0,"Settled",IF(Table2[[#This Row],[Outstanding]]&gt;0,"Outstanding"))</f>
        <v>Settled</v>
      </c>
      <c r="M128" s="5" t="str">
        <f>IF(Table2[[#This Row],[Advance Amount]]=Table2[[#This Row],[Expense Amount]]+Table2[[#This Row],[Return Amount]]+Table2[[#This Row],[Outstanding]],"Ok","Check")</f>
        <v>Ok</v>
      </c>
      <c r="N128" s="11">
        <f>IF(Table2[[#This Row],[Status]]="Settled",0,$Q$2-Table2[[#This Row],[Date]])</f>
        <v>0</v>
      </c>
      <c r="O128" s="5" t="str">
        <f>IF(Table2[[#This Row],[Age Days]]&lt;=7,"Normal",IF(Table2[[#This Row],[Age Days]]&lt;=14,"Perlu Dipantau",IF(Table2[[#This Row],[Age Days]]&lt;=30,"Perlu Ditindaklanjuti","Overdue")))</f>
        <v>Normal</v>
      </c>
    </row>
    <row r="129" spans="1:15" x14ac:dyDescent="0.3">
      <c r="A129" t="s">
        <v>213</v>
      </c>
      <c r="B129" s="3">
        <v>46052</v>
      </c>
      <c r="C129" t="s">
        <v>32</v>
      </c>
      <c r="D129" t="s">
        <v>33</v>
      </c>
      <c r="E129" t="s">
        <v>27</v>
      </c>
      <c r="F129" t="s">
        <v>20</v>
      </c>
      <c r="G129" t="s">
        <v>31</v>
      </c>
      <c r="H129" s="5">
        <v>1075000</v>
      </c>
      <c r="I129" s="5">
        <v>0</v>
      </c>
      <c r="J129" s="5">
        <v>0</v>
      </c>
      <c r="K129" s="5">
        <f>Table2[[#This Row],[Advance Amount]]-Table2[[#This Row],[Expense Amount]]-Table2[[#This Row],[Return Amount]]</f>
        <v>1075000</v>
      </c>
      <c r="L129" s="5" t="str">
        <f>IF(Table2[[#This Row],[Outstanding]]=0,"Settled",IF(Table2[[#This Row],[Outstanding]]&gt;0,"Outstanding"))</f>
        <v>Outstanding</v>
      </c>
      <c r="M129" s="5" t="str">
        <f>IF(Table2[[#This Row],[Advance Amount]]=Table2[[#This Row],[Expense Amount]]+Table2[[#This Row],[Return Amount]]+Table2[[#This Row],[Outstanding]],"Ok","Check")</f>
        <v>Ok</v>
      </c>
      <c r="N129" s="11">
        <f>IF(Table2[[#This Row],[Status]]="Settled",0,$Q$2-Table2[[#This Row],[Date]])</f>
        <v>213</v>
      </c>
      <c r="O129" s="5" t="str">
        <f>IF(Table2[[#This Row],[Age Days]]&lt;=7,"Normal",IF(Table2[[#This Row],[Age Days]]&lt;=14,"Perlu Dipantau",IF(Table2[[#This Row],[Age Days]]&lt;=30,"Perlu Ditindaklanjuti","Overdue")))</f>
        <v>Overdue</v>
      </c>
    </row>
    <row r="130" spans="1:15" x14ac:dyDescent="0.3">
      <c r="A130" t="s">
        <v>214</v>
      </c>
      <c r="B130" s="3">
        <v>46052</v>
      </c>
      <c r="C130" t="s">
        <v>68</v>
      </c>
      <c r="D130" t="s">
        <v>69</v>
      </c>
      <c r="E130" t="s">
        <v>27</v>
      </c>
      <c r="F130" t="s">
        <v>14</v>
      </c>
      <c r="G130" t="s">
        <v>28</v>
      </c>
      <c r="H130" s="5">
        <v>380000</v>
      </c>
      <c r="I130" s="5">
        <v>0</v>
      </c>
      <c r="J130" s="5">
        <v>0</v>
      </c>
      <c r="K130" s="5">
        <f>Table2[[#This Row],[Advance Amount]]-Table2[[#This Row],[Expense Amount]]-Table2[[#This Row],[Return Amount]]</f>
        <v>380000</v>
      </c>
      <c r="L130" s="5" t="str">
        <f>IF(Table2[[#This Row],[Outstanding]]=0,"Settled",IF(Table2[[#This Row],[Outstanding]]&gt;0,"Outstanding"))</f>
        <v>Outstanding</v>
      </c>
      <c r="M130" s="5" t="str">
        <f>IF(Table2[[#This Row],[Advance Amount]]=Table2[[#This Row],[Expense Amount]]+Table2[[#This Row],[Return Amount]]+Table2[[#This Row],[Outstanding]],"Ok","Check")</f>
        <v>Ok</v>
      </c>
      <c r="N130" s="11">
        <f>IF(Table2[[#This Row],[Status]]="Settled",0,$Q$2-Table2[[#This Row],[Date]])</f>
        <v>213</v>
      </c>
      <c r="O130" s="5" t="str">
        <f>IF(Table2[[#This Row],[Age Days]]&lt;=7,"Normal",IF(Table2[[#This Row],[Age Days]]&lt;=14,"Perlu Dipantau",IF(Table2[[#This Row],[Age Days]]&lt;=30,"Perlu Ditindaklanjuti","Overdue")))</f>
        <v>Overdue</v>
      </c>
    </row>
    <row r="131" spans="1:15" x14ac:dyDescent="0.3">
      <c r="A131" t="s">
        <v>215</v>
      </c>
      <c r="B131" s="3">
        <v>46053</v>
      </c>
      <c r="C131" t="s">
        <v>32</v>
      </c>
      <c r="D131" t="s">
        <v>33</v>
      </c>
      <c r="E131" t="s">
        <v>27</v>
      </c>
      <c r="F131" t="s">
        <v>20</v>
      </c>
      <c r="G131" t="s">
        <v>28</v>
      </c>
      <c r="H131" s="5">
        <v>305000</v>
      </c>
      <c r="I131" s="5">
        <v>250000</v>
      </c>
      <c r="J131" s="5">
        <v>55000</v>
      </c>
      <c r="K131" s="5">
        <f>Table2[[#This Row],[Advance Amount]]-Table2[[#This Row],[Expense Amount]]-Table2[[#This Row],[Return Amount]]</f>
        <v>0</v>
      </c>
      <c r="L131" s="5" t="str">
        <f>IF(Table2[[#This Row],[Outstanding]]=0,"Settled",IF(Table2[[#This Row],[Outstanding]]&gt;0,"Outstanding"))</f>
        <v>Settled</v>
      </c>
      <c r="M131" s="5" t="str">
        <f>IF(Table2[[#This Row],[Advance Amount]]=Table2[[#This Row],[Expense Amount]]+Table2[[#This Row],[Return Amount]]+Table2[[#This Row],[Outstanding]],"Ok","Check")</f>
        <v>Ok</v>
      </c>
      <c r="N131" s="11">
        <f>IF(Table2[[#This Row],[Status]]="Settled",0,$Q$2-Table2[[#This Row],[Date]])</f>
        <v>0</v>
      </c>
      <c r="O131" s="5" t="str">
        <f>IF(Table2[[#This Row],[Age Days]]&lt;=7,"Normal",IF(Table2[[#This Row],[Age Days]]&lt;=14,"Perlu Dipantau",IF(Table2[[#This Row],[Age Days]]&lt;=30,"Perlu Ditindaklanjuti","Overdue")))</f>
        <v>Normal</v>
      </c>
    </row>
    <row r="132" spans="1:15" x14ac:dyDescent="0.3">
      <c r="A132" t="s">
        <v>216</v>
      </c>
      <c r="B132" s="3">
        <v>46053</v>
      </c>
      <c r="C132" t="s">
        <v>55</v>
      </c>
      <c r="D132" t="s">
        <v>56</v>
      </c>
      <c r="E132" t="s">
        <v>24</v>
      </c>
      <c r="F132" t="s">
        <v>20</v>
      </c>
      <c r="G132" t="s">
        <v>31</v>
      </c>
      <c r="H132" s="5">
        <v>200000</v>
      </c>
      <c r="I132" s="5">
        <v>200000</v>
      </c>
      <c r="J132" s="5">
        <v>0</v>
      </c>
      <c r="K132" s="5">
        <f>Table2[[#This Row],[Advance Amount]]-Table2[[#This Row],[Expense Amount]]-Table2[[#This Row],[Return Amount]]</f>
        <v>0</v>
      </c>
      <c r="L132" s="5" t="str">
        <f>IF(Table2[[#This Row],[Outstanding]]=0,"Settled",IF(Table2[[#This Row],[Outstanding]]&gt;0,"Outstanding"))</f>
        <v>Settled</v>
      </c>
      <c r="M132" s="5" t="str">
        <f>IF(Table2[[#This Row],[Advance Amount]]=Table2[[#This Row],[Expense Amount]]+Table2[[#This Row],[Return Amount]]+Table2[[#This Row],[Outstanding]],"Ok","Check")</f>
        <v>Ok</v>
      </c>
      <c r="N132" s="11">
        <f>IF(Table2[[#This Row],[Status]]="Settled",0,$Q$2-Table2[[#This Row],[Date]])</f>
        <v>0</v>
      </c>
      <c r="O132" s="5" t="str">
        <f>IF(Table2[[#This Row],[Age Days]]&lt;=7,"Normal",IF(Table2[[#This Row],[Age Days]]&lt;=14,"Perlu Dipantau",IF(Table2[[#This Row],[Age Days]]&lt;=30,"Perlu Ditindaklanjuti","Overdue")))</f>
        <v>Normal</v>
      </c>
    </row>
    <row r="133" spans="1:15" x14ac:dyDescent="0.3">
      <c r="A133" t="s">
        <v>217</v>
      </c>
      <c r="B133" s="3">
        <v>46053</v>
      </c>
      <c r="C133" t="s">
        <v>44</v>
      </c>
      <c r="D133" t="s">
        <v>45</v>
      </c>
      <c r="E133" t="s">
        <v>43</v>
      </c>
      <c r="F133" t="s">
        <v>20</v>
      </c>
      <c r="G133" t="s">
        <v>31</v>
      </c>
      <c r="H133" s="5">
        <v>1025000</v>
      </c>
      <c r="I133" s="5">
        <v>1025000</v>
      </c>
      <c r="J133" s="5">
        <v>0</v>
      </c>
      <c r="K133" s="5">
        <f>Table2[[#This Row],[Advance Amount]]-Table2[[#This Row],[Expense Amount]]-Table2[[#This Row],[Return Amount]]</f>
        <v>0</v>
      </c>
      <c r="L133" s="5" t="str">
        <f>IF(Table2[[#This Row],[Outstanding]]=0,"Settled",IF(Table2[[#This Row],[Outstanding]]&gt;0,"Outstanding"))</f>
        <v>Settled</v>
      </c>
      <c r="M133" s="5" t="str">
        <f>IF(Table2[[#This Row],[Advance Amount]]=Table2[[#This Row],[Expense Amount]]+Table2[[#This Row],[Return Amount]]+Table2[[#This Row],[Outstanding]],"Ok","Check")</f>
        <v>Ok</v>
      </c>
      <c r="N133" s="11">
        <f>IF(Table2[[#This Row],[Status]]="Settled",0,$Q$2-Table2[[#This Row],[Date]])</f>
        <v>0</v>
      </c>
      <c r="O133" s="5" t="str">
        <f>IF(Table2[[#This Row],[Age Days]]&lt;=7,"Normal",IF(Table2[[#This Row],[Age Days]]&lt;=14,"Perlu Dipantau",IF(Table2[[#This Row],[Age Days]]&lt;=30,"Perlu Ditindaklanjuti","Overdue")))</f>
        <v>Normal</v>
      </c>
    </row>
    <row r="134" spans="1:15" x14ac:dyDescent="0.3">
      <c r="A134" t="s">
        <v>218</v>
      </c>
      <c r="B134" s="3">
        <v>46053</v>
      </c>
      <c r="C134" t="s">
        <v>66</v>
      </c>
      <c r="D134" t="s">
        <v>67</v>
      </c>
      <c r="E134" t="s">
        <v>13</v>
      </c>
      <c r="F134" t="s">
        <v>14</v>
      </c>
      <c r="G134" t="s">
        <v>61</v>
      </c>
      <c r="H134" s="5">
        <v>550000</v>
      </c>
      <c r="I134" s="5">
        <v>525000</v>
      </c>
      <c r="J134" s="5">
        <v>25000</v>
      </c>
      <c r="K134" s="5">
        <f>Table2[[#This Row],[Advance Amount]]-Table2[[#This Row],[Expense Amount]]-Table2[[#This Row],[Return Amount]]</f>
        <v>0</v>
      </c>
      <c r="L134" s="5" t="str">
        <f>IF(Table2[[#This Row],[Outstanding]]=0,"Settled",IF(Table2[[#This Row],[Outstanding]]&gt;0,"Outstanding"))</f>
        <v>Settled</v>
      </c>
      <c r="M134" s="5" t="str">
        <f>IF(Table2[[#This Row],[Advance Amount]]=Table2[[#This Row],[Expense Amount]]+Table2[[#This Row],[Return Amount]]+Table2[[#This Row],[Outstanding]],"Ok","Check")</f>
        <v>Ok</v>
      </c>
      <c r="N134" s="11">
        <f>IF(Table2[[#This Row],[Status]]="Settled",0,$Q$2-Table2[[#This Row],[Date]])</f>
        <v>0</v>
      </c>
      <c r="O134" s="5" t="str">
        <f>IF(Table2[[#This Row],[Age Days]]&lt;=7,"Normal",IF(Table2[[#This Row],[Age Days]]&lt;=14,"Perlu Dipantau",IF(Table2[[#This Row],[Age Days]]&lt;=30,"Perlu Ditindaklanjuti","Overdue")))</f>
        <v>Normal</v>
      </c>
    </row>
    <row r="135" spans="1:15" x14ac:dyDescent="0.3">
      <c r="A135" t="s">
        <v>219</v>
      </c>
      <c r="B135" s="3">
        <v>46053</v>
      </c>
      <c r="C135" t="s">
        <v>53</v>
      </c>
      <c r="D135" t="s">
        <v>54</v>
      </c>
      <c r="E135" t="s">
        <v>43</v>
      </c>
      <c r="F135" t="s">
        <v>14</v>
      </c>
      <c r="G135" t="s">
        <v>31</v>
      </c>
      <c r="H135" s="5">
        <v>1250000</v>
      </c>
      <c r="I135" s="5">
        <v>1050000</v>
      </c>
      <c r="J135" s="5">
        <v>200000</v>
      </c>
      <c r="K135" s="5">
        <f>Table2[[#This Row],[Advance Amount]]-Table2[[#This Row],[Expense Amount]]-Table2[[#This Row],[Return Amount]]</f>
        <v>0</v>
      </c>
      <c r="L135" s="5" t="str">
        <f>IF(Table2[[#This Row],[Outstanding]]=0,"Settled",IF(Table2[[#This Row],[Outstanding]]&gt;0,"Outstanding"))</f>
        <v>Settled</v>
      </c>
      <c r="M135" s="5" t="str">
        <f>IF(Table2[[#This Row],[Advance Amount]]=Table2[[#This Row],[Expense Amount]]+Table2[[#This Row],[Return Amount]]+Table2[[#This Row],[Outstanding]],"Ok","Check")</f>
        <v>Ok</v>
      </c>
      <c r="N135" s="11">
        <f>IF(Table2[[#This Row],[Status]]="Settled",0,$Q$2-Table2[[#This Row],[Date]])</f>
        <v>0</v>
      </c>
      <c r="O135" s="5" t="str">
        <f>IF(Table2[[#This Row],[Age Days]]&lt;=7,"Normal",IF(Table2[[#This Row],[Age Days]]&lt;=14,"Perlu Dipantau",IF(Table2[[#This Row],[Age Days]]&lt;=30,"Perlu Ditindaklanjuti","Overdue")))</f>
        <v>Normal</v>
      </c>
    </row>
    <row r="136" spans="1:15" x14ac:dyDescent="0.3">
      <c r="A136" t="s">
        <v>220</v>
      </c>
      <c r="B136" s="3">
        <v>46054</v>
      </c>
      <c r="C136" t="s">
        <v>41</v>
      </c>
      <c r="D136" t="s">
        <v>42</v>
      </c>
      <c r="E136" t="s">
        <v>43</v>
      </c>
      <c r="F136" t="s">
        <v>20</v>
      </c>
      <c r="G136" t="s">
        <v>61</v>
      </c>
      <c r="H136" s="5">
        <v>200000</v>
      </c>
      <c r="I136" s="5">
        <v>0</v>
      </c>
      <c r="J136" s="5">
        <v>0</v>
      </c>
      <c r="K136" s="5">
        <f>Table2[[#This Row],[Advance Amount]]-Table2[[#This Row],[Expense Amount]]-Table2[[#This Row],[Return Amount]]</f>
        <v>200000</v>
      </c>
      <c r="L136" s="5" t="str">
        <f>IF(Table2[[#This Row],[Outstanding]]=0,"Settled",IF(Table2[[#This Row],[Outstanding]]&gt;0,"Outstanding"))</f>
        <v>Outstanding</v>
      </c>
      <c r="M136" s="5" t="str">
        <f>IF(Table2[[#This Row],[Advance Amount]]=Table2[[#This Row],[Expense Amount]]+Table2[[#This Row],[Return Amount]]+Table2[[#This Row],[Outstanding]],"Ok","Check")</f>
        <v>Ok</v>
      </c>
      <c r="N136" s="11">
        <f>IF(Table2[[#This Row],[Status]]="Settled",0,$Q$2-Table2[[#This Row],[Date]])</f>
        <v>211</v>
      </c>
      <c r="O136" s="5" t="str">
        <f>IF(Table2[[#This Row],[Age Days]]&lt;=7,"Normal",IF(Table2[[#This Row],[Age Days]]&lt;=14,"Perlu Dipantau",IF(Table2[[#This Row],[Age Days]]&lt;=30,"Perlu Ditindaklanjuti","Overdue")))</f>
        <v>Overdue</v>
      </c>
    </row>
    <row r="137" spans="1:15" x14ac:dyDescent="0.3">
      <c r="A137" t="s">
        <v>221</v>
      </c>
      <c r="B137" s="3">
        <v>46054</v>
      </c>
      <c r="C137" t="s">
        <v>41</v>
      </c>
      <c r="D137" t="s">
        <v>42</v>
      </c>
      <c r="E137" t="s">
        <v>43</v>
      </c>
      <c r="F137" t="s">
        <v>20</v>
      </c>
      <c r="G137" t="s">
        <v>34</v>
      </c>
      <c r="H137" s="5">
        <v>525000</v>
      </c>
      <c r="I137" s="5">
        <v>0</v>
      </c>
      <c r="J137" s="5">
        <v>0</v>
      </c>
      <c r="K137" s="5">
        <f>Table2[[#This Row],[Advance Amount]]-Table2[[#This Row],[Expense Amount]]-Table2[[#This Row],[Return Amount]]</f>
        <v>525000</v>
      </c>
      <c r="L137" s="5" t="str">
        <f>IF(Table2[[#This Row],[Outstanding]]=0,"Settled",IF(Table2[[#This Row],[Outstanding]]&gt;0,"Outstanding"))</f>
        <v>Outstanding</v>
      </c>
      <c r="M137" s="5" t="str">
        <f>IF(Table2[[#This Row],[Advance Amount]]=Table2[[#This Row],[Expense Amount]]+Table2[[#This Row],[Return Amount]]+Table2[[#This Row],[Outstanding]],"Ok","Check")</f>
        <v>Ok</v>
      </c>
      <c r="N137" s="11">
        <f>IF(Table2[[#This Row],[Status]]="Settled",0,$Q$2-Table2[[#This Row],[Date]])</f>
        <v>211</v>
      </c>
      <c r="O137" s="5" t="str">
        <f>IF(Table2[[#This Row],[Age Days]]&lt;=7,"Normal",IF(Table2[[#This Row],[Age Days]]&lt;=14,"Perlu Dipantau",IF(Table2[[#This Row],[Age Days]]&lt;=30,"Perlu Ditindaklanjuti","Overdue")))</f>
        <v>Overdue</v>
      </c>
    </row>
    <row r="138" spans="1:15" x14ac:dyDescent="0.3">
      <c r="A138" t="s">
        <v>222</v>
      </c>
      <c r="B138" s="3">
        <v>46054</v>
      </c>
      <c r="C138" t="s">
        <v>68</v>
      </c>
      <c r="D138" t="s">
        <v>69</v>
      </c>
      <c r="E138" t="s">
        <v>27</v>
      </c>
      <c r="F138" t="s">
        <v>14</v>
      </c>
      <c r="G138" t="s">
        <v>61</v>
      </c>
      <c r="H138" s="5">
        <v>175000</v>
      </c>
      <c r="I138" s="5">
        <v>125000</v>
      </c>
      <c r="J138" s="5">
        <v>50000</v>
      </c>
      <c r="K138" s="5">
        <f>Table2[[#This Row],[Advance Amount]]-Table2[[#This Row],[Expense Amount]]-Table2[[#This Row],[Return Amount]]</f>
        <v>0</v>
      </c>
      <c r="L138" s="5" t="str">
        <f>IF(Table2[[#This Row],[Outstanding]]=0,"Settled",IF(Table2[[#This Row],[Outstanding]]&gt;0,"Outstanding"))</f>
        <v>Settled</v>
      </c>
      <c r="M138" s="5" t="str">
        <f>IF(Table2[[#This Row],[Advance Amount]]=Table2[[#This Row],[Expense Amount]]+Table2[[#This Row],[Return Amount]]+Table2[[#This Row],[Outstanding]],"Ok","Check")</f>
        <v>Ok</v>
      </c>
      <c r="N138" s="11">
        <f>IF(Table2[[#This Row],[Status]]="Settled",0,$Q$2-Table2[[#This Row],[Date]])</f>
        <v>0</v>
      </c>
      <c r="O138" s="5" t="str">
        <f>IF(Table2[[#This Row],[Age Days]]&lt;=7,"Normal",IF(Table2[[#This Row],[Age Days]]&lt;=14,"Perlu Dipantau",IF(Table2[[#This Row],[Age Days]]&lt;=30,"Perlu Ditindaklanjuti","Overdue")))</f>
        <v>Normal</v>
      </c>
    </row>
    <row r="139" spans="1:15" x14ac:dyDescent="0.3">
      <c r="A139" t="s">
        <v>223</v>
      </c>
      <c r="B139" s="3">
        <v>46054</v>
      </c>
      <c r="C139" t="s">
        <v>25</v>
      </c>
      <c r="D139" t="s">
        <v>26</v>
      </c>
      <c r="E139" t="s">
        <v>27</v>
      </c>
      <c r="F139" t="s">
        <v>14</v>
      </c>
      <c r="G139" t="s">
        <v>34</v>
      </c>
      <c r="H139" s="5">
        <v>425000</v>
      </c>
      <c r="I139" s="5">
        <v>325000</v>
      </c>
      <c r="J139" s="5">
        <v>100000</v>
      </c>
      <c r="K139" s="5">
        <f>Table2[[#This Row],[Advance Amount]]-Table2[[#This Row],[Expense Amount]]-Table2[[#This Row],[Return Amount]]</f>
        <v>0</v>
      </c>
      <c r="L139" s="5" t="str">
        <f>IF(Table2[[#This Row],[Outstanding]]=0,"Settled",IF(Table2[[#This Row],[Outstanding]]&gt;0,"Outstanding"))</f>
        <v>Settled</v>
      </c>
      <c r="M139" s="5" t="str">
        <f>IF(Table2[[#This Row],[Advance Amount]]=Table2[[#This Row],[Expense Amount]]+Table2[[#This Row],[Return Amount]]+Table2[[#This Row],[Outstanding]],"Ok","Check")</f>
        <v>Ok</v>
      </c>
      <c r="N139" s="11">
        <f>IF(Table2[[#This Row],[Status]]="Settled",0,$Q$2-Table2[[#This Row],[Date]])</f>
        <v>0</v>
      </c>
      <c r="O139" s="5" t="str">
        <f>IF(Table2[[#This Row],[Age Days]]&lt;=7,"Normal",IF(Table2[[#This Row],[Age Days]]&lt;=14,"Perlu Dipantau",IF(Table2[[#This Row],[Age Days]]&lt;=30,"Perlu Ditindaklanjuti","Overdue")))</f>
        <v>Normal</v>
      </c>
    </row>
    <row r="140" spans="1:15" x14ac:dyDescent="0.3">
      <c r="A140" t="s">
        <v>224</v>
      </c>
      <c r="B140" s="3">
        <v>46055</v>
      </c>
      <c r="C140" t="s">
        <v>62</v>
      </c>
      <c r="D140" t="s">
        <v>63</v>
      </c>
      <c r="E140" t="s">
        <v>52</v>
      </c>
      <c r="F140" t="s">
        <v>14</v>
      </c>
      <c r="G140" t="s">
        <v>40</v>
      </c>
      <c r="H140" s="5">
        <v>675000</v>
      </c>
      <c r="I140" s="5">
        <v>650000</v>
      </c>
      <c r="J140" s="5">
        <v>25000</v>
      </c>
      <c r="K140" s="5">
        <f>Table2[[#This Row],[Advance Amount]]-Table2[[#This Row],[Expense Amount]]-Table2[[#This Row],[Return Amount]]</f>
        <v>0</v>
      </c>
      <c r="L140" s="5" t="str">
        <f>IF(Table2[[#This Row],[Outstanding]]=0,"Settled",IF(Table2[[#This Row],[Outstanding]]&gt;0,"Outstanding"))</f>
        <v>Settled</v>
      </c>
      <c r="M140" s="5" t="str">
        <f>IF(Table2[[#This Row],[Advance Amount]]=Table2[[#This Row],[Expense Amount]]+Table2[[#This Row],[Return Amount]]+Table2[[#This Row],[Outstanding]],"Ok","Check")</f>
        <v>Ok</v>
      </c>
      <c r="N140" s="11">
        <f>IF(Table2[[#This Row],[Status]]="Settled",0,$Q$2-Table2[[#This Row],[Date]])</f>
        <v>0</v>
      </c>
      <c r="O140" s="5" t="str">
        <f>IF(Table2[[#This Row],[Age Days]]&lt;=7,"Normal",IF(Table2[[#This Row],[Age Days]]&lt;=14,"Perlu Dipantau",IF(Table2[[#This Row],[Age Days]]&lt;=30,"Perlu Ditindaklanjuti","Overdue")))</f>
        <v>Normal</v>
      </c>
    </row>
    <row r="141" spans="1:15" x14ac:dyDescent="0.3">
      <c r="A141" t="s">
        <v>225</v>
      </c>
      <c r="B141" s="3">
        <v>46056</v>
      </c>
      <c r="C141" t="s">
        <v>59</v>
      </c>
      <c r="D141" t="s">
        <v>60</v>
      </c>
      <c r="E141" t="s">
        <v>19</v>
      </c>
      <c r="F141" t="s">
        <v>14</v>
      </c>
      <c r="G141" t="s">
        <v>61</v>
      </c>
      <c r="H141" s="5">
        <v>425000</v>
      </c>
      <c r="I141" s="5">
        <v>425000</v>
      </c>
      <c r="J141" s="5">
        <v>0</v>
      </c>
      <c r="K141" s="5">
        <f>Table2[[#This Row],[Advance Amount]]-Table2[[#This Row],[Expense Amount]]-Table2[[#This Row],[Return Amount]]</f>
        <v>0</v>
      </c>
      <c r="L141" s="5" t="str">
        <f>IF(Table2[[#This Row],[Outstanding]]=0,"Settled",IF(Table2[[#This Row],[Outstanding]]&gt;0,"Outstanding"))</f>
        <v>Settled</v>
      </c>
      <c r="M141" s="5" t="str">
        <f>IF(Table2[[#This Row],[Advance Amount]]=Table2[[#This Row],[Expense Amount]]+Table2[[#This Row],[Return Amount]]+Table2[[#This Row],[Outstanding]],"Ok","Check")</f>
        <v>Ok</v>
      </c>
      <c r="N141" s="11">
        <f>IF(Table2[[#This Row],[Status]]="Settled",0,$Q$2-Table2[[#This Row],[Date]])</f>
        <v>0</v>
      </c>
      <c r="O141" s="5" t="str">
        <f>IF(Table2[[#This Row],[Age Days]]&lt;=7,"Normal",IF(Table2[[#This Row],[Age Days]]&lt;=14,"Perlu Dipantau",IF(Table2[[#This Row],[Age Days]]&lt;=30,"Perlu Ditindaklanjuti","Overdue")))</f>
        <v>Normal</v>
      </c>
    </row>
    <row r="142" spans="1:15" x14ac:dyDescent="0.3">
      <c r="A142" t="s">
        <v>226</v>
      </c>
      <c r="B142" s="3">
        <v>46057</v>
      </c>
      <c r="C142" t="s">
        <v>32</v>
      </c>
      <c r="D142" t="s">
        <v>33</v>
      </c>
      <c r="E142" t="s">
        <v>27</v>
      </c>
      <c r="F142" t="s">
        <v>20</v>
      </c>
      <c r="G142" t="s">
        <v>61</v>
      </c>
      <c r="H142" s="5">
        <v>350000</v>
      </c>
      <c r="I142" s="5">
        <v>300000</v>
      </c>
      <c r="J142" s="5">
        <v>50000</v>
      </c>
      <c r="K142" s="5">
        <f>Table2[[#This Row],[Advance Amount]]-Table2[[#This Row],[Expense Amount]]-Table2[[#This Row],[Return Amount]]</f>
        <v>0</v>
      </c>
      <c r="L142" s="5" t="str">
        <f>IF(Table2[[#This Row],[Outstanding]]=0,"Settled",IF(Table2[[#This Row],[Outstanding]]&gt;0,"Outstanding"))</f>
        <v>Settled</v>
      </c>
      <c r="M142" s="5" t="str">
        <f>IF(Table2[[#This Row],[Advance Amount]]=Table2[[#This Row],[Expense Amount]]+Table2[[#This Row],[Return Amount]]+Table2[[#This Row],[Outstanding]],"Ok","Check")</f>
        <v>Ok</v>
      </c>
      <c r="N142" s="11">
        <f>IF(Table2[[#This Row],[Status]]="Settled",0,$Q$2-Table2[[#This Row],[Date]])</f>
        <v>0</v>
      </c>
      <c r="O142" s="5" t="str">
        <f>IF(Table2[[#This Row],[Age Days]]&lt;=7,"Normal",IF(Table2[[#This Row],[Age Days]]&lt;=14,"Perlu Dipantau",IF(Table2[[#This Row],[Age Days]]&lt;=30,"Perlu Ditindaklanjuti","Overdue")))</f>
        <v>Normal</v>
      </c>
    </row>
    <row r="143" spans="1:15" x14ac:dyDescent="0.3">
      <c r="A143" t="s">
        <v>227</v>
      </c>
      <c r="B143" s="3">
        <v>46057</v>
      </c>
      <c r="C143" t="s">
        <v>48</v>
      </c>
      <c r="D143" t="s">
        <v>49</v>
      </c>
      <c r="E143" t="s">
        <v>19</v>
      </c>
      <c r="F143" t="s">
        <v>14</v>
      </c>
      <c r="G143" t="s">
        <v>57</v>
      </c>
      <c r="H143" s="5">
        <v>480000</v>
      </c>
      <c r="I143" s="5">
        <v>450000</v>
      </c>
      <c r="J143" s="5">
        <v>30000</v>
      </c>
      <c r="K143" s="5">
        <f>Table2[[#This Row],[Advance Amount]]-Table2[[#This Row],[Expense Amount]]-Table2[[#This Row],[Return Amount]]</f>
        <v>0</v>
      </c>
      <c r="L143" s="5" t="str">
        <f>IF(Table2[[#This Row],[Outstanding]]=0,"Settled",IF(Table2[[#This Row],[Outstanding]]&gt;0,"Outstanding"))</f>
        <v>Settled</v>
      </c>
      <c r="M143" s="5" t="str">
        <f>IF(Table2[[#This Row],[Advance Amount]]=Table2[[#This Row],[Expense Amount]]+Table2[[#This Row],[Return Amount]]+Table2[[#This Row],[Outstanding]],"Ok","Check")</f>
        <v>Ok</v>
      </c>
      <c r="N143" s="11">
        <f>IF(Table2[[#This Row],[Status]]="Settled",0,$Q$2-Table2[[#This Row],[Date]])</f>
        <v>0</v>
      </c>
      <c r="O143" s="5" t="str">
        <f>IF(Table2[[#This Row],[Age Days]]&lt;=7,"Normal",IF(Table2[[#This Row],[Age Days]]&lt;=14,"Perlu Dipantau",IF(Table2[[#This Row],[Age Days]]&lt;=30,"Perlu Ditindaklanjuti","Overdue")))</f>
        <v>Normal</v>
      </c>
    </row>
    <row r="144" spans="1:15" x14ac:dyDescent="0.3">
      <c r="A144" t="s">
        <v>228</v>
      </c>
      <c r="B144" s="3">
        <v>46057</v>
      </c>
      <c r="C144" t="s">
        <v>11</v>
      </c>
      <c r="D144" t="s">
        <v>12</v>
      </c>
      <c r="E144" t="s">
        <v>13</v>
      </c>
      <c r="F144" t="s">
        <v>14</v>
      </c>
      <c r="G144" t="s">
        <v>61</v>
      </c>
      <c r="H144" s="5">
        <v>325000</v>
      </c>
      <c r="I144" s="5">
        <v>0</v>
      </c>
      <c r="J144" s="5">
        <v>0</v>
      </c>
      <c r="K144" s="5">
        <f>Table2[[#This Row],[Advance Amount]]-Table2[[#This Row],[Expense Amount]]-Table2[[#This Row],[Return Amount]]</f>
        <v>325000</v>
      </c>
      <c r="L144" s="5" t="str">
        <f>IF(Table2[[#This Row],[Outstanding]]=0,"Settled",IF(Table2[[#This Row],[Outstanding]]&gt;0,"Outstanding"))</f>
        <v>Outstanding</v>
      </c>
      <c r="M144" s="5" t="str">
        <f>IF(Table2[[#This Row],[Advance Amount]]=Table2[[#This Row],[Expense Amount]]+Table2[[#This Row],[Return Amount]]+Table2[[#This Row],[Outstanding]],"Ok","Check")</f>
        <v>Ok</v>
      </c>
      <c r="N144" s="11">
        <f>IF(Table2[[#This Row],[Status]]="Settled",0,$Q$2-Table2[[#This Row],[Date]])</f>
        <v>208</v>
      </c>
      <c r="O144" s="5" t="str">
        <f>IF(Table2[[#This Row],[Age Days]]&lt;=7,"Normal",IF(Table2[[#This Row],[Age Days]]&lt;=14,"Perlu Dipantau",IF(Table2[[#This Row],[Age Days]]&lt;=30,"Perlu Ditindaklanjuti","Overdue")))</f>
        <v>Overdue</v>
      </c>
    </row>
    <row r="145" spans="1:15" x14ac:dyDescent="0.3">
      <c r="A145" t="s">
        <v>229</v>
      </c>
      <c r="B145" s="3">
        <v>46057</v>
      </c>
      <c r="C145" t="s">
        <v>38</v>
      </c>
      <c r="D145" t="s">
        <v>39</v>
      </c>
      <c r="E145" t="s">
        <v>24</v>
      </c>
      <c r="F145" t="s">
        <v>14</v>
      </c>
      <c r="G145" t="s">
        <v>15</v>
      </c>
      <c r="H145" s="5">
        <v>1550000</v>
      </c>
      <c r="I145" s="5">
        <v>1150000</v>
      </c>
      <c r="J145" s="5">
        <v>400000</v>
      </c>
      <c r="K145" s="5">
        <f>Table2[[#This Row],[Advance Amount]]-Table2[[#This Row],[Expense Amount]]-Table2[[#This Row],[Return Amount]]</f>
        <v>0</v>
      </c>
      <c r="L145" s="5" t="str">
        <f>IF(Table2[[#This Row],[Outstanding]]=0,"Settled",IF(Table2[[#This Row],[Outstanding]]&gt;0,"Outstanding"))</f>
        <v>Settled</v>
      </c>
      <c r="M145" s="5" t="str">
        <f>IF(Table2[[#This Row],[Advance Amount]]=Table2[[#This Row],[Expense Amount]]+Table2[[#This Row],[Return Amount]]+Table2[[#This Row],[Outstanding]],"Ok","Check")</f>
        <v>Ok</v>
      </c>
      <c r="N145" s="11">
        <f>IF(Table2[[#This Row],[Status]]="Settled",0,$Q$2-Table2[[#This Row],[Date]])</f>
        <v>0</v>
      </c>
      <c r="O145" s="5" t="str">
        <f>IF(Table2[[#This Row],[Age Days]]&lt;=7,"Normal",IF(Table2[[#This Row],[Age Days]]&lt;=14,"Perlu Dipantau",IF(Table2[[#This Row],[Age Days]]&lt;=30,"Perlu Ditindaklanjuti","Overdue")))</f>
        <v>Normal</v>
      </c>
    </row>
    <row r="146" spans="1:15" x14ac:dyDescent="0.3">
      <c r="A146" t="s">
        <v>230</v>
      </c>
      <c r="B146" s="3">
        <v>46057</v>
      </c>
      <c r="C146" t="s">
        <v>17</v>
      </c>
      <c r="D146" t="s">
        <v>18</v>
      </c>
      <c r="E146" t="s">
        <v>19</v>
      </c>
      <c r="F146" t="s">
        <v>20</v>
      </c>
      <c r="G146" t="s">
        <v>34</v>
      </c>
      <c r="H146" s="5">
        <v>300000</v>
      </c>
      <c r="I146" s="5">
        <v>225000</v>
      </c>
      <c r="J146" s="5">
        <v>75000</v>
      </c>
      <c r="K146" s="5">
        <f>Table2[[#This Row],[Advance Amount]]-Table2[[#This Row],[Expense Amount]]-Table2[[#This Row],[Return Amount]]</f>
        <v>0</v>
      </c>
      <c r="L146" s="5" t="str">
        <f>IF(Table2[[#This Row],[Outstanding]]=0,"Settled",IF(Table2[[#This Row],[Outstanding]]&gt;0,"Outstanding"))</f>
        <v>Settled</v>
      </c>
      <c r="M146" s="5" t="str">
        <f>IF(Table2[[#This Row],[Advance Amount]]=Table2[[#This Row],[Expense Amount]]+Table2[[#This Row],[Return Amount]]+Table2[[#This Row],[Outstanding]],"Ok","Check")</f>
        <v>Ok</v>
      </c>
      <c r="N146" s="11">
        <f>IF(Table2[[#This Row],[Status]]="Settled",0,$Q$2-Table2[[#This Row],[Date]])</f>
        <v>0</v>
      </c>
      <c r="O146" s="5" t="str">
        <f>IF(Table2[[#This Row],[Age Days]]&lt;=7,"Normal",IF(Table2[[#This Row],[Age Days]]&lt;=14,"Perlu Dipantau",IF(Table2[[#This Row],[Age Days]]&lt;=30,"Perlu Ditindaklanjuti","Overdue")))</f>
        <v>Normal</v>
      </c>
    </row>
    <row r="147" spans="1:15" x14ac:dyDescent="0.3">
      <c r="A147" t="s">
        <v>231</v>
      </c>
      <c r="B147" s="3">
        <v>46057</v>
      </c>
      <c r="C147" t="s">
        <v>59</v>
      </c>
      <c r="D147" t="s">
        <v>60</v>
      </c>
      <c r="E147" t="s">
        <v>19</v>
      </c>
      <c r="F147" t="s">
        <v>20</v>
      </c>
      <c r="G147" t="s">
        <v>57</v>
      </c>
      <c r="H147" s="5">
        <v>280000</v>
      </c>
      <c r="I147" s="5">
        <v>0</v>
      </c>
      <c r="J147" s="5">
        <v>0</v>
      </c>
      <c r="K147" s="5">
        <f>Table2[[#This Row],[Advance Amount]]-Table2[[#This Row],[Expense Amount]]-Table2[[#This Row],[Return Amount]]</f>
        <v>280000</v>
      </c>
      <c r="L147" s="5" t="str">
        <f>IF(Table2[[#This Row],[Outstanding]]=0,"Settled",IF(Table2[[#This Row],[Outstanding]]&gt;0,"Outstanding"))</f>
        <v>Outstanding</v>
      </c>
      <c r="M147" s="5" t="str">
        <f>IF(Table2[[#This Row],[Advance Amount]]=Table2[[#This Row],[Expense Amount]]+Table2[[#This Row],[Return Amount]]+Table2[[#This Row],[Outstanding]],"Ok","Check")</f>
        <v>Ok</v>
      </c>
      <c r="N147" s="11">
        <f>IF(Table2[[#This Row],[Status]]="Settled",0,$Q$2-Table2[[#This Row],[Date]])</f>
        <v>208</v>
      </c>
      <c r="O147" s="5" t="str">
        <f>IF(Table2[[#This Row],[Age Days]]&lt;=7,"Normal",IF(Table2[[#This Row],[Age Days]]&lt;=14,"Perlu Dipantau",IF(Table2[[#This Row],[Age Days]]&lt;=30,"Perlu Ditindaklanjuti","Overdue")))</f>
        <v>Overdue</v>
      </c>
    </row>
    <row r="148" spans="1:15" x14ac:dyDescent="0.3">
      <c r="A148" t="s">
        <v>232</v>
      </c>
      <c r="B148" s="3">
        <v>46058</v>
      </c>
      <c r="C148" t="s">
        <v>50</v>
      </c>
      <c r="D148" t="s">
        <v>51</v>
      </c>
      <c r="E148" t="s">
        <v>52</v>
      </c>
      <c r="F148" t="s">
        <v>20</v>
      </c>
      <c r="G148" t="s">
        <v>28</v>
      </c>
      <c r="H148" s="5">
        <v>55000</v>
      </c>
      <c r="I148" s="5">
        <v>50000</v>
      </c>
      <c r="J148" s="5">
        <v>5000</v>
      </c>
      <c r="K148" s="5">
        <f>Table2[[#This Row],[Advance Amount]]-Table2[[#This Row],[Expense Amount]]-Table2[[#This Row],[Return Amount]]</f>
        <v>0</v>
      </c>
      <c r="L148" s="5" t="str">
        <f>IF(Table2[[#This Row],[Outstanding]]=0,"Settled",IF(Table2[[#This Row],[Outstanding]]&gt;0,"Outstanding"))</f>
        <v>Settled</v>
      </c>
      <c r="M148" s="5" t="str">
        <f>IF(Table2[[#This Row],[Advance Amount]]=Table2[[#This Row],[Expense Amount]]+Table2[[#This Row],[Return Amount]]+Table2[[#This Row],[Outstanding]],"Ok","Check")</f>
        <v>Ok</v>
      </c>
      <c r="N148" s="11">
        <f>IF(Table2[[#This Row],[Status]]="Settled",0,$Q$2-Table2[[#This Row],[Date]])</f>
        <v>0</v>
      </c>
      <c r="O148" s="5" t="str">
        <f>IF(Table2[[#This Row],[Age Days]]&lt;=7,"Normal",IF(Table2[[#This Row],[Age Days]]&lt;=14,"Perlu Dipantau",IF(Table2[[#This Row],[Age Days]]&lt;=30,"Perlu Ditindaklanjuti","Overdue")))</f>
        <v>Normal</v>
      </c>
    </row>
    <row r="149" spans="1:15" x14ac:dyDescent="0.3">
      <c r="A149" t="s">
        <v>233</v>
      </c>
      <c r="B149" s="3">
        <v>46058</v>
      </c>
      <c r="C149" t="s">
        <v>50</v>
      </c>
      <c r="D149" t="s">
        <v>51</v>
      </c>
      <c r="E149" t="s">
        <v>52</v>
      </c>
      <c r="F149" t="s">
        <v>20</v>
      </c>
      <c r="G149" t="s">
        <v>58</v>
      </c>
      <c r="H149" s="5">
        <v>775000</v>
      </c>
      <c r="I149" s="5">
        <v>625000</v>
      </c>
      <c r="J149" s="5">
        <v>150000</v>
      </c>
      <c r="K149" s="5">
        <f>Table2[[#This Row],[Advance Amount]]-Table2[[#This Row],[Expense Amount]]-Table2[[#This Row],[Return Amount]]</f>
        <v>0</v>
      </c>
      <c r="L149" s="5" t="str">
        <f>IF(Table2[[#This Row],[Outstanding]]=0,"Settled",IF(Table2[[#This Row],[Outstanding]]&gt;0,"Outstanding"))</f>
        <v>Settled</v>
      </c>
      <c r="M149" s="5" t="str">
        <f>IF(Table2[[#This Row],[Advance Amount]]=Table2[[#This Row],[Expense Amount]]+Table2[[#This Row],[Return Amount]]+Table2[[#This Row],[Outstanding]],"Ok","Check")</f>
        <v>Ok</v>
      </c>
      <c r="N149" s="11">
        <f>IF(Table2[[#This Row],[Status]]="Settled",0,$Q$2-Table2[[#This Row],[Date]])</f>
        <v>0</v>
      </c>
      <c r="O149" s="5" t="str">
        <f>IF(Table2[[#This Row],[Age Days]]&lt;=7,"Normal",IF(Table2[[#This Row],[Age Days]]&lt;=14,"Perlu Dipantau",IF(Table2[[#This Row],[Age Days]]&lt;=30,"Perlu Ditindaklanjuti","Overdue")))</f>
        <v>Normal</v>
      </c>
    </row>
    <row r="150" spans="1:15" x14ac:dyDescent="0.3">
      <c r="A150" t="s">
        <v>234</v>
      </c>
      <c r="B150" s="3">
        <v>46058</v>
      </c>
      <c r="C150" t="s">
        <v>66</v>
      </c>
      <c r="D150" t="s">
        <v>67</v>
      </c>
      <c r="E150" t="s">
        <v>13</v>
      </c>
      <c r="F150" t="s">
        <v>20</v>
      </c>
      <c r="G150" t="s">
        <v>58</v>
      </c>
      <c r="H150" s="5">
        <v>925000</v>
      </c>
      <c r="I150" s="5">
        <v>750000</v>
      </c>
      <c r="J150" s="5">
        <v>175000</v>
      </c>
      <c r="K150" s="5">
        <f>Table2[[#This Row],[Advance Amount]]-Table2[[#This Row],[Expense Amount]]-Table2[[#This Row],[Return Amount]]</f>
        <v>0</v>
      </c>
      <c r="L150" s="5" t="str">
        <f>IF(Table2[[#This Row],[Outstanding]]=0,"Settled",IF(Table2[[#This Row],[Outstanding]]&gt;0,"Outstanding"))</f>
        <v>Settled</v>
      </c>
      <c r="M150" s="5" t="str">
        <f>IF(Table2[[#This Row],[Advance Amount]]=Table2[[#This Row],[Expense Amount]]+Table2[[#This Row],[Return Amount]]+Table2[[#This Row],[Outstanding]],"Ok","Check")</f>
        <v>Ok</v>
      </c>
      <c r="N150" s="11">
        <f>IF(Table2[[#This Row],[Status]]="Settled",0,$Q$2-Table2[[#This Row],[Date]])</f>
        <v>0</v>
      </c>
      <c r="O150" s="5" t="str">
        <f>IF(Table2[[#This Row],[Age Days]]&lt;=7,"Normal",IF(Table2[[#This Row],[Age Days]]&lt;=14,"Perlu Dipantau",IF(Table2[[#This Row],[Age Days]]&lt;=30,"Perlu Ditindaklanjuti","Overdue")))</f>
        <v>Normal</v>
      </c>
    </row>
    <row r="151" spans="1:15" x14ac:dyDescent="0.3">
      <c r="A151" t="s">
        <v>235</v>
      </c>
      <c r="B151" s="3">
        <v>46058</v>
      </c>
      <c r="C151" t="s">
        <v>22</v>
      </c>
      <c r="D151" t="s">
        <v>23</v>
      </c>
      <c r="E151" t="s">
        <v>24</v>
      </c>
      <c r="F151" t="s">
        <v>14</v>
      </c>
      <c r="G151" t="s">
        <v>58</v>
      </c>
      <c r="H151" s="5">
        <v>850000</v>
      </c>
      <c r="I151" s="5">
        <v>625000</v>
      </c>
      <c r="J151" s="5">
        <v>225000</v>
      </c>
      <c r="K151" s="5">
        <f>Table2[[#This Row],[Advance Amount]]-Table2[[#This Row],[Expense Amount]]-Table2[[#This Row],[Return Amount]]</f>
        <v>0</v>
      </c>
      <c r="L151" s="5" t="str">
        <f>IF(Table2[[#This Row],[Outstanding]]=0,"Settled",IF(Table2[[#This Row],[Outstanding]]&gt;0,"Outstanding"))</f>
        <v>Settled</v>
      </c>
      <c r="M151" s="5" t="str">
        <f>IF(Table2[[#This Row],[Advance Amount]]=Table2[[#This Row],[Expense Amount]]+Table2[[#This Row],[Return Amount]]+Table2[[#This Row],[Outstanding]],"Ok","Check")</f>
        <v>Ok</v>
      </c>
      <c r="N151" s="11">
        <f>IF(Table2[[#This Row],[Status]]="Settled",0,$Q$2-Table2[[#This Row],[Date]])</f>
        <v>0</v>
      </c>
      <c r="O151" s="5" t="str">
        <f>IF(Table2[[#This Row],[Age Days]]&lt;=7,"Normal",IF(Table2[[#This Row],[Age Days]]&lt;=14,"Perlu Dipantau",IF(Table2[[#This Row],[Age Days]]&lt;=30,"Perlu Ditindaklanjuti","Overdue")))</f>
        <v>Normal</v>
      </c>
    </row>
    <row r="152" spans="1:15" x14ac:dyDescent="0.3">
      <c r="A152" t="s">
        <v>236</v>
      </c>
      <c r="B152" s="3">
        <v>46059</v>
      </c>
      <c r="C152" t="s">
        <v>29</v>
      </c>
      <c r="D152" t="s">
        <v>30</v>
      </c>
      <c r="E152" t="s">
        <v>13</v>
      </c>
      <c r="F152" t="s">
        <v>20</v>
      </c>
      <c r="G152" t="s">
        <v>34</v>
      </c>
      <c r="H152" s="5">
        <v>275000</v>
      </c>
      <c r="I152" s="5">
        <v>200000</v>
      </c>
      <c r="J152" s="5">
        <v>75000</v>
      </c>
      <c r="K152" s="5">
        <f>Table2[[#This Row],[Advance Amount]]-Table2[[#This Row],[Expense Amount]]-Table2[[#This Row],[Return Amount]]</f>
        <v>0</v>
      </c>
      <c r="L152" s="5" t="str">
        <f>IF(Table2[[#This Row],[Outstanding]]=0,"Settled",IF(Table2[[#This Row],[Outstanding]]&gt;0,"Outstanding"))</f>
        <v>Settled</v>
      </c>
      <c r="M152" s="5" t="str">
        <f>IF(Table2[[#This Row],[Advance Amount]]=Table2[[#This Row],[Expense Amount]]+Table2[[#This Row],[Return Amount]]+Table2[[#This Row],[Outstanding]],"Ok","Check")</f>
        <v>Ok</v>
      </c>
      <c r="N152" s="11">
        <f>IF(Table2[[#This Row],[Status]]="Settled",0,$Q$2-Table2[[#This Row],[Date]])</f>
        <v>0</v>
      </c>
      <c r="O152" s="5" t="str">
        <f>IF(Table2[[#This Row],[Age Days]]&lt;=7,"Normal",IF(Table2[[#This Row],[Age Days]]&lt;=14,"Perlu Dipantau",IF(Table2[[#This Row],[Age Days]]&lt;=30,"Perlu Ditindaklanjuti","Overdue")))</f>
        <v>Normal</v>
      </c>
    </row>
    <row r="153" spans="1:15" x14ac:dyDescent="0.3">
      <c r="A153" t="s">
        <v>237</v>
      </c>
      <c r="B153" s="3">
        <v>46059</v>
      </c>
      <c r="C153" t="s">
        <v>32</v>
      </c>
      <c r="D153" t="s">
        <v>33</v>
      </c>
      <c r="E153" t="s">
        <v>27</v>
      </c>
      <c r="F153" t="s">
        <v>14</v>
      </c>
      <c r="G153" t="s">
        <v>61</v>
      </c>
      <c r="H153" s="5">
        <v>600000</v>
      </c>
      <c r="I153" s="5">
        <v>450000</v>
      </c>
      <c r="J153" s="5">
        <v>150000</v>
      </c>
      <c r="K153" s="5">
        <f>Table2[[#This Row],[Advance Amount]]-Table2[[#This Row],[Expense Amount]]-Table2[[#This Row],[Return Amount]]</f>
        <v>0</v>
      </c>
      <c r="L153" s="5" t="str">
        <f>IF(Table2[[#This Row],[Outstanding]]=0,"Settled",IF(Table2[[#This Row],[Outstanding]]&gt;0,"Outstanding"))</f>
        <v>Settled</v>
      </c>
      <c r="M153" s="5" t="str">
        <f>IF(Table2[[#This Row],[Advance Amount]]=Table2[[#This Row],[Expense Amount]]+Table2[[#This Row],[Return Amount]]+Table2[[#This Row],[Outstanding]],"Ok","Check")</f>
        <v>Ok</v>
      </c>
      <c r="N153" s="11">
        <f>IF(Table2[[#This Row],[Status]]="Settled",0,$Q$2-Table2[[#This Row],[Date]])</f>
        <v>0</v>
      </c>
      <c r="O153" s="5" t="str">
        <f>IF(Table2[[#This Row],[Age Days]]&lt;=7,"Normal",IF(Table2[[#This Row],[Age Days]]&lt;=14,"Perlu Dipantau",IF(Table2[[#This Row],[Age Days]]&lt;=30,"Perlu Ditindaklanjuti","Overdue")))</f>
        <v>Normal</v>
      </c>
    </row>
    <row r="154" spans="1:15" x14ac:dyDescent="0.3">
      <c r="A154" t="s">
        <v>238</v>
      </c>
      <c r="B154" s="3">
        <v>46059</v>
      </c>
      <c r="C154" t="s">
        <v>62</v>
      </c>
      <c r="D154" t="s">
        <v>63</v>
      </c>
      <c r="E154" t="s">
        <v>52</v>
      </c>
      <c r="F154" t="s">
        <v>14</v>
      </c>
      <c r="G154" t="s">
        <v>15</v>
      </c>
      <c r="H154" s="5">
        <v>3650000</v>
      </c>
      <c r="I154" s="5">
        <v>2775000</v>
      </c>
      <c r="J154" s="5">
        <v>875000</v>
      </c>
      <c r="K154" s="5">
        <f>Table2[[#This Row],[Advance Amount]]-Table2[[#This Row],[Expense Amount]]-Table2[[#This Row],[Return Amount]]</f>
        <v>0</v>
      </c>
      <c r="L154" s="5" t="str">
        <f>IF(Table2[[#This Row],[Outstanding]]=0,"Settled",IF(Table2[[#This Row],[Outstanding]]&gt;0,"Outstanding"))</f>
        <v>Settled</v>
      </c>
      <c r="M154" s="5" t="str">
        <f>IF(Table2[[#This Row],[Advance Amount]]=Table2[[#This Row],[Expense Amount]]+Table2[[#This Row],[Return Amount]]+Table2[[#This Row],[Outstanding]],"Ok","Check")</f>
        <v>Ok</v>
      </c>
      <c r="N154" s="11">
        <f>IF(Table2[[#This Row],[Status]]="Settled",0,$Q$2-Table2[[#This Row],[Date]])</f>
        <v>0</v>
      </c>
      <c r="O154" s="5" t="str">
        <f>IF(Table2[[#This Row],[Age Days]]&lt;=7,"Normal",IF(Table2[[#This Row],[Age Days]]&lt;=14,"Perlu Dipantau",IF(Table2[[#This Row],[Age Days]]&lt;=30,"Perlu Ditindaklanjuti","Overdue")))</f>
        <v>Normal</v>
      </c>
    </row>
    <row r="155" spans="1:15" x14ac:dyDescent="0.3">
      <c r="A155" t="s">
        <v>239</v>
      </c>
      <c r="B155" s="3">
        <v>46059</v>
      </c>
      <c r="C155" t="s">
        <v>41</v>
      </c>
      <c r="D155" t="s">
        <v>42</v>
      </c>
      <c r="E155" t="s">
        <v>43</v>
      </c>
      <c r="F155" t="s">
        <v>14</v>
      </c>
      <c r="G155" t="s">
        <v>40</v>
      </c>
      <c r="H155" s="5">
        <v>450000</v>
      </c>
      <c r="I155" s="5">
        <v>375000</v>
      </c>
      <c r="J155" s="5">
        <v>75000</v>
      </c>
      <c r="K155" s="5">
        <f>Table2[[#This Row],[Advance Amount]]-Table2[[#This Row],[Expense Amount]]-Table2[[#This Row],[Return Amount]]</f>
        <v>0</v>
      </c>
      <c r="L155" s="5" t="str">
        <f>IF(Table2[[#This Row],[Outstanding]]=0,"Settled",IF(Table2[[#This Row],[Outstanding]]&gt;0,"Outstanding"))</f>
        <v>Settled</v>
      </c>
      <c r="M155" s="5" t="str">
        <f>IF(Table2[[#This Row],[Advance Amount]]=Table2[[#This Row],[Expense Amount]]+Table2[[#This Row],[Return Amount]]+Table2[[#This Row],[Outstanding]],"Ok","Check")</f>
        <v>Ok</v>
      </c>
      <c r="N155" s="11">
        <f>IF(Table2[[#This Row],[Status]]="Settled",0,$Q$2-Table2[[#This Row],[Date]])</f>
        <v>0</v>
      </c>
      <c r="O155" s="5" t="str">
        <f>IF(Table2[[#This Row],[Age Days]]&lt;=7,"Normal",IF(Table2[[#This Row],[Age Days]]&lt;=14,"Perlu Dipantau",IF(Table2[[#This Row],[Age Days]]&lt;=30,"Perlu Ditindaklanjuti","Overdue")))</f>
        <v>Normal</v>
      </c>
    </row>
    <row r="156" spans="1:15" x14ac:dyDescent="0.3">
      <c r="A156" t="s">
        <v>240</v>
      </c>
      <c r="B156" s="3">
        <v>46059</v>
      </c>
      <c r="C156" t="s">
        <v>53</v>
      </c>
      <c r="D156" t="s">
        <v>54</v>
      </c>
      <c r="E156" t="s">
        <v>43</v>
      </c>
      <c r="F156" t="s">
        <v>14</v>
      </c>
      <c r="G156" t="s">
        <v>58</v>
      </c>
      <c r="H156" s="5">
        <v>400000</v>
      </c>
      <c r="I156" s="5">
        <v>325000</v>
      </c>
      <c r="J156" s="5">
        <v>75000</v>
      </c>
      <c r="K156" s="5">
        <f>Table2[[#This Row],[Advance Amount]]-Table2[[#This Row],[Expense Amount]]-Table2[[#This Row],[Return Amount]]</f>
        <v>0</v>
      </c>
      <c r="L156" s="5" t="str">
        <f>IF(Table2[[#This Row],[Outstanding]]=0,"Settled",IF(Table2[[#This Row],[Outstanding]]&gt;0,"Outstanding"))</f>
        <v>Settled</v>
      </c>
      <c r="M156" s="5" t="str">
        <f>IF(Table2[[#This Row],[Advance Amount]]=Table2[[#This Row],[Expense Amount]]+Table2[[#This Row],[Return Amount]]+Table2[[#This Row],[Outstanding]],"Ok","Check")</f>
        <v>Ok</v>
      </c>
      <c r="N156" s="11">
        <f>IF(Table2[[#This Row],[Status]]="Settled",0,$Q$2-Table2[[#This Row],[Date]])</f>
        <v>0</v>
      </c>
      <c r="O156" s="5" t="str">
        <f>IF(Table2[[#This Row],[Age Days]]&lt;=7,"Normal",IF(Table2[[#This Row],[Age Days]]&lt;=14,"Perlu Dipantau",IF(Table2[[#This Row],[Age Days]]&lt;=30,"Perlu Ditindaklanjuti","Overdue")))</f>
        <v>Normal</v>
      </c>
    </row>
    <row r="157" spans="1:15" x14ac:dyDescent="0.3">
      <c r="A157" t="s">
        <v>241</v>
      </c>
      <c r="B157" s="3">
        <v>46059</v>
      </c>
      <c r="C157" t="s">
        <v>59</v>
      </c>
      <c r="D157" t="s">
        <v>60</v>
      </c>
      <c r="E157" t="s">
        <v>19</v>
      </c>
      <c r="F157" t="s">
        <v>20</v>
      </c>
      <c r="G157" t="s">
        <v>61</v>
      </c>
      <c r="H157" s="5">
        <v>300000</v>
      </c>
      <c r="I157" s="5">
        <v>275000</v>
      </c>
      <c r="J157" s="5">
        <v>25000</v>
      </c>
      <c r="K157" s="5">
        <f>Table2[[#This Row],[Advance Amount]]-Table2[[#This Row],[Expense Amount]]-Table2[[#This Row],[Return Amount]]</f>
        <v>0</v>
      </c>
      <c r="L157" s="5" t="str">
        <f>IF(Table2[[#This Row],[Outstanding]]=0,"Settled",IF(Table2[[#This Row],[Outstanding]]&gt;0,"Outstanding"))</f>
        <v>Settled</v>
      </c>
      <c r="M157" s="5" t="str">
        <f>IF(Table2[[#This Row],[Advance Amount]]=Table2[[#This Row],[Expense Amount]]+Table2[[#This Row],[Return Amount]]+Table2[[#This Row],[Outstanding]],"Ok","Check")</f>
        <v>Ok</v>
      </c>
      <c r="N157" s="11">
        <f>IF(Table2[[#This Row],[Status]]="Settled",0,$Q$2-Table2[[#This Row],[Date]])</f>
        <v>0</v>
      </c>
      <c r="O157" s="5" t="str">
        <f>IF(Table2[[#This Row],[Age Days]]&lt;=7,"Normal",IF(Table2[[#This Row],[Age Days]]&lt;=14,"Perlu Dipantau",IF(Table2[[#This Row],[Age Days]]&lt;=30,"Perlu Ditindaklanjuti","Overdue")))</f>
        <v>Normal</v>
      </c>
    </row>
    <row r="158" spans="1:15" x14ac:dyDescent="0.3">
      <c r="A158" t="s">
        <v>242</v>
      </c>
      <c r="B158" s="3">
        <v>46060</v>
      </c>
      <c r="C158" t="s">
        <v>46</v>
      </c>
      <c r="D158" t="s">
        <v>47</v>
      </c>
      <c r="E158" t="s">
        <v>37</v>
      </c>
      <c r="F158" t="s">
        <v>20</v>
      </c>
      <c r="G158" t="s">
        <v>57</v>
      </c>
      <c r="H158" s="5">
        <v>355000</v>
      </c>
      <c r="I158" s="5">
        <v>350000</v>
      </c>
      <c r="J158" s="5">
        <v>5000</v>
      </c>
      <c r="K158" s="5">
        <f>Table2[[#This Row],[Advance Amount]]-Table2[[#This Row],[Expense Amount]]-Table2[[#This Row],[Return Amount]]</f>
        <v>0</v>
      </c>
      <c r="L158" s="5" t="str">
        <f>IF(Table2[[#This Row],[Outstanding]]=0,"Settled",IF(Table2[[#This Row],[Outstanding]]&gt;0,"Outstanding"))</f>
        <v>Settled</v>
      </c>
      <c r="M158" s="5" t="str">
        <f>IF(Table2[[#This Row],[Advance Amount]]=Table2[[#This Row],[Expense Amount]]+Table2[[#This Row],[Return Amount]]+Table2[[#This Row],[Outstanding]],"Ok","Check")</f>
        <v>Ok</v>
      </c>
      <c r="N158" s="11">
        <f>IF(Table2[[#This Row],[Status]]="Settled",0,$Q$2-Table2[[#This Row],[Date]])</f>
        <v>0</v>
      </c>
      <c r="O158" s="5" t="str">
        <f>IF(Table2[[#This Row],[Age Days]]&lt;=7,"Normal",IF(Table2[[#This Row],[Age Days]]&lt;=14,"Perlu Dipantau",IF(Table2[[#This Row],[Age Days]]&lt;=30,"Perlu Ditindaklanjuti","Overdue")))</f>
        <v>Normal</v>
      </c>
    </row>
    <row r="159" spans="1:15" x14ac:dyDescent="0.3">
      <c r="A159" t="s">
        <v>243</v>
      </c>
      <c r="B159" s="3">
        <v>46060</v>
      </c>
      <c r="C159" t="s">
        <v>64</v>
      </c>
      <c r="D159" t="s">
        <v>65</v>
      </c>
      <c r="E159" t="s">
        <v>37</v>
      </c>
      <c r="F159" t="s">
        <v>14</v>
      </c>
      <c r="G159" t="s">
        <v>31</v>
      </c>
      <c r="H159" s="5">
        <v>1275000</v>
      </c>
      <c r="I159" s="5">
        <v>1125000</v>
      </c>
      <c r="J159" s="5">
        <v>150000</v>
      </c>
      <c r="K159" s="5">
        <f>Table2[[#This Row],[Advance Amount]]-Table2[[#This Row],[Expense Amount]]-Table2[[#This Row],[Return Amount]]</f>
        <v>0</v>
      </c>
      <c r="L159" s="5" t="str">
        <f>IF(Table2[[#This Row],[Outstanding]]=0,"Settled",IF(Table2[[#This Row],[Outstanding]]&gt;0,"Outstanding"))</f>
        <v>Settled</v>
      </c>
      <c r="M159" s="5" t="str">
        <f>IF(Table2[[#This Row],[Advance Amount]]=Table2[[#This Row],[Expense Amount]]+Table2[[#This Row],[Return Amount]]+Table2[[#This Row],[Outstanding]],"Ok","Check")</f>
        <v>Ok</v>
      </c>
      <c r="N159" s="11">
        <f>IF(Table2[[#This Row],[Status]]="Settled",0,$Q$2-Table2[[#This Row],[Date]])</f>
        <v>0</v>
      </c>
      <c r="O159" s="5" t="str">
        <f>IF(Table2[[#This Row],[Age Days]]&lt;=7,"Normal",IF(Table2[[#This Row],[Age Days]]&lt;=14,"Perlu Dipantau",IF(Table2[[#This Row],[Age Days]]&lt;=30,"Perlu Ditindaklanjuti","Overdue")))</f>
        <v>Normal</v>
      </c>
    </row>
    <row r="160" spans="1:15" x14ac:dyDescent="0.3">
      <c r="A160" t="s">
        <v>244</v>
      </c>
      <c r="B160" s="3">
        <v>46060</v>
      </c>
      <c r="C160" t="s">
        <v>59</v>
      </c>
      <c r="D160" t="s">
        <v>60</v>
      </c>
      <c r="E160" t="s">
        <v>19</v>
      </c>
      <c r="F160" t="s">
        <v>14</v>
      </c>
      <c r="G160" t="s">
        <v>15</v>
      </c>
      <c r="H160" s="5">
        <v>3425000</v>
      </c>
      <c r="I160" s="5">
        <v>2700000</v>
      </c>
      <c r="J160" s="5">
        <v>725000</v>
      </c>
      <c r="K160" s="5">
        <f>Table2[[#This Row],[Advance Amount]]-Table2[[#This Row],[Expense Amount]]-Table2[[#This Row],[Return Amount]]</f>
        <v>0</v>
      </c>
      <c r="L160" s="5" t="str">
        <f>IF(Table2[[#This Row],[Outstanding]]=0,"Settled",IF(Table2[[#This Row],[Outstanding]]&gt;0,"Outstanding"))</f>
        <v>Settled</v>
      </c>
      <c r="M160" s="5" t="str">
        <f>IF(Table2[[#This Row],[Advance Amount]]=Table2[[#This Row],[Expense Amount]]+Table2[[#This Row],[Return Amount]]+Table2[[#This Row],[Outstanding]],"Ok","Check")</f>
        <v>Ok</v>
      </c>
      <c r="N160" s="11">
        <f>IF(Table2[[#This Row],[Status]]="Settled",0,$Q$2-Table2[[#This Row],[Date]])</f>
        <v>0</v>
      </c>
      <c r="O160" s="5" t="str">
        <f>IF(Table2[[#This Row],[Age Days]]&lt;=7,"Normal",IF(Table2[[#This Row],[Age Days]]&lt;=14,"Perlu Dipantau",IF(Table2[[#This Row],[Age Days]]&lt;=30,"Perlu Ditindaklanjuti","Overdue")))</f>
        <v>Normal</v>
      </c>
    </row>
    <row r="161" spans="1:15" x14ac:dyDescent="0.3">
      <c r="A161" t="s">
        <v>245</v>
      </c>
      <c r="B161" s="3">
        <v>46061</v>
      </c>
      <c r="C161" t="s">
        <v>29</v>
      </c>
      <c r="D161" t="s">
        <v>30</v>
      </c>
      <c r="E161" t="s">
        <v>13</v>
      </c>
      <c r="F161" t="s">
        <v>20</v>
      </c>
      <c r="G161" t="s">
        <v>15</v>
      </c>
      <c r="H161" s="5">
        <v>2600000</v>
      </c>
      <c r="I161" s="5">
        <v>2550000</v>
      </c>
      <c r="J161" s="5">
        <v>50000</v>
      </c>
      <c r="K161" s="5">
        <f>Table2[[#This Row],[Advance Amount]]-Table2[[#This Row],[Expense Amount]]-Table2[[#This Row],[Return Amount]]</f>
        <v>0</v>
      </c>
      <c r="L161" s="5" t="str">
        <f>IF(Table2[[#This Row],[Outstanding]]=0,"Settled",IF(Table2[[#This Row],[Outstanding]]&gt;0,"Outstanding"))</f>
        <v>Settled</v>
      </c>
      <c r="M161" s="5" t="str">
        <f>IF(Table2[[#This Row],[Advance Amount]]=Table2[[#This Row],[Expense Amount]]+Table2[[#This Row],[Return Amount]]+Table2[[#This Row],[Outstanding]],"Ok","Check")</f>
        <v>Ok</v>
      </c>
      <c r="N161" s="11">
        <f>IF(Table2[[#This Row],[Status]]="Settled",0,$Q$2-Table2[[#This Row],[Date]])</f>
        <v>0</v>
      </c>
      <c r="O161" s="5" t="str">
        <f>IF(Table2[[#This Row],[Age Days]]&lt;=7,"Normal",IF(Table2[[#This Row],[Age Days]]&lt;=14,"Perlu Dipantau",IF(Table2[[#This Row],[Age Days]]&lt;=30,"Perlu Ditindaklanjuti","Overdue")))</f>
        <v>Normal</v>
      </c>
    </row>
    <row r="162" spans="1:15" x14ac:dyDescent="0.3">
      <c r="A162" t="s">
        <v>246</v>
      </c>
      <c r="B162" s="3">
        <v>46061</v>
      </c>
      <c r="C162" t="s">
        <v>35</v>
      </c>
      <c r="D162" t="s">
        <v>36</v>
      </c>
      <c r="E162" t="s">
        <v>37</v>
      </c>
      <c r="F162" t="s">
        <v>20</v>
      </c>
      <c r="G162" t="s">
        <v>61</v>
      </c>
      <c r="H162" s="5">
        <v>50000</v>
      </c>
      <c r="I162" s="5">
        <v>0</v>
      </c>
      <c r="J162" s="5">
        <v>0</v>
      </c>
      <c r="K162" s="5">
        <f>Table2[[#This Row],[Advance Amount]]-Table2[[#This Row],[Expense Amount]]-Table2[[#This Row],[Return Amount]]</f>
        <v>50000</v>
      </c>
      <c r="L162" s="5" t="str">
        <f>IF(Table2[[#This Row],[Outstanding]]=0,"Settled",IF(Table2[[#This Row],[Outstanding]]&gt;0,"Outstanding"))</f>
        <v>Outstanding</v>
      </c>
      <c r="M162" s="5" t="str">
        <f>IF(Table2[[#This Row],[Advance Amount]]=Table2[[#This Row],[Expense Amount]]+Table2[[#This Row],[Return Amount]]+Table2[[#This Row],[Outstanding]],"Ok","Check")</f>
        <v>Ok</v>
      </c>
      <c r="N162" s="11">
        <f>IF(Table2[[#This Row],[Status]]="Settled",0,$Q$2-Table2[[#This Row],[Date]])</f>
        <v>204</v>
      </c>
      <c r="O162" s="5" t="str">
        <f>IF(Table2[[#This Row],[Age Days]]&lt;=7,"Normal",IF(Table2[[#This Row],[Age Days]]&lt;=14,"Perlu Dipantau",IF(Table2[[#This Row],[Age Days]]&lt;=30,"Perlu Ditindaklanjuti","Overdue")))</f>
        <v>Overdue</v>
      </c>
    </row>
    <row r="163" spans="1:15" x14ac:dyDescent="0.3">
      <c r="A163" t="s">
        <v>247</v>
      </c>
      <c r="B163" s="3">
        <v>46062</v>
      </c>
      <c r="C163" t="s">
        <v>48</v>
      </c>
      <c r="D163" t="s">
        <v>49</v>
      </c>
      <c r="E163" t="s">
        <v>19</v>
      </c>
      <c r="F163" t="s">
        <v>20</v>
      </c>
      <c r="G163" t="s">
        <v>15</v>
      </c>
      <c r="H163" s="5">
        <v>1025000</v>
      </c>
      <c r="I163" s="5">
        <v>1025000</v>
      </c>
      <c r="J163" s="5">
        <v>0</v>
      </c>
      <c r="K163" s="5">
        <f>Table2[[#This Row],[Advance Amount]]-Table2[[#This Row],[Expense Amount]]-Table2[[#This Row],[Return Amount]]</f>
        <v>0</v>
      </c>
      <c r="L163" s="5" t="str">
        <f>IF(Table2[[#This Row],[Outstanding]]=0,"Settled",IF(Table2[[#This Row],[Outstanding]]&gt;0,"Outstanding"))</f>
        <v>Settled</v>
      </c>
      <c r="M163" s="5" t="str">
        <f>IF(Table2[[#This Row],[Advance Amount]]=Table2[[#This Row],[Expense Amount]]+Table2[[#This Row],[Return Amount]]+Table2[[#This Row],[Outstanding]],"Ok","Check")</f>
        <v>Ok</v>
      </c>
      <c r="N163" s="11">
        <f>IF(Table2[[#This Row],[Status]]="Settled",0,$Q$2-Table2[[#This Row],[Date]])</f>
        <v>0</v>
      </c>
      <c r="O163" s="5" t="str">
        <f>IF(Table2[[#This Row],[Age Days]]&lt;=7,"Normal",IF(Table2[[#This Row],[Age Days]]&lt;=14,"Perlu Dipantau",IF(Table2[[#This Row],[Age Days]]&lt;=30,"Perlu Ditindaklanjuti","Overdue")))</f>
        <v>Normal</v>
      </c>
    </row>
    <row r="164" spans="1:15" x14ac:dyDescent="0.3">
      <c r="A164" t="s">
        <v>248</v>
      </c>
      <c r="B164" s="3">
        <v>46062</v>
      </c>
      <c r="C164" t="s">
        <v>35</v>
      </c>
      <c r="D164" t="s">
        <v>36</v>
      </c>
      <c r="E164" t="s">
        <v>37</v>
      </c>
      <c r="F164" t="s">
        <v>20</v>
      </c>
      <c r="G164" t="s">
        <v>34</v>
      </c>
      <c r="H164" s="5">
        <v>150000</v>
      </c>
      <c r="I164" s="5">
        <v>0</v>
      </c>
      <c r="J164" s="5">
        <v>0</v>
      </c>
      <c r="K164" s="5">
        <f>Table2[[#This Row],[Advance Amount]]-Table2[[#This Row],[Expense Amount]]-Table2[[#This Row],[Return Amount]]</f>
        <v>150000</v>
      </c>
      <c r="L164" s="5" t="str">
        <f>IF(Table2[[#This Row],[Outstanding]]=0,"Settled",IF(Table2[[#This Row],[Outstanding]]&gt;0,"Outstanding"))</f>
        <v>Outstanding</v>
      </c>
      <c r="M164" s="5" t="str">
        <f>IF(Table2[[#This Row],[Advance Amount]]=Table2[[#This Row],[Expense Amount]]+Table2[[#This Row],[Return Amount]]+Table2[[#This Row],[Outstanding]],"Ok","Check")</f>
        <v>Ok</v>
      </c>
      <c r="N164" s="11">
        <f>IF(Table2[[#This Row],[Status]]="Settled",0,$Q$2-Table2[[#This Row],[Date]])</f>
        <v>203</v>
      </c>
      <c r="O164" s="5" t="str">
        <f>IF(Table2[[#This Row],[Age Days]]&lt;=7,"Normal",IF(Table2[[#This Row],[Age Days]]&lt;=14,"Perlu Dipantau",IF(Table2[[#This Row],[Age Days]]&lt;=30,"Perlu Ditindaklanjuti","Overdue")))</f>
        <v>Overdue</v>
      </c>
    </row>
    <row r="165" spans="1:15" x14ac:dyDescent="0.3">
      <c r="A165" t="s">
        <v>249</v>
      </c>
      <c r="B165" s="3">
        <v>46062</v>
      </c>
      <c r="C165" t="s">
        <v>17</v>
      </c>
      <c r="D165" t="s">
        <v>18</v>
      </c>
      <c r="E165" t="s">
        <v>19</v>
      </c>
      <c r="F165" t="s">
        <v>20</v>
      </c>
      <c r="G165" t="s">
        <v>40</v>
      </c>
      <c r="H165" s="5">
        <v>75000</v>
      </c>
      <c r="I165" s="5">
        <v>75000</v>
      </c>
      <c r="J165" s="5">
        <v>0</v>
      </c>
      <c r="K165" s="5">
        <f>Table2[[#This Row],[Advance Amount]]-Table2[[#This Row],[Expense Amount]]-Table2[[#This Row],[Return Amount]]</f>
        <v>0</v>
      </c>
      <c r="L165" s="5" t="str">
        <f>IF(Table2[[#This Row],[Outstanding]]=0,"Settled",IF(Table2[[#This Row],[Outstanding]]&gt;0,"Outstanding"))</f>
        <v>Settled</v>
      </c>
      <c r="M165" s="5" t="str">
        <f>IF(Table2[[#This Row],[Advance Amount]]=Table2[[#This Row],[Expense Amount]]+Table2[[#This Row],[Return Amount]]+Table2[[#This Row],[Outstanding]],"Ok","Check")</f>
        <v>Ok</v>
      </c>
      <c r="N165" s="11">
        <f>IF(Table2[[#This Row],[Status]]="Settled",0,$Q$2-Table2[[#This Row],[Date]])</f>
        <v>0</v>
      </c>
      <c r="O165" s="5" t="str">
        <f>IF(Table2[[#This Row],[Age Days]]&lt;=7,"Normal",IF(Table2[[#This Row],[Age Days]]&lt;=14,"Perlu Dipantau",IF(Table2[[#This Row],[Age Days]]&lt;=30,"Perlu Ditindaklanjuti","Overdue")))</f>
        <v>Normal</v>
      </c>
    </row>
    <row r="166" spans="1:15" x14ac:dyDescent="0.3">
      <c r="A166" t="s">
        <v>250</v>
      </c>
      <c r="B166" s="3">
        <v>46063</v>
      </c>
      <c r="C166" t="s">
        <v>44</v>
      </c>
      <c r="D166" t="s">
        <v>45</v>
      </c>
      <c r="E166" t="s">
        <v>43</v>
      </c>
      <c r="F166" t="s">
        <v>20</v>
      </c>
      <c r="G166" t="s">
        <v>57</v>
      </c>
      <c r="H166" s="5">
        <v>80000</v>
      </c>
      <c r="I166" s="5">
        <v>50000</v>
      </c>
      <c r="J166" s="5">
        <v>30000</v>
      </c>
      <c r="K166" s="5">
        <f>Table2[[#This Row],[Advance Amount]]-Table2[[#This Row],[Expense Amount]]-Table2[[#This Row],[Return Amount]]</f>
        <v>0</v>
      </c>
      <c r="L166" s="5" t="str">
        <f>IF(Table2[[#This Row],[Outstanding]]=0,"Settled",IF(Table2[[#This Row],[Outstanding]]&gt;0,"Outstanding"))</f>
        <v>Settled</v>
      </c>
      <c r="M166" s="5" t="str">
        <f>IF(Table2[[#This Row],[Advance Amount]]=Table2[[#This Row],[Expense Amount]]+Table2[[#This Row],[Return Amount]]+Table2[[#This Row],[Outstanding]],"Ok","Check")</f>
        <v>Ok</v>
      </c>
      <c r="N166" s="11">
        <f>IF(Table2[[#This Row],[Status]]="Settled",0,$Q$2-Table2[[#This Row],[Date]])</f>
        <v>0</v>
      </c>
      <c r="O166" s="5" t="str">
        <f>IF(Table2[[#This Row],[Age Days]]&lt;=7,"Normal",IF(Table2[[#This Row],[Age Days]]&lt;=14,"Perlu Dipantau",IF(Table2[[#This Row],[Age Days]]&lt;=30,"Perlu Ditindaklanjuti","Overdue")))</f>
        <v>Normal</v>
      </c>
    </row>
    <row r="167" spans="1:15" x14ac:dyDescent="0.3">
      <c r="A167" t="s">
        <v>251</v>
      </c>
      <c r="B167" s="3">
        <v>46063</v>
      </c>
      <c r="C167" t="s">
        <v>44</v>
      </c>
      <c r="D167" t="s">
        <v>45</v>
      </c>
      <c r="E167" t="s">
        <v>43</v>
      </c>
      <c r="F167" t="s">
        <v>20</v>
      </c>
      <c r="G167" t="s">
        <v>34</v>
      </c>
      <c r="H167" s="5">
        <v>100000</v>
      </c>
      <c r="I167" s="5">
        <v>100000</v>
      </c>
      <c r="J167" s="5">
        <v>0</v>
      </c>
      <c r="K167" s="5">
        <f>Table2[[#This Row],[Advance Amount]]-Table2[[#This Row],[Expense Amount]]-Table2[[#This Row],[Return Amount]]</f>
        <v>0</v>
      </c>
      <c r="L167" s="5" t="str">
        <f>IF(Table2[[#This Row],[Outstanding]]=0,"Settled",IF(Table2[[#This Row],[Outstanding]]&gt;0,"Outstanding"))</f>
        <v>Settled</v>
      </c>
      <c r="M167" s="5" t="str">
        <f>IF(Table2[[#This Row],[Advance Amount]]=Table2[[#This Row],[Expense Amount]]+Table2[[#This Row],[Return Amount]]+Table2[[#This Row],[Outstanding]],"Ok","Check")</f>
        <v>Ok</v>
      </c>
      <c r="N167" s="11">
        <f>IF(Table2[[#This Row],[Status]]="Settled",0,$Q$2-Table2[[#This Row],[Date]])</f>
        <v>0</v>
      </c>
      <c r="O167" s="5" t="str">
        <f>IF(Table2[[#This Row],[Age Days]]&lt;=7,"Normal",IF(Table2[[#This Row],[Age Days]]&lt;=14,"Perlu Dipantau",IF(Table2[[#This Row],[Age Days]]&lt;=30,"Perlu Ditindaklanjuti","Overdue")))</f>
        <v>Normal</v>
      </c>
    </row>
    <row r="168" spans="1:15" x14ac:dyDescent="0.3">
      <c r="A168" t="s">
        <v>252</v>
      </c>
      <c r="B168" s="3">
        <v>46064</v>
      </c>
      <c r="C168" t="s">
        <v>48</v>
      </c>
      <c r="D168" t="s">
        <v>49</v>
      </c>
      <c r="E168" t="s">
        <v>19</v>
      </c>
      <c r="F168" t="s">
        <v>20</v>
      </c>
      <c r="G168" t="s">
        <v>61</v>
      </c>
      <c r="H168" s="5">
        <v>675000</v>
      </c>
      <c r="I168" s="5">
        <v>600000</v>
      </c>
      <c r="J168" s="5">
        <v>75000</v>
      </c>
      <c r="K168" s="5">
        <f>Table2[[#This Row],[Advance Amount]]-Table2[[#This Row],[Expense Amount]]-Table2[[#This Row],[Return Amount]]</f>
        <v>0</v>
      </c>
      <c r="L168" s="5" t="str">
        <f>IF(Table2[[#This Row],[Outstanding]]=0,"Settled",IF(Table2[[#This Row],[Outstanding]]&gt;0,"Outstanding"))</f>
        <v>Settled</v>
      </c>
      <c r="M168" s="5" t="str">
        <f>IF(Table2[[#This Row],[Advance Amount]]=Table2[[#This Row],[Expense Amount]]+Table2[[#This Row],[Return Amount]]+Table2[[#This Row],[Outstanding]],"Ok","Check")</f>
        <v>Ok</v>
      </c>
      <c r="N168" s="11">
        <f>IF(Table2[[#This Row],[Status]]="Settled",0,$Q$2-Table2[[#This Row],[Date]])</f>
        <v>0</v>
      </c>
      <c r="O168" s="5" t="str">
        <f>IF(Table2[[#This Row],[Age Days]]&lt;=7,"Normal",IF(Table2[[#This Row],[Age Days]]&lt;=14,"Perlu Dipantau",IF(Table2[[#This Row],[Age Days]]&lt;=30,"Perlu Ditindaklanjuti","Overdue")))</f>
        <v>Normal</v>
      </c>
    </row>
    <row r="169" spans="1:15" x14ac:dyDescent="0.3">
      <c r="A169" t="s">
        <v>253</v>
      </c>
      <c r="B169" s="3">
        <v>46064</v>
      </c>
      <c r="C169" t="s">
        <v>38</v>
      </c>
      <c r="D169" t="s">
        <v>39</v>
      </c>
      <c r="E169" t="s">
        <v>24</v>
      </c>
      <c r="F169" t="s">
        <v>20</v>
      </c>
      <c r="G169" t="s">
        <v>15</v>
      </c>
      <c r="H169" s="5">
        <v>1075000</v>
      </c>
      <c r="I169" s="5">
        <v>975000</v>
      </c>
      <c r="J169" s="5">
        <v>100000</v>
      </c>
      <c r="K169" s="5">
        <f>Table2[[#This Row],[Advance Amount]]-Table2[[#This Row],[Expense Amount]]-Table2[[#This Row],[Return Amount]]</f>
        <v>0</v>
      </c>
      <c r="L169" s="5" t="str">
        <f>IF(Table2[[#This Row],[Outstanding]]=0,"Settled",IF(Table2[[#This Row],[Outstanding]]&gt;0,"Outstanding"))</f>
        <v>Settled</v>
      </c>
      <c r="M169" s="5" t="str">
        <f>IF(Table2[[#This Row],[Advance Amount]]=Table2[[#This Row],[Expense Amount]]+Table2[[#This Row],[Return Amount]]+Table2[[#This Row],[Outstanding]],"Ok","Check")</f>
        <v>Ok</v>
      </c>
      <c r="N169" s="11">
        <f>IF(Table2[[#This Row],[Status]]="Settled",0,$Q$2-Table2[[#This Row],[Date]])</f>
        <v>0</v>
      </c>
      <c r="O169" s="5" t="str">
        <f>IF(Table2[[#This Row],[Age Days]]&lt;=7,"Normal",IF(Table2[[#This Row],[Age Days]]&lt;=14,"Perlu Dipantau",IF(Table2[[#This Row],[Age Days]]&lt;=30,"Perlu Ditindaklanjuti","Overdue")))</f>
        <v>Normal</v>
      </c>
    </row>
    <row r="170" spans="1:15" x14ac:dyDescent="0.3">
      <c r="A170" t="s">
        <v>254</v>
      </c>
      <c r="B170" s="3">
        <v>46064</v>
      </c>
      <c r="C170" t="s">
        <v>68</v>
      </c>
      <c r="D170" t="s">
        <v>69</v>
      </c>
      <c r="E170" t="s">
        <v>27</v>
      </c>
      <c r="F170" t="s">
        <v>20</v>
      </c>
      <c r="G170" t="s">
        <v>40</v>
      </c>
      <c r="H170" s="5">
        <v>900000</v>
      </c>
      <c r="I170" s="5">
        <v>675000</v>
      </c>
      <c r="J170" s="5">
        <v>225000</v>
      </c>
      <c r="K170" s="5">
        <f>Table2[[#This Row],[Advance Amount]]-Table2[[#This Row],[Expense Amount]]-Table2[[#This Row],[Return Amount]]</f>
        <v>0</v>
      </c>
      <c r="L170" s="5" t="str">
        <f>IF(Table2[[#This Row],[Outstanding]]=0,"Settled",IF(Table2[[#This Row],[Outstanding]]&gt;0,"Outstanding"))</f>
        <v>Settled</v>
      </c>
      <c r="M170" s="5" t="str">
        <f>IF(Table2[[#This Row],[Advance Amount]]=Table2[[#This Row],[Expense Amount]]+Table2[[#This Row],[Return Amount]]+Table2[[#This Row],[Outstanding]],"Ok","Check")</f>
        <v>Ok</v>
      </c>
      <c r="N170" s="11">
        <f>IF(Table2[[#This Row],[Status]]="Settled",0,$Q$2-Table2[[#This Row],[Date]])</f>
        <v>0</v>
      </c>
      <c r="O170" s="5" t="str">
        <f>IF(Table2[[#This Row],[Age Days]]&lt;=7,"Normal",IF(Table2[[#This Row],[Age Days]]&lt;=14,"Perlu Dipantau",IF(Table2[[#This Row],[Age Days]]&lt;=30,"Perlu Ditindaklanjuti","Overdue")))</f>
        <v>Normal</v>
      </c>
    </row>
    <row r="171" spans="1:15" x14ac:dyDescent="0.3">
      <c r="A171" t="s">
        <v>255</v>
      </c>
      <c r="B171" s="3">
        <v>46064</v>
      </c>
      <c r="C171" t="s">
        <v>53</v>
      </c>
      <c r="D171" t="s">
        <v>54</v>
      </c>
      <c r="E171" t="s">
        <v>43</v>
      </c>
      <c r="F171" t="s">
        <v>14</v>
      </c>
      <c r="G171" t="s">
        <v>34</v>
      </c>
      <c r="H171" s="5">
        <v>175000</v>
      </c>
      <c r="I171" s="5">
        <v>125000</v>
      </c>
      <c r="J171" s="5">
        <v>50000</v>
      </c>
      <c r="K171" s="5">
        <f>Table2[[#This Row],[Advance Amount]]-Table2[[#This Row],[Expense Amount]]-Table2[[#This Row],[Return Amount]]</f>
        <v>0</v>
      </c>
      <c r="L171" s="5" t="str">
        <f>IF(Table2[[#This Row],[Outstanding]]=0,"Settled",IF(Table2[[#This Row],[Outstanding]]&gt;0,"Outstanding"))</f>
        <v>Settled</v>
      </c>
      <c r="M171" s="5" t="str">
        <f>IF(Table2[[#This Row],[Advance Amount]]=Table2[[#This Row],[Expense Amount]]+Table2[[#This Row],[Return Amount]]+Table2[[#This Row],[Outstanding]],"Ok","Check")</f>
        <v>Ok</v>
      </c>
      <c r="N171" s="11">
        <f>IF(Table2[[#This Row],[Status]]="Settled",0,$Q$2-Table2[[#This Row],[Date]])</f>
        <v>0</v>
      </c>
      <c r="O171" s="5" t="str">
        <f>IF(Table2[[#This Row],[Age Days]]&lt;=7,"Normal",IF(Table2[[#This Row],[Age Days]]&lt;=14,"Perlu Dipantau",IF(Table2[[#This Row],[Age Days]]&lt;=30,"Perlu Ditindaklanjuti","Overdue")))</f>
        <v>Normal</v>
      </c>
    </row>
    <row r="172" spans="1:15" x14ac:dyDescent="0.3">
      <c r="A172" t="s">
        <v>256</v>
      </c>
      <c r="B172" s="3">
        <v>46065</v>
      </c>
      <c r="C172" t="s">
        <v>46</v>
      </c>
      <c r="D172" t="s">
        <v>47</v>
      </c>
      <c r="E172" t="s">
        <v>37</v>
      </c>
      <c r="F172" t="s">
        <v>20</v>
      </c>
      <c r="G172" t="s">
        <v>58</v>
      </c>
      <c r="H172" s="5">
        <v>975000</v>
      </c>
      <c r="I172" s="5">
        <v>0</v>
      </c>
      <c r="J172" s="5">
        <v>0</v>
      </c>
      <c r="K172" s="5">
        <f>Table2[[#This Row],[Advance Amount]]-Table2[[#This Row],[Expense Amount]]-Table2[[#This Row],[Return Amount]]</f>
        <v>975000</v>
      </c>
      <c r="L172" s="5" t="str">
        <f>IF(Table2[[#This Row],[Outstanding]]=0,"Settled",IF(Table2[[#This Row],[Outstanding]]&gt;0,"Outstanding"))</f>
        <v>Outstanding</v>
      </c>
      <c r="M172" s="5" t="str">
        <f>IF(Table2[[#This Row],[Advance Amount]]=Table2[[#This Row],[Expense Amount]]+Table2[[#This Row],[Return Amount]]+Table2[[#This Row],[Outstanding]],"Ok","Check")</f>
        <v>Ok</v>
      </c>
      <c r="N172" s="11">
        <f>IF(Table2[[#This Row],[Status]]="Settled",0,$Q$2-Table2[[#This Row],[Date]])</f>
        <v>200</v>
      </c>
      <c r="O172" s="5" t="str">
        <f>IF(Table2[[#This Row],[Age Days]]&lt;=7,"Normal",IF(Table2[[#This Row],[Age Days]]&lt;=14,"Perlu Dipantau",IF(Table2[[#This Row],[Age Days]]&lt;=30,"Perlu Ditindaklanjuti","Overdue")))</f>
        <v>Overdue</v>
      </c>
    </row>
    <row r="173" spans="1:15" x14ac:dyDescent="0.3">
      <c r="A173" t="s">
        <v>257</v>
      </c>
      <c r="B173" s="3">
        <v>46065</v>
      </c>
      <c r="C173" t="s">
        <v>29</v>
      </c>
      <c r="D173" t="s">
        <v>30</v>
      </c>
      <c r="E173" t="s">
        <v>13</v>
      </c>
      <c r="F173" t="s">
        <v>14</v>
      </c>
      <c r="G173" t="s">
        <v>40</v>
      </c>
      <c r="H173" s="5">
        <v>200000</v>
      </c>
      <c r="I173" s="5">
        <v>200000</v>
      </c>
      <c r="J173" s="5">
        <v>0</v>
      </c>
      <c r="K173" s="5">
        <f>Table2[[#This Row],[Advance Amount]]-Table2[[#This Row],[Expense Amount]]-Table2[[#This Row],[Return Amount]]</f>
        <v>0</v>
      </c>
      <c r="L173" s="5" t="str">
        <f>IF(Table2[[#This Row],[Outstanding]]=0,"Settled",IF(Table2[[#This Row],[Outstanding]]&gt;0,"Outstanding"))</f>
        <v>Settled</v>
      </c>
      <c r="M173" s="5" t="str">
        <f>IF(Table2[[#This Row],[Advance Amount]]=Table2[[#This Row],[Expense Amount]]+Table2[[#This Row],[Return Amount]]+Table2[[#This Row],[Outstanding]],"Ok","Check")</f>
        <v>Ok</v>
      </c>
      <c r="N173" s="11">
        <f>IF(Table2[[#This Row],[Status]]="Settled",0,$Q$2-Table2[[#This Row],[Date]])</f>
        <v>0</v>
      </c>
      <c r="O173" s="5" t="str">
        <f>IF(Table2[[#This Row],[Age Days]]&lt;=7,"Normal",IF(Table2[[#This Row],[Age Days]]&lt;=14,"Perlu Dipantau",IF(Table2[[#This Row],[Age Days]]&lt;=30,"Perlu Ditindaklanjuti","Overdue")))</f>
        <v>Normal</v>
      </c>
    </row>
    <row r="174" spans="1:15" x14ac:dyDescent="0.3">
      <c r="A174" t="s">
        <v>258</v>
      </c>
      <c r="B174" s="3">
        <v>46065</v>
      </c>
      <c r="C174" t="s">
        <v>48</v>
      </c>
      <c r="D174" t="s">
        <v>49</v>
      </c>
      <c r="E174" t="s">
        <v>19</v>
      </c>
      <c r="F174" t="s">
        <v>14</v>
      </c>
      <c r="G174" t="s">
        <v>40</v>
      </c>
      <c r="H174" s="5">
        <v>575000</v>
      </c>
      <c r="I174" s="5">
        <v>500000</v>
      </c>
      <c r="J174" s="5">
        <v>75000</v>
      </c>
      <c r="K174" s="5">
        <f>Table2[[#This Row],[Advance Amount]]-Table2[[#This Row],[Expense Amount]]-Table2[[#This Row],[Return Amount]]</f>
        <v>0</v>
      </c>
      <c r="L174" s="5" t="str">
        <f>IF(Table2[[#This Row],[Outstanding]]=0,"Settled",IF(Table2[[#This Row],[Outstanding]]&gt;0,"Outstanding"))</f>
        <v>Settled</v>
      </c>
      <c r="M174" s="5" t="str">
        <f>IF(Table2[[#This Row],[Advance Amount]]=Table2[[#This Row],[Expense Amount]]+Table2[[#This Row],[Return Amount]]+Table2[[#This Row],[Outstanding]],"Ok","Check")</f>
        <v>Ok</v>
      </c>
      <c r="N174" s="11">
        <f>IF(Table2[[#This Row],[Status]]="Settled",0,$Q$2-Table2[[#This Row],[Date]])</f>
        <v>0</v>
      </c>
      <c r="O174" s="5" t="str">
        <f>IF(Table2[[#This Row],[Age Days]]&lt;=7,"Normal",IF(Table2[[#This Row],[Age Days]]&lt;=14,"Perlu Dipantau",IF(Table2[[#This Row],[Age Days]]&lt;=30,"Perlu Ditindaklanjuti","Overdue")))</f>
        <v>Normal</v>
      </c>
    </row>
    <row r="175" spans="1:15" x14ac:dyDescent="0.3">
      <c r="A175" t="s">
        <v>259</v>
      </c>
      <c r="B175" s="3">
        <v>46065</v>
      </c>
      <c r="C175" t="s">
        <v>35</v>
      </c>
      <c r="D175" t="s">
        <v>36</v>
      </c>
      <c r="E175" t="s">
        <v>37</v>
      </c>
      <c r="F175" t="s">
        <v>20</v>
      </c>
      <c r="G175" t="s">
        <v>61</v>
      </c>
      <c r="H175" s="5">
        <v>475000</v>
      </c>
      <c r="I175" s="5">
        <v>350000</v>
      </c>
      <c r="J175" s="5">
        <v>125000</v>
      </c>
      <c r="K175" s="5">
        <f>Table2[[#This Row],[Advance Amount]]-Table2[[#This Row],[Expense Amount]]-Table2[[#This Row],[Return Amount]]</f>
        <v>0</v>
      </c>
      <c r="L175" s="5" t="str">
        <f>IF(Table2[[#This Row],[Outstanding]]=0,"Settled",IF(Table2[[#This Row],[Outstanding]]&gt;0,"Outstanding"))</f>
        <v>Settled</v>
      </c>
      <c r="M175" s="5" t="str">
        <f>IF(Table2[[#This Row],[Advance Amount]]=Table2[[#This Row],[Expense Amount]]+Table2[[#This Row],[Return Amount]]+Table2[[#This Row],[Outstanding]],"Ok","Check")</f>
        <v>Ok</v>
      </c>
      <c r="N175" s="11">
        <f>IF(Table2[[#This Row],[Status]]="Settled",0,$Q$2-Table2[[#This Row],[Date]])</f>
        <v>0</v>
      </c>
      <c r="O175" s="5" t="str">
        <f>IF(Table2[[#This Row],[Age Days]]&lt;=7,"Normal",IF(Table2[[#This Row],[Age Days]]&lt;=14,"Perlu Dipantau",IF(Table2[[#This Row],[Age Days]]&lt;=30,"Perlu Ditindaklanjuti","Overdue")))</f>
        <v>Normal</v>
      </c>
    </row>
    <row r="176" spans="1:15" x14ac:dyDescent="0.3">
      <c r="A176" t="s">
        <v>260</v>
      </c>
      <c r="B176" s="3">
        <v>46065</v>
      </c>
      <c r="C176" t="s">
        <v>35</v>
      </c>
      <c r="D176" t="s">
        <v>36</v>
      </c>
      <c r="E176" t="s">
        <v>37</v>
      </c>
      <c r="F176" t="s">
        <v>20</v>
      </c>
      <c r="G176" t="s">
        <v>28</v>
      </c>
      <c r="H176" s="5">
        <v>280000</v>
      </c>
      <c r="I176" s="5">
        <v>250000</v>
      </c>
      <c r="J176" s="5">
        <v>30000</v>
      </c>
      <c r="K176" s="5">
        <f>Table2[[#This Row],[Advance Amount]]-Table2[[#This Row],[Expense Amount]]-Table2[[#This Row],[Return Amount]]</f>
        <v>0</v>
      </c>
      <c r="L176" s="5" t="str">
        <f>IF(Table2[[#This Row],[Outstanding]]=0,"Settled",IF(Table2[[#This Row],[Outstanding]]&gt;0,"Outstanding"))</f>
        <v>Settled</v>
      </c>
      <c r="M176" s="5" t="str">
        <f>IF(Table2[[#This Row],[Advance Amount]]=Table2[[#This Row],[Expense Amount]]+Table2[[#This Row],[Return Amount]]+Table2[[#This Row],[Outstanding]],"Ok","Check")</f>
        <v>Ok</v>
      </c>
      <c r="N176" s="11">
        <f>IF(Table2[[#This Row],[Status]]="Settled",0,$Q$2-Table2[[#This Row],[Date]])</f>
        <v>0</v>
      </c>
      <c r="O176" s="5" t="str">
        <f>IF(Table2[[#This Row],[Age Days]]&lt;=7,"Normal",IF(Table2[[#This Row],[Age Days]]&lt;=14,"Perlu Dipantau",IF(Table2[[#This Row],[Age Days]]&lt;=30,"Perlu Ditindaklanjuti","Overdue")))</f>
        <v>Normal</v>
      </c>
    </row>
    <row r="177" spans="1:15" x14ac:dyDescent="0.3">
      <c r="A177" t="s">
        <v>261</v>
      </c>
      <c r="B177" s="3">
        <v>46065</v>
      </c>
      <c r="C177" t="s">
        <v>44</v>
      </c>
      <c r="D177" t="s">
        <v>45</v>
      </c>
      <c r="E177" t="s">
        <v>43</v>
      </c>
      <c r="F177" t="s">
        <v>14</v>
      </c>
      <c r="G177" t="s">
        <v>31</v>
      </c>
      <c r="H177" s="5">
        <v>1150000</v>
      </c>
      <c r="I177" s="5">
        <v>0</v>
      </c>
      <c r="J177" s="5">
        <v>0</v>
      </c>
      <c r="K177" s="5">
        <f>Table2[[#This Row],[Advance Amount]]-Table2[[#This Row],[Expense Amount]]-Table2[[#This Row],[Return Amount]]</f>
        <v>1150000</v>
      </c>
      <c r="L177" s="5" t="str">
        <f>IF(Table2[[#This Row],[Outstanding]]=0,"Settled",IF(Table2[[#This Row],[Outstanding]]&gt;0,"Outstanding"))</f>
        <v>Outstanding</v>
      </c>
      <c r="M177" s="5" t="str">
        <f>IF(Table2[[#This Row],[Advance Amount]]=Table2[[#This Row],[Expense Amount]]+Table2[[#This Row],[Return Amount]]+Table2[[#This Row],[Outstanding]],"Ok","Check")</f>
        <v>Ok</v>
      </c>
      <c r="N177" s="11">
        <f>IF(Table2[[#This Row],[Status]]="Settled",0,$Q$2-Table2[[#This Row],[Date]])</f>
        <v>200</v>
      </c>
      <c r="O177" s="5" t="str">
        <f>IF(Table2[[#This Row],[Age Days]]&lt;=7,"Normal",IF(Table2[[#This Row],[Age Days]]&lt;=14,"Perlu Dipantau",IF(Table2[[#This Row],[Age Days]]&lt;=30,"Perlu Ditindaklanjuti","Overdue")))</f>
        <v>Overdue</v>
      </c>
    </row>
    <row r="178" spans="1:15" x14ac:dyDescent="0.3">
      <c r="A178" t="s">
        <v>262</v>
      </c>
      <c r="B178" s="3">
        <v>46065</v>
      </c>
      <c r="C178" t="s">
        <v>44</v>
      </c>
      <c r="D178" t="s">
        <v>45</v>
      </c>
      <c r="E178" t="s">
        <v>43</v>
      </c>
      <c r="F178" t="s">
        <v>14</v>
      </c>
      <c r="G178" t="s">
        <v>58</v>
      </c>
      <c r="H178" s="5">
        <v>800000</v>
      </c>
      <c r="I178" s="5">
        <v>0</v>
      </c>
      <c r="J178" s="5">
        <v>0</v>
      </c>
      <c r="K178" s="5">
        <f>Table2[[#This Row],[Advance Amount]]-Table2[[#This Row],[Expense Amount]]-Table2[[#This Row],[Return Amount]]</f>
        <v>800000</v>
      </c>
      <c r="L178" s="5" t="str">
        <f>IF(Table2[[#This Row],[Outstanding]]=0,"Settled",IF(Table2[[#This Row],[Outstanding]]&gt;0,"Outstanding"))</f>
        <v>Outstanding</v>
      </c>
      <c r="M178" s="5" t="str">
        <f>IF(Table2[[#This Row],[Advance Amount]]=Table2[[#This Row],[Expense Amount]]+Table2[[#This Row],[Return Amount]]+Table2[[#This Row],[Outstanding]],"Ok","Check")</f>
        <v>Ok</v>
      </c>
      <c r="N178" s="11">
        <f>IF(Table2[[#This Row],[Status]]="Settled",0,$Q$2-Table2[[#This Row],[Date]])</f>
        <v>200</v>
      </c>
      <c r="O178" s="5" t="str">
        <f>IF(Table2[[#This Row],[Age Days]]&lt;=7,"Normal",IF(Table2[[#This Row],[Age Days]]&lt;=14,"Perlu Dipantau",IF(Table2[[#This Row],[Age Days]]&lt;=30,"Perlu Ditindaklanjuti","Overdue")))</f>
        <v>Overdue</v>
      </c>
    </row>
    <row r="179" spans="1:15" x14ac:dyDescent="0.3">
      <c r="A179" t="s">
        <v>263</v>
      </c>
      <c r="B179" s="3">
        <v>46065</v>
      </c>
      <c r="C179" t="s">
        <v>17</v>
      </c>
      <c r="D179" t="s">
        <v>18</v>
      </c>
      <c r="E179" t="s">
        <v>19</v>
      </c>
      <c r="F179" t="s">
        <v>20</v>
      </c>
      <c r="G179" t="s">
        <v>34</v>
      </c>
      <c r="H179" s="5">
        <v>300000</v>
      </c>
      <c r="I179" s="5">
        <v>275000</v>
      </c>
      <c r="J179" s="5">
        <v>25000</v>
      </c>
      <c r="K179" s="5">
        <f>Table2[[#This Row],[Advance Amount]]-Table2[[#This Row],[Expense Amount]]-Table2[[#This Row],[Return Amount]]</f>
        <v>0</v>
      </c>
      <c r="L179" s="5" t="str">
        <f>IF(Table2[[#This Row],[Outstanding]]=0,"Settled",IF(Table2[[#This Row],[Outstanding]]&gt;0,"Outstanding"))</f>
        <v>Settled</v>
      </c>
      <c r="M179" s="5" t="str">
        <f>IF(Table2[[#This Row],[Advance Amount]]=Table2[[#This Row],[Expense Amount]]+Table2[[#This Row],[Return Amount]]+Table2[[#This Row],[Outstanding]],"Ok","Check")</f>
        <v>Ok</v>
      </c>
      <c r="N179" s="11">
        <f>IF(Table2[[#This Row],[Status]]="Settled",0,$Q$2-Table2[[#This Row],[Date]])</f>
        <v>0</v>
      </c>
      <c r="O179" s="5" t="str">
        <f>IF(Table2[[#This Row],[Age Days]]&lt;=7,"Normal",IF(Table2[[#This Row],[Age Days]]&lt;=14,"Perlu Dipantau",IF(Table2[[#This Row],[Age Days]]&lt;=30,"Perlu Ditindaklanjuti","Overdue")))</f>
        <v>Normal</v>
      </c>
    </row>
    <row r="180" spans="1:15" x14ac:dyDescent="0.3">
      <c r="A180" t="s">
        <v>264</v>
      </c>
      <c r="B180" s="3">
        <v>46065</v>
      </c>
      <c r="C180" t="s">
        <v>59</v>
      </c>
      <c r="D180" t="s">
        <v>60</v>
      </c>
      <c r="E180" t="s">
        <v>19</v>
      </c>
      <c r="F180" t="s">
        <v>20</v>
      </c>
      <c r="G180" t="s">
        <v>61</v>
      </c>
      <c r="H180" s="5">
        <v>50000</v>
      </c>
      <c r="I180" s="5">
        <v>50000</v>
      </c>
      <c r="J180" s="5">
        <v>0</v>
      </c>
      <c r="K180" s="5">
        <f>Table2[[#This Row],[Advance Amount]]-Table2[[#This Row],[Expense Amount]]-Table2[[#This Row],[Return Amount]]</f>
        <v>0</v>
      </c>
      <c r="L180" s="5" t="str">
        <f>IF(Table2[[#This Row],[Outstanding]]=0,"Settled",IF(Table2[[#This Row],[Outstanding]]&gt;0,"Outstanding"))</f>
        <v>Settled</v>
      </c>
      <c r="M180" s="5" t="str">
        <f>IF(Table2[[#This Row],[Advance Amount]]=Table2[[#This Row],[Expense Amount]]+Table2[[#This Row],[Return Amount]]+Table2[[#This Row],[Outstanding]],"Ok","Check")</f>
        <v>Ok</v>
      </c>
      <c r="N180" s="11">
        <f>IF(Table2[[#This Row],[Status]]="Settled",0,$Q$2-Table2[[#This Row],[Date]])</f>
        <v>0</v>
      </c>
      <c r="O180" s="5" t="str">
        <f>IF(Table2[[#This Row],[Age Days]]&lt;=7,"Normal",IF(Table2[[#This Row],[Age Days]]&lt;=14,"Perlu Dipantau",IF(Table2[[#This Row],[Age Days]]&lt;=30,"Perlu Ditindaklanjuti","Overdue")))</f>
        <v>Normal</v>
      </c>
    </row>
    <row r="181" spans="1:15" x14ac:dyDescent="0.3">
      <c r="A181" t="s">
        <v>265</v>
      </c>
      <c r="B181" s="3">
        <v>46065</v>
      </c>
      <c r="C181" t="s">
        <v>59</v>
      </c>
      <c r="D181" t="s">
        <v>60</v>
      </c>
      <c r="E181" t="s">
        <v>19</v>
      </c>
      <c r="F181" t="s">
        <v>14</v>
      </c>
      <c r="G181" t="s">
        <v>40</v>
      </c>
      <c r="H181" s="5">
        <v>300000</v>
      </c>
      <c r="I181" s="5">
        <v>225000</v>
      </c>
      <c r="J181" s="5">
        <v>75000</v>
      </c>
      <c r="K181" s="5">
        <f>Table2[[#This Row],[Advance Amount]]-Table2[[#This Row],[Expense Amount]]-Table2[[#This Row],[Return Amount]]</f>
        <v>0</v>
      </c>
      <c r="L181" s="5" t="str">
        <f>IF(Table2[[#This Row],[Outstanding]]=0,"Settled",IF(Table2[[#This Row],[Outstanding]]&gt;0,"Outstanding"))</f>
        <v>Settled</v>
      </c>
      <c r="M181" s="5" t="str">
        <f>IF(Table2[[#This Row],[Advance Amount]]=Table2[[#This Row],[Expense Amount]]+Table2[[#This Row],[Return Amount]]+Table2[[#This Row],[Outstanding]],"Ok","Check")</f>
        <v>Ok</v>
      </c>
      <c r="N181" s="11">
        <f>IF(Table2[[#This Row],[Status]]="Settled",0,$Q$2-Table2[[#This Row],[Date]])</f>
        <v>0</v>
      </c>
      <c r="O181" s="5" t="str">
        <f>IF(Table2[[#This Row],[Age Days]]&lt;=7,"Normal",IF(Table2[[#This Row],[Age Days]]&lt;=14,"Perlu Dipantau",IF(Table2[[#This Row],[Age Days]]&lt;=30,"Perlu Ditindaklanjuti","Overdue")))</f>
        <v>Normal</v>
      </c>
    </row>
    <row r="182" spans="1:15" x14ac:dyDescent="0.3">
      <c r="A182" t="s">
        <v>266</v>
      </c>
      <c r="B182" s="3">
        <v>46066</v>
      </c>
      <c r="C182" t="s">
        <v>55</v>
      </c>
      <c r="D182" t="s">
        <v>56</v>
      </c>
      <c r="E182" t="s">
        <v>24</v>
      </c>
      <c r="F182" t="s">
        <v>20</v>
      </c>
      <c r="G182" t="s">
        <v>61</v>
      </c>
      <c r="H182" s="5">
        <v>450000</v>
      </c>
      <c r="I182" s="5">
        <v>375000</v>
      </c>
      <c r="J182" s="5">
        <v>75000</v>
      </c>
      <c r="K182" s="5">
        <f>Table2[[#This Row],[Advance Amount]]-Table2[[#This Row],[Expense Amount]]-Table2[[#This Row],[Return Amount]]</f>
        <v>0</v>
      </c>
      <c r="L182" s="5" t="str">
        <f>IF(Table2[[#This Row],[Outstanding]]=0,"Settled",IF(Table2[[#This Row],[Outstanding]]&gt;0,"Outstanding"))</f>
        <v>Settled</v>
      </c>
      <c r="M182" s="5" t="str">
        <f>IF(Table2[[#This Row],[Advance Amount]]=Table2[[#This Row],[Expense Amount]]+Table2[[#This Row],[Return Amount]]+Table2[[#This Row],[Outstanding]],"Ok","Check")</f>
        <v>Ok</v>
      </c>
      <c r="N182" s="11">
        <f>IF(Table2[[#This Row],[Status]]="Settled",0,$Q$2-Table2[[#This Row],[Date]])</f>
        <v>0</v>
      </c>
      <c r="O182" s="5" t="str">
        <f>IF(Table2[[#This Row],[Age Days]]&lt;=7,"Normal",IF(Table2[[#This Row],[Age Days]]&lt;=14,"Perlu Dipantau",IF(Table2[[#This Row],[Age Days]]&lt;=30,"Perlu Ditindaklanjuti","Overdue")))</f>
        <v>Normal</v>
      </c>
    </row>
    <row r="183" spans="1:15" x14ac:dyDescent="0.3">
      <c r="A183" t="s">
        <v>267</v>
      </c>
      <c r="B183" s="3">
        <v>46066</v>
      </c>
      <c r="C183" t="s">
        <v>35</v>
      </c>
      <c r="D183" t="s">
        <v>36</v>
      </c>
      <c r="E183" t="s">
        <v>37</v>
      </c>
      <c r="F183" t="s">
        <v>14</v>
      </c>
      <c r="G183" t="s">
        <v>15</v>
      </c>
      <c r="H183" s="5">
        <v>1250000</v>
      </c>
      <c r="I183" s="5">
        <v>1175000</v>
      </c>
      <c r="J183" s="5">
        <v>75000</v>
      </c>
      <c r="K183" s="5">
        <f>Table2[[#This Row],[Advance Amount]]-Table2[[#This Row],[Expense Amount]]-Table2[[#This Row],[Return Amount]]</f>
        <v>0</v>
      </c>
      <c r="L183" s="5" t="str">
        <f>IF(Table2[[#This Row],[Outstanding]]=0,"Settled",IF(Table2[[#This Row],[Outstanding]]&gt;0,"Outstanding"))</f>
        <v>Settled</v>
      </c>
      <c r="M183" s="5" t="str">
        <f>IF(Table2[[#This Row],[Advance Amount]]=Table2[[#This Row],[Expense Amount]]+Table2[[#This Row],[Return Amount]]+Table2[[#This Row],[Outstanding]],"Ok","Check")</f>
        <v>Ok</v>
      </c>
      <c r="N183" s="11">
        <f>IF(Table2[[#This Row],[Status]]="Settled",0,$Q$2-Table2[[#This Row],[Date]])</f>
        <v>0</v>
      </c>
      <c r="O183" s="5" t="str">
        <f>IF(Table2[[#This Row],[Age Days]]&lt;=7,"Normal",IF(Table2[[#This Row],[Age Days]]&lt;=14,"Perlu Dipantau",IF(Table2[[#This Row],[Age Days]]&lt;=30,"Perlu Ditindaklanjuti","Overdue")))</f>
        <v>Normal</v>
      </c>
    </row>
    <row r="184" spans="1:15" x14ac:dyDescent="0.3">
      <c r="A184" t="s">
        <v>268</v>
      </c>
      <c r="B184" s="3">
        <v>46066</v>
      </c>
      <c r="C184" t="s">
        <v>44</v>
      </c>
      <c r="D184" t="s">
        <v>45</v>
      </c>
      <c r="E184" t="s">
        <v>43</v>
      </c>
      <c r="F184" t="s">
        <v>20</v>
      </c>
      <c r="G184" t="s">
        <v>40</v>
      </c>
      <c r="H184" s="5">
        <v>700000</v>
      </c>
      <c r="I184" s="5">
        <v>700000</v>
      </c>
      <c r="J184" s="5">
        <v>0</v>
      </c>
      <c r="K184" s="5">
        <f>Table2[[#This Row],[Advance Amount]]-Table2[[#This Row],[Expense Amount]]-Table2[[#This Row],[Return Amount]]</f>
        <v>0</v>
      </c>
      <c r="L184" s="5" t="str">
        <f>IF(Table2[[#This Row],[Outstanding]]=0,"Settled",IF(Table2[[#This Row],[Outstanding]]&gt;0,"Outstanding"))</f>
        <v>Settled</v>
      </c>
      <c r="M184" s="5" t="str">
        <f>IF(Table2[[#This Row],[Advance Amount]]=Table2[[#This Row],[Expense Amount]]+Table2[[#This Row],[Return Amount]]+Table2[[#This Row],[Outstanding]],"Ok","Check")</f>
        <v>Ok</v>
      </c>
      <c r="N184" s="11">
        <f>IF(Table2[[#This Row],[Status]]="Settled",0,$Q$2-Table2[[#This Row],[Date]])</f>
        <v>0</v>
      </c>
      <c r="O184" s="5" t="str">
        <f>IF(Table2[[#This Row],[Age Days]]&lt;=7,"Normal",IF(Table2[[#This Row],[Age Days]]&lt;=14,"Perlu Dipantau",IF(Table2[[#This Row],[Age Days]]&lt;=30,"Perlu Ditindaklanjuti","Overdue")))</f>
        <v>Normal</v>
      </c>
    </row>
    <row r="185" spans="1:15" x14ac:dyDescent="0.3">
      <c r="A185" t="s">
        <v>269</v>
      </c>
      <c r="B185" s="3">
        <v>46067</v>
      </c>
      <c r="C185" t="s">
        <v>62</v>
      </c>
      <c r="D185" t="s">
        <v>63</v>
      </c>
      <c r="E185" t="s">
        <v>52</v>
      </c>
      <c r="F185" t="s">
        <v>14</v>
      </c>
      <c r="G185" t="s">
        <v>61</v>
      </c>
      <c r="H185" s="5">
        <v>525000</v>
      </c>
      <c r="I185" s="5">
        <v>475000</v>
      </c>
      <c r="J185" s="5">
        <v>50000</v>
      </c>
      <c r="K185" s="5">
        <f>Table2[[#This Row],[Advance Amount]]-Table2[[#This Row],[Expense Amount]]-Table2[[#This Row],[Return Amount]]</f>
        <v>0</v>
      </c>
      <c r="L185" s="5" t="str">
        <f>IF(Table2[[#This Row],[Outstanding]]=0,"Settled",IF(Table2[[#This Row],[Outstanding]]&gt;0,"Outstanding"))</f>
        <v>Settled</v>
      </c>
      <c r="M185" s="5" t="str">
        <f>IF(Table2[[#This Row],[Advance Amount]]=Table2[[#This Row],[Expense Amount]]+Table2[[#This Row],[Return Amount]]+Table2[[#This Row],[Outstanding]],"Ok","Check")</f>
        <v>Ok</v>
      </c>
      <c r="N185" s="11">
        <f>IF(Table2[[#This Row],[Status]]="Settled",0,$Q$2-Table2[[#This Row],[Date]])</f>
        <v>0</v>
      </c>
      <c r="O185" s="5" t="str">
        <f>IF(Table2[[#This Row],[Age Days]]&lt;=7,"Normal",IF(Table2[[#This Row],[Age Days]]&lt;=14,"Perlu Dipantau",IF(Table2[[#This Row],[Age Days]]&lt;=30,"Perlu Ditindaklanjuti","Overdue")))</f>
        <v>Normal</v>
      </c>
    </row>
    <row r="186" spans="1:15" x14ac:dyDescent="0.3">
      <c r="A186" t="s">
        <v>270</v>
      </c>
      <c r="B186" s="3">
        <v>46067</v>
      </c>
      <c r="C186" t="s">
        <v>38</v>
      </c>
      <c r="D186" t="s">
        <v>39</v>
      </c>
      <c r="E186" t="s">
        <v>24</v>
      </c>
      <c r="F186" t="s">
        <v>20</v>
      </c>
      <c r="G186" t="s">
        <v>40</v>
      </c>
      <c r="H186" s="5">
        <v>225000</v>
      </c>
      <c r="I186" s="5">
        <v>0</v>
      </c>
      <c r="J186" s="5">
        <v>0</v>
      </c>
      <c r="K186" s="5">
        <f>Table2[[#This Row],[Advance Amount]]-Table2[[#This Row],[Expense Amount]]-Table2[[#This Row],[Return Amount]]</f>
        <v>225000</v>
      </c>
      <c r="L186" s="5" t="str">
        <f>IF(Table2[[#This Row],[Outstanding]]=0,"Settled",IF(Table2[[#This Row],[Outstanding]]&gt;0,"Outstanding"))</f>
        <v>Outstanding</v>
      </c>
      <c r="M186" s="5" t="str">
        <f>IF(Table2[[#This Row],[Advance Amount]]=Table2[[#This Row],[Expense Amount]]+Table2[[#This Row],[Return Amount]]+Table2[[#This Row],[Outstanding]],"Ok","Check")</f>
        <v>Ok</v>
      </c>
      <c r="N186" s="11">
        <f>IF(Table2[[#This Row],[Status]]="Settled",0,$Q$2-Table2[[#This Row],[Date]])</f>
        <v>198</v>
      </c>
      <c r="O186" s="5" t="str">
        <f>IF(Table2[[#This Row],[Age Days]]&lt;=7,"Normal",IF(Table2[[#This Row],[Age Days]]&lt;=14,"Perlu Dipantau",IF(Table2[[#This Row],[Age Days]]&lt;=30,"Perlu Ditindaklanjuti","Overdue")))</f>
        <v>Overdue</v>
      </c>
    </row>
    <row r="187" spans="1:15" x14ac:dyDescent="0.3">
      <c r="A187" t="s">
        <v>271</v>
      </c>
      <c r="B187" s="3">
        <v>46067</v>
      </c>
      <c r="C187" t="s">
        <v>44</v>
      </c>
      <c r="D187" t="s">
        <v>45</v>
      </c>
      <c r="E187" t="s">
        <v>43</v>
      </c>
      <c r="F187" t="s">
        <v>14</v>
      </c>
      <c r="G187" t="s">
        <v>57</v>
      </c>
      <c r="H187" s="5">
        <v>155000</v>
      </c>
      <c r="I187" s="5">
        <v>150000</v>
      </c>
      <c r="J187" s="5">
        <v>5000</v>
      </c>
      <c r="K187" s="5">
        <f>Table2[[#This Row],[Advance Amount]]-Table2[[#This Row],[Expense Amount]]-Table2[[#This Row],[Return Amount]]</f>
        <v>0</v>
      </c>
      <c r="L187" s="5" t="str">
        <f>IF(Table2[[#This Row],[Outstanding]]=0,"Settled",IF(Table2[[#This Row],[Outstanding]]&gt;0,"Outstanding"))</f>
        <v>Settled</v>
      </c>
      <c r="M187" s="5" t="str">
        <f>IF(Table2[[#This Row],[Advance Amount]]=Table2[[#This Row],[Expense Amount]]+Table2[[#This Row],[Return Amount]]+Table2[[#This Row],[Outstanding]],"Ok","Check")</f>
        <v>Ok</v>
      </c>
      <c r="N187" s="11">
        <f>IF(Table2[[#This Row],[Status]]="Settled",0,$Q$2-Table2[[#This Row],[Date]])</f>
        <v>0</v>
      </c>
      <c r="O187" s="5" t="str">
        <f>IF(Table2[[#This Row],[Age Days]]&lt;=7,"Normal",IF(Table2[[#This Row],[Age Days]]&lt;=14,"Perlu Dipantau",IF(Table2[[#This Row],[Age Days]]&lt;=30,"Perlu Ditindaklanjuti","Overdue")))</f>
        <v>Normal</v>
      </c>
    </row>
    <row r="188" spans="1:15" x14ac:dyDescent="0.3">
      <c r="A188" t="s">
        <v>272</v>
      </c>
      <c r="B188" s="3">
        <v>46067</v>
      </c>
      <c r="C188" t="s">
        <v>50</v>
      </c>
      <c r="D188" t="s">
        <v>51</v>
      </c>
      <c r="E188" t="s">
        <v>52</v>
      </c>
      <c r="F188" t="s">
        <v>14</v>
      </c>
      <c r="G188" t="s">
        <v>31</v>
      </c>
      <c r="H188" s="5">
        <v>1350000</v>
      </c>
      <c r="I188" s="5">
        <v>0</v>
      </c>
      <c r="J188" s="5">
        <v>0</v>
      </c>
      <c r="K188" s="5">
        <f>Table2[[#This Row],[Advance Amount]]-Table2[[#This Row],[Expense Amount]]-Table2[[#This Row],[Return Amount]]</f>
        <v>1350000</v>
      </c>
      <c r="L188" s="5" t="str">
        <f>IF(Table2[[#This Row],[Outstanding]]=0,"Settled",IF(Table2[[#This Row],[Outstanding]]&gt;0,"Outstanding"))</f>
        <v>Outstanding</v>
      </c>
      <c r="M188" s="5" t="str">
        <f>IF(Table2[[#This Row],[Advance Amount]]=Table2[[#This Row],[Expense Amount]]+Table2[[#This Row],[Return Amount]]+Table2[[#This Row],[Outstanding]],"Ok","Check")</f>
        <v>Ok</v>
      </c>
      <c r="N188" s="11">
        <f>IF(Table2[[#This Row],[Status]]="Settled",0,$Q$2-Table2[[#This Row],[Date]])</f>
        <v>198</v>
      </c>
      <c r="O188" s="5" t="str">
        <f>IF(Table2[[#This Row],[Age Days]]&lt;=7,"Normal",IF(Table2[[#This Row],[Age Days]]&lt;=14,"Perlu Dipantau",IF(Table2[[#This Row],[Age Days]]&lt;=30,"Perlu Ditindaklanjuti","Overdue")))</f>
        <v>Overdue</v>
      </c>
    </row>
    <row r="189" spans="1:15" x14ac:dyDescent="0.3">
      <c r="A189" t="s">
        <v>273</v>
      </c>
      <c r="B189" s="3">
        <v>46068</v>
      </c>
      <c r="C189" t="s">
        <v>11</v>
      </c>
      <c r="D189" t="s">
        <v>12</v>
      </c>
      <c r="E189" t="s">
        <v>13</v>
      </c>
      <c r="F189" t="s">
        <v>20</v>
      </c>
      <c r="G189" t="s">
        <v>34</v>
      </c>
      <c r="H189" s="5">
        <v>600000</v>
      </c>
      <c r="I189" s="5">
        <v>525000</v>
      </c>
      <c r="J189" s="5">
        <v>75000</v>
      </c>
      <c r="K189" s="5">
        <f>Table2[[#This Row],[Advance Amount]]-Table2[[#This Row],[Expense Amount]]-Table2[[#This Row],[Return Amount]]</f>
        <v>0</v>
      </c>
      <c r="L189" s="5" t="str">
        <f>IF(Table2[[#This Row],[Outstanding]]=0,"Settled",IF(Table2[[#This Row],[Outstanding]]&gt;0,"Outstanding"))</f>
        <v>Settled</v>
      </c>
      <c r="M189" s="5" t="str">
        <f>IF(Table2[[#This Row],[Advance Amount]]=Table2[[#This Row],[Expense Amount]]+Table2[[#This Row],[Return Amount]]+Table2[[#This Row],[Outstanding]],"Ok","Check")</f>
        <v>Ok</v>
      </c>
      <c r="N189" s="11">
        <f>IF(Table2[[#This Row],[Status]]="Settled",0,$Q$2-Table2[[#This Row],[Date]])</f>
        <v>0</v>
      </c>
      <c r="O189" s="5" t="str">
        <f>IF(Table2[[#This Row],[Age Days]]&lt;=7,"Normal",IF(Table2[[#This Row],[Age Days]]&lt;=14,"Perlu Dipantau",IF(Table2[[#This Row],[Age Days]]&lt;=30,"Perlu Ditindaklanjuti","Overdue")))</f>
        <v>Normal</v>
      </c>
    </row>
    <row r="190" spans="1:15" x14ac:dyDescent="0.3">
      <c r="A190" t="s">
        <v>274</v>
      </c>
      <c r="B190" s="3">
        <v>46068</v>
      </c>
      <c r="C190" t="s">
        <v>68</v>
      </c>
      <c r="D190" t="s">
        <v>69</v>
      </c>
      <c r="E190" t="s">
        <v>27</v>
      </c>
      <c r="F190" t="s">
        <v>20</v>
      </c>
      <c r="G190" t="s">
        <v>58</v>
      </c>
      <c r="H190" s="5">
        <v>500000</v>
      </c>
      <c r="I190" s="5">
        <v>0</v>
      </c>
      <c r="J190" s="5">
        <v>0</v>
      </c>
      <c r="K190" s="5">
        <f>Table2[[#This Row],[Advance Amount]]-Table2[[#This Row],[Expense Amount]]-Table2[[#This Row],[Return Amount]]</f>
        <v>500000</v>
      </c>
      <c r="L190" s="5" t="str">
        <f>IF(Table2[[#This Row],[Outstanding]]=0,"Settled",IF(Table2[[#This Row],[Outstanding]]&gt;0,"Outstanding"))</f>
        <v>Outstanding</v>
      </c>
      <c r="M190" s="5" t="str">
        <f>IF(Table2[[#This Row],[Advance Amount]]=Table2[[#This Row],[Expense Amount]]+Table2[[#This Row],[Return Amount]]+Table2[[#This Row],[Outstanding]],"Ok","Check")</f>
        <v>Ok</v>
      </c>
      <c r="N190" s="11">
        <f>IF(Table2[[#This Row],[Status]]="Settled",0,$Q$2-Table2[[#This Row],[Date]])</f>
        <v>197</v>
      </c>
      <c r="O190" s="5" t="str">
        <f>IF(Table2[[#This Row],[Age Days]]&lt;=7,"Normal",IF(Table2[[#This Row],[Age Days]]&lt;=14,"Perlu Dipantau",IF(Table2[[#This Row],[Age Days]]&lt;=30,"Perlu Ditindaklanjuti","Overdue")))</f>
        <v>Overdue</v>
      </c>
    </row>
    <row r="191" spans="1:15" x14ac:dyDescent="0.3">
      <c r="A191" t="s">
        <v>275</v>
      </c>
      <c r="B191" s="3">
        <v>46068</v>
      </c>
      <c r="C191" t="s">
        <v>66</v>
      </c>
      <c r="D191" t="s">
        <v>67</v>
      </c>
      <c r="E191" t="s">
        <v>13</v>
      </c>
      <c r="F191" t="s">
        <v>20</v>
      </c>
      <c r="G191" t="s">
        <v>34</v>
      </c>
      <c r="H191" s="5">
        <v>525000</v>
      </c>
      <c r="I191" s="5">
        <v>475000</v>
      </c>
      <c r="J191" s="5">
        <v>50000</v>
      </c>
      <c r="K191" s="5">
        <f>Table2[[#This Row],[Advance Amount]]-Table2[[#This Row],[Expense Amount]]-Table2[[#This Row],[Return Amount]]</f>
        <v>0</v>
      </c>
      <c r="L191" s="5" t="str">
        <f>IF(Table2[[#This Row],[Outstanding]]=0,"Settled",IF(Table2[[#This Row],[Outstanding]]&gt;0,"Outstanding"))</f>
        <v>Settled</v>
      </c>
      <c r="M191" s="5" t="str">
        <f>IF(Table2[[#This Row],[Advance Amount]]=Table2[[#This Row],[Expense Amount]]+Table2[[#This Row],[Return Amount]]+Table2[[#This Row],[Outstanding]],"Ok","Check")</f>
        <v>Ok</v>
      </c>
      <c r="N191" s="11">
        <f>IF(Table2[[#This Row],[Status]]="Settled",0,$Q$2-Table2[[#This Row],[Date]])</f>
        <v>0</v>
      </c>
      <c r="O191" s="5" t="str">
        <f>IF(Table2[[#This Row],[Age Days]]&lt;=7,"Normal",IF(Table2[[#This Row],[Age Days]]&lt;=14,"Perlu Dipantau",IF(Table2[[#This Row],[Age Days]]&lt;=30,"Perlu Ditindaklanjuti","Overdue")))</f>
        <v>Normal</v>
      </c>
    </row>
    <row r="192" spans="1:15" x14ac:dyDescent="0.3">
      <c r="A192" t="s">
        <v>276</v>
      </c>
      <c r="B192" s="3">
        <v>46069</v>
      </c>
      <c r="C192" t="s">
        <v>48</v>
      </c>
      <c r="D192" t="s">
        <v>49</v>
      </c>
      <c r="E192" t="s">
        <v>19</v>
      </c>
      <c r="F192" t="s">
        <v>20</v>
      </c>
      <c r="G192" t="s">
        <v>31</v>
      </c>
      <c r="H192" s="5">
        <v>250000</v>
      </c>
      <c r="I192" s="5">
        <v>225000</v>
      </c>
      <c r="J192" s="5">
        <v>25000</v>
      </c>
      <c r="K192" s="5">
        <f>Table2[[#This Row],[Advance Amount]]-Table2[[#This Row],[Expense Amount]]-Table2[[#This Row],[Return Amount]]</f>
        <v>0</v>
      </c>
      <c r="L192" s="5" t="str">
        <f>IF(Table2[[#This Row],[Outstanding]]=0,"Settled",IF(Table2[[#This Row],[Outstanding]]&gt;0,"Outstanding"))</f>
        <v>Settled</v>
      </c>
      <c r="M192" s="5" t="str">
        <f>IF(Table2[[#This Row],[Advance Amount]]=Table2[[#This Row],[Expense Amount]]+Table2[[#This Row],[Return Amount]]+Table2[[#This Row],[Outstanding]],"Ok","Check")</f>
        <v>Ok</v>
      </c>
      <c r="N192" s="11">
        <f>IF(Table2[[#This Row],[Status]]="Settled",0,$Q$2-Table2[[#This Row],[Date]])</f>
        <v>0</v>
      </c>
      <c r="O192" s="5" t="str">
        <f>IF(Table2[[#This Row],[Age Days]]&lt;=7,"Normal",IF(Table2[[#This Row],[Age Days]]&lt;=14,"Perlu Dipantau",IF(Table2[[#This Row],[Age Days]]&lt;=30,"Perlu Ditindaklanjuti","Overdue")))</f>
        <v>Normal</v>
      </c>
    </row>
    <row r="193" spans="1:15" x14ac:dyDescent="0.3">
      <c r="A193" t="s">
        <v>277</v>
      </c>
      <c r="B193" s="3">
        <v>46069</v>
      </c>
      <c r="C193" t="s">
        <v>50</v>
      </c>
      <c r="D193" t="s">
        <v>51</v>
      </c>
      <c r="E193" t="s">
        <v>52</v>
      </c>
      <c r="F193" t="s">
        <v>14</v>
      </c>
      <c r="G193" t="s">
        <v>15</v>
      </c>
      <c r="H193" s="5">
        <v>1625000</v>
      </c>
      <c r="I193" s="5">
        <v>0</v>
      </c>
      <c r="J193" s="5">
        <v>0</v>
      </c>
      <c r="K193" s="5">
        <f>Table2[[#This Row],[Advance Amount]]-Table2[[#This Row],[Expense Amount]]-Table2[[#This Row],[Return Amount]]</f>
        <v>1625000</v>
      </c>
      <c r="L193" s="5" t="str">
        <f>IF(Table2[[#This Row],[Outstanding]]=0,"Settled",IF(Table2[[#This Row],[Outstanding]]&gt;0,"Outstanding"))</f>
        <v>Outstanding</v>
      </c>
      <c r="M193" s="5" t="str">
        <f>IF(Table2[[#This Row],[Advance Amount]]=Table2[[#This Row],[Expense Amount]]+Table2[[#This Row],[Return Amount]]+Table2[[#This Row],[Outstanding]],"Ok","Check")</f>
        <v>Ok</v>
      </c>
      <c r="N193" s="11">
        <f>IF(Table2[[#This Row],[Status]]="Settled",0,$Q$2-Table2[[#This Row],[Date]])</f>
        <v>196</v>
      </c>
      <c r="O193" s="5" t="str">
        <f>IF(Table2[[#This Row],[Age Days]]&lt;=7,"Normal",IF(Table2[[#This Row],[Age Days]]&lt;=14,"Perlu Dipantau",IF(Table2[[#This Row],[Age Days]]&lt;=30,"Perlu Ditindaklanjuti","Overdue")))</f>
        <v>Overdue</v>
      </c>
    </row>
    <row r="194" spans="1:15" x14ac:dyDescent="0.3">
      <c r="A194" t="s">
        <v>278</v>
      </c>
      <c r="B194" s="3">
        <v>46069</v>
      </c>
      <c r="C194" t="s">
        <v>50</v>
      </c>
      <c r="D194" t="s">
        <v>51</v>
      </c>
      <c r="E194" t="s">
        <v>52</v>
      </c>
      <c r="F194" t="s">
        <v>20</v>
      </c>
      <c r="G194" t="s">
        <v>31</v>
      </c>
      <c r="H194" s="5">
        <v>125000</v>
      </c>
      <c r="I194" s="5">
        <v>100000</v>
      </c>
      <c r="J194" s="5">
        <v>25000</v>
      </c>
      <c r="K194" s="5">
        <f>Table2[[#This Row],[Advance Amount]]-Table2[[#This Row],[Expense Amount]]-Table2[[#This Row],[Return Amount]]</f>
        <v>0</v>
      </c>
      <c r="L194" s="5" t="str">
        <f>IF(Table2[[#This Row],[Outstanding]]=0,"Settled",IF(Table2[[#This Row],[Outstanding]]&gt;0,"Outstanding"))</f>
        <v>Settled</v>
      </c>
      <c r="M194" s="5" t="str">
        <f>IF(Table2[[#This Row],[Advance Amount]]=Table2[[#This Row],[Expense Amount]]+Table2[[#This Row],[Return Amount]]+Table2[[#This Row],[Outstanding]],"Ok","Check")</f>
        <v>Ok</v>
      </c>
      <c r="N194" s="11">
        <f>IF(Table2[[#This Row],[Status]]="Settled",0,$Q$2-Table2[[#This Row],[Date]])</f>
        <v>0</v>
      </c>
      <c r="O194" s="5" t="str">
        <f>IF(Table2[[#This Row],[Age Days]]&lt;=7,"Normal",IF(Table2[[#This Row],[Age Days]]&lt;=14,"Perlu Dipantau",IF(Table2[[#This Row],[Age Days]]&lt;=30,"Perlu Ditindaklanjuti","Overdue")))</f>
        <v>Normal</v>
      </c>
    </row>
    <row r="195" spans="1:15" x14ac:dyDescent="0.3">
      <c r="A195" t="s">
        <v>279</v>
      </c>
      <c r="B195" s="3">
        <v>46071</v>
      </c>
      <c r="C195" t="s">
        <v>44</v>
      </c>
      <c r="D195" t="s">
        <v>45</v>
      </c>
      <c r="E195" t="s">
        <v>43</v>
      </c>
      <c r="F195" t="s">
        <v>20</v>
      </c>
      <c r="G195" t="s">
        <v>57</v>
      </c>
      <c r="H195" s="5">
        <v>405000</v>
      </c>
      <c r="I195" s="5">
        <v>300000</v>
      </c>
      <c r="J195" s="5">
        <v>105000</v>
      </c>
      <c r="K195" s="5">
        <f>Table2[[#This Row],[Advance Amount]]-Table2[[#This Row],[Expense Amount]]-Table2[[#This Row],[Return Amount]]</f>
        <v>0</v>
      </c>
      <c r="L195" s="5" t="str">
        <f>IF(Table2[[#This Row],[Outstanding]]=0,"Settled",IF(Table2[[#This Row],[Outstanding]]&gt;0,"Outstanding"))</f>
        <v>Settled</v>
      </c>
      <c r="M195" s="5" t="str">
        <f>IF(Table2[[#This Row],[Advance Amount]]=Table2[[#This Row],[Expense Amount]]+Table2[[#This Row],[Return Amount]]+Table2[[#This Row],[Outstanding]],"Ok","Check")</f>
        <v>Ok</v>
      </c>
      <c r="N195" s="11">
        <f>IF(Table2[[#This Row],[Status]]="Settled",0,$Q$2-Table2[[#This Row],[Date]])</f>
        <v>0</v>
      </c>
      <c r="O195" s="5" t="str">
        <f>IF(Table2[[#This Row],[Age Days]]&lt;=7,"Normal",IF(Table2[[#This Row],[Age Days]]&lt;=14,"Perlu Dipantau",IF(Table2[[#This Row],[Age Days]]&lt;=30,"Perlu Ditindaklanjuti","Overdue")))</f>
        <v>Normal</v>
      </c>
    </row>
    <row r="196" spans="1:15" x14ac:dyDescent="0.3">
      <c r="A196" t="s">
        <v>280</v>
      </c>
      <c r="B196" s="3">
        <v>46071</v>
      </c>
      <c r="C196" t="s">
        <v>44</v>
      </c>
      <c r="D196" t="s">
        <v>45</v>
      </c>
      <c r="E196" t="s">
        <v>43</v>
      </c>
      <c r="F196" t="s">
        <v>14</v>
      </c>
      <c r="G196" t="s">
        <v>40</v>
      </c>
      <c r="H196" s="5">
        <v>575000</v>
      </c>
      <c r="I196" s="5">
        <v>575000</v>
      </c>
      <c r="J196" s="5">
        <v>0</v>
      </c>
      <c r="K196" s="5">
        <f>Table2[[#This Row],[Advance Amount]]-Table2[[#This Row],[Expense Amount]]-Table2[[#This Row],[Return Amount]]</f>
        <v>0</v>
      </c>
      <c r="L196" s="5" t="str">
        <f>IF(Table2[[#This Row],[Outstanding]]=0,"Settled",IF(Table2[[#This Row],[Outstanding]]&gt;0,"Outstanding"))</f>
        <v>Settled</v>
      </c>
      <c r="M196" s="5" t="str">
        <f>IF(Table2[[#This Row],[Advance Amount]]=Table2[[#This Row],[Expense Amount]]+Table2[[#This Row],[Return Amount]]+Table2[[#This Row],[Outstanding]],"Ok","Check")</f>
        <v>Ok</v>
      </c>
      <c r="N196" s="11">
        <f>IF(Table2[[#This Row],[Status]]="Settled",0,$Q$2-Table2[[#This Row],[Date]])</f>
        <v>0</v>
      </c>
      <c r="O196" s="5" t="str">
        <f>IF(Table2[[#This Row],[Age Days]]&lt;=7,"Normal",IF(Table2[[#This Row],[Age Days]]&lt;=14,"Perlu Dipantau",IF(Table2[[#This Row],[Age Days]]&lt;=30,"Perlu Ditindaklanjuti","Overdue")))</f>
        <v>Normal</v>
      </c>
    </row>
    <row r="197" spans="1:15" x14ac:dyDescent="0.3">
      <c r="A197" t="s">
        <v>281</v>
      </c>
      <c r="B197" s="3">
        <v>46072</v>
      </c>
      <c r="C197" t="s">
        <v>29</v>
      </c>
      <c r="D197" t="s">
        <v>30</v>
      </c>
      <c r="E197" t="s">
        <v>13</v>
      </c>
      <c r="F197" t="s">
        <v>14</v>
      </c>
      <c r="G197" t="s">
        <v>61</v>
      </c>
      <c r="H197" s="5">
        <v>275000</v>
      </c>
      <c r="I197" s="5">
        <v>250000</v>
      </c>
      <c r="J197" s="5">
        <v>25000</v>
      </c>
      <c r="K197" s="5">
        <f>Table2[[#This Row],[Advance Amount]]-Table2[[#This Row],[Expense Amount]]-Table2[[#This Row],[Return Amount]]</f>
        <v>0</v>
      </c>
      <c r="L197" s="5" t="str">
        <f>IF(Table2[[#This Row],[Outstanding]]=0,"Settled",IF(Table2[[#This Row],[Outstanding]]&gt;0,"Outstanding"))</f>
        <v>Settled</v>
      </c>
      <c r="M197" s="5" t="str">
        <f>IF(Table2[[#This Row],[Advance Amount]]=Table2[[#This Row],[Expense Amount]]+Table2[[#This Row],[Return Amount]]+Table2[[#This Row],[Outstanding]],"Ok","Check")</f>
        <v>Ok</v>
      </c>
      <c r="N197" s="11">
        <f>IF(Table2[[#This Row],[Status]]="Settled",0,$Q$2-Table2[[#This Row],[Date]])</f>
        <v>0</v>
      </c>
      <c r="O197" s="5" t="str">
        <f>IF(Table2[[#This Row],[Age Days]]&lt;=7,"Normal",IF(Table2[[#This Row],[Age Days]]&lt;=14,"Perlu Dipantau",IF(Table2[[#This Row],[Age Days]]&lt;=30,"Perlu Ditindaklanjuti","Overdue")))</f>
        <v>Normal</v>
      </c>
    </row>
    <row r="198" spans="1:15" x14ac:dyDescent="0.3">
      <c r="A198" t="s">
        <v>282</v>
      </c>
      <c r="B198" s="3">
        <v>46072</v>
      </c>
      <c r="C198" t="s">
        <v>41</v>
      </c>
      <c r="D198" t="s">
        <v>42</v>
      </c>
      <c r="E198" t="s">
        <v>43</v>
      </c>
      <c r="F198" t="s">
        <v>14</v>
      </c>
      <c r="G198" t="s">
        <v>15</v>
      </c>
      <c r="H198" s="5">
        <v>2300000</v>
      </c>
      <c r="I198" s="5">
        <v>1850000</v>
      </c>
      <c r="J198" s="5">
        <v>450000</v>
      </c>
      <c r="K198" s="5">
        <f>Table2[[#This Row],[Advance Amount]]-Table2[[#This Row],[Expense Amount]]-Table2[[#This Row],[Return Amount]]</f>
        <v>0</v>
      </c>
      <c r="L198" s="5" t="str">
        <f>IF(Table2[[#This Row],[Outstanding]]=0,"Settled",IF(Table2[[#This Row],[Outstanding]]&gt;0,"Outstanding"))</f>
        <v>Settled</v>
      </c>
      <c r="M198" s="5" t="str">
        <f>IF(Table2[[#This Row],[Advance Amount]]=Table2[[#This Row],[Expense Amount]]+Table2[[#This Row],[Return Amount]]+Table2[[#This Row],[Outstanding]],"Ok","Check")</f>
        <v>Ok</v>
      </c>
      <c r="N198" s="11">
        <f>IF(Table2[[#This Row],[Status]]="Settled",0,$Q$2-Table2[[#This Row],[Date]])</f>
        <v>0</v>
      </c>
      <c r="O198" s="5" t="str">
        <f>IF(Table2[[#This Row],[Age Days]]&lt;=7,"Normal",IF(Table2[[#This Row],[Age Days]]&lt;=14,"Perlu Dipantau",IF(Table2[[#This Row],[Age Days]]&lt;=30,"Perlu Ditindaklanjuti","Overdue")))</f>
        <v>Normal</v>
      </c>
    </row>
    <row r="199" spans="1:15" x14ac:dyDescent="0.3">
      <c r="A199" t="s">
        <v>283</v>
      </c>
      <c r="B199" s="3">
        <v>46072</v>
      </c>
      <c r="C199" t="s">
        <v>38</v>
      </c>
      <c r="D199" t="s">
        <v>39</v>
      </c>
      <c r="E199" t="s">
        <v>24</v>
      </c>
      <c r="F199" t="s">
        <v>14</v>
      </c>
      <c r="G199" t="s">
        <v>31</v>
      </c>
      <c r="H199" s="5">
        <v>175000</v>
      </c>
      <c r="I199" s="5">
        <v>0</v>
      </c>
      <c r="J199" s="5">
        <v>0</v>
      </c>
      <c r="K199" s="5">
        <f>Table2[[#This Row],[Advance Amount]]-Table2[[#This Row],[Expense Amount]]-Table2[[#This Row],[Return Amount]]</f>
        <v>175000</v>
      </c>
      <c r="L199" s="5" t="str">
        <f>IF(Table2[[#This Row],[Outstanding]]=0,"Settled",IF(Table2[[#This Row],[Outstanding]]&gt;0,"Outstanding"))</f>
        <v>Outstanding</v>
      </c>
      <c r="M199" s="5" t="str">
        <f>IF(Table2[[#This Row],[Advance Amount]]=Table2[[#This Row],[Expense Amount]]+Table2[[#This Row],[Return Amount]]+Table2[[#This Row],[Outstanding]],"Ok","Check")</f>
        <v>Ok</v>
      </c>
      <c r="N199" s="11">
        <f>IF(Table2[[#This Row],[Status]]="Settled",0,$Q$2-Table2[[#This Row],[Date]])</f>
        <v>193</v>
      </c>
      <c r="O199" s="5" t="str">
        <f>IF(Table2[[#This Row],[Age Days]]&lt;=7,"Normal",IF(Table2[[#This Row],[Age Days]]&lt;=14,"Perlu Dipantau",IF(Table2[[#This Row],[Age Days]]&lt;=30,"Perlu Ditindaklanjuti","Overdue")))</f>
        <v>Overdue</v>
      </c>
    </row>
    <row r="200" spans="1:15" x14ac:dyDescent="0.3">
      <c r="A200" t="s">
        <v>284</v>
      </c>
      <c r="B200" s="3">
        <v>46072</v>
      </c>
      <c r="C200" t="s">
        <v>53</v>
      </c>
      <c r="D200" t="s">
        <v>54</v>
      </c>
      <c r="E200" t="s">
        <v>43</v>
      </c>
      <c r="F200" t="s">
        <v>14</v>
      </c>
      <c r="G200" t="s">
        <v>40</v>
      </c>
      <c r="H200" s="5">
        <v>450000</v>
      </c>
      <c r="I200" s="5">
        <v>0</v>
      </c>
      <c r="J200" s="5">
        <v>0</v>
      </c>
      <c r="K200" s="5">
        <f>Table2[[#This Row],[Advance Amount]]-Table2[[#This Row],[Expense Amount]]-Table2[[#This Row],[Return Amount]]</f>
        <v>450000</v>
      </c>
      <c r="L200" s="5" t="str">
        <f>IF(Table2[[#This Row],[Outstanding]]=0,"Settled",IF(Table2[[#This Row],[Outstanding]]&gt;0,"Outstanding"))</f>
        <v>Outstanding</v>
      </c>
      <c r="M200" s="5" t="str">
        <f>IF(Table2[[#This Row],[Advance Amount]]=Table2[[#This Row],[Expense Amount]]+Table2[[#This Row],[Return Amount]]+Table2[[#This Row],[Outstanding]],"Ok","Check")</f>
        <v>Ok</v>
      </c>
      <c r="N200" s="11">
        <f>IF(Table2[[#This Row],[Status]]="Settled",0,$Q$2-Table2[[#This Row],[Date]])</f>
        <v>193</v>
      </c>
      <c r="O200" s="5" t="str">
        <f>IF(Table2[[#This Row],[Age Days]]&lt;=7,"Normal",IF(Table2[[#This Row],[Age Days]]&lt;=14,"Perlu Dipantau",IF(Table2[[#This Row],[Age Days]]&lt;=30,"Perlu Ditindaklanjuti","Overdue")))</f>
        <v>Overdue</v>
      </c>
    </row>
    <row r="201" spans="1:15" x14ac:dyDescent="0.3">
      <c r="A201" t="s">
        <v>285</v>
      </c>
      <c r="B201" s="3">
        <v>46073</v>
      </c>
      <c r="C201" t="s">
        <v>62</v>
      </c>
      <c r="D201" t="s">
        <v>63</v>
      </c>
      <c r="E201" t="s">
        <v>52</v>
      </c>
      <c r="F201" t="s">
        <v>14</v>
      </c>
      <c r="G201" t="s">
        <v>57</v>
      </c>
      <c r="H201" s="5">
        <v>230000</v>
      </c>
      <c r="I201" s="5">
        <v>0</v>
      </c>
      <c r="J201" s="5">
        <v>0</v>
      </c>
      <c r="K201" s="5">
        <f>Table2[[#This Row],[Advance Amount]]-Table2[[#This Row],[Expense Amount]]-Table2[[#This Row],[Return Amount]]</f>
        <v>230000</v>
      </c>
      <c r="L201" s="5" t="str">
        <f>IF(Table2[[#This Row],[Outstanding]]=0,"Settled",IF(Table2[[#This Row],[Outstanding]]&gt;0,"Outstanding"))</f>
        <v>Outstanding</v>
      </c>
      <c r="M201" s="5" t="str">
        <f>IF(Table2[[#This Row],[Advance Amount]]=Table2[[#This Row],[Expense Amount]]+Table2[[#This Row],[Return Amount]]+Table2[[#This Row],[Outstanding]],"Ok","Check")</f>
        <v>Ok</v>
      </c>
      <c r="N201" s="11">
        <f>IF(Table2[[#This Row],[Status]]="Settled",0,$Q$2-Table2[[#This Row],[Date]])</f>
        <v>192</v>
      </c>
      <c r="O201" s="5" t="str">
        <f>IF(Table2[[#This Row],[Age Days]]&lt;=7,"Normal",IF(Table2[[#This Row],[Age Days]]&lt;=14,"Perlu Dipantau",IF(Table2[[#This Row],[Age Days]]&lt;=30,"Perlu Ditindaklanjuti","Overdue")))</f>
        <v>Overdue</v>
      </c>
    </row>
    <row r="202" spans="1:15" x14ac:dyDescent="0.3">
      <c r="A202" t="s">
        <v>286</v>
      </c>
      <c r="B202" s="3">
        <v>46073</v>
      </c>
      <c r="C202" t="s">
        <v>11</v>
      </c>
      <c r="D202" t="s">
        <v>12</v>
      </c>
      <c r="E202" t="s">
        <v>13</v>
      </c>
      <c r="F202" t="s">
        <v>20</v>
      </c>
      <c r="G202" t="s">
        <v>15</v>
      </c>
      <c r="H202" s="5">
        <v>2750000</v>
      </c>
      <c r="I202" s="5">
        <v>2175000</v>
      </c>
      <c r="J202" s="5">
        <v>575000</v>
      </c>
      <c r="K202" s="5">
        <f>Table2[[#This Row],[Advance Amount]]-Table2[[#This Row],[Expense Amount]]-Table2[[#This Row],[Return Amount]]</f>
        <v>0</v>
      </c>
      <c r="L202" s="5" t="str">
        <f>IF(Table2[[#This Row],[Outstanding]]=0,"Settled",IF(Table2[[#This Row],[Outstanding]]&gt;0,"Outstanding"))</f>
        <v>Settled</v>
      </c>
      <c r="M202" s="5" t="str">
        <f>IF(Table2[[#This Row],[Advance Amount]]=Table2[[#This Row],[Expense Amount]]+Table2[[#This Row],[Return Amount]]+Table2[[#This Row],[Outstanding]],"Ok","Check")</f>
        <v>Ok</v>
      </c>
      <c r="N202" s="11">
        <f>IF(Table2[[#This Row],[Status]]="Settled",0,$Q$2-Table2[[#This Row],[Date]])</f>
        <v>0</v>
      </c>
      <c r="O202" s="5" t="str">
        <f>IF(Table2[[#This Row],[Age Days]]&lt;=7,"Normal",IF(Table2[[#This Row],[Age Days]]&lt;=14,"Perlu Dipantau",IF(Table2[[#This Row],[Age Days]]&lt;=30,"Perlu Ditindaklanjuti","Overdue")))</f>
        <v>Normal</v>
      </c>
    </row>
    <row r="203" spans="1:15" x14ac:dyDescent="0.3">
      <c r="A203" t="s">
        <v>287</v>
      </c>
      <c r="B203" s="3">
        <v>46073</v>
      </c>
      <c r="C203" t="s">
        <v>35</v>
      </c>
      <c r="D203" t="s">
        <v>36</v>
      </c>
      <c r="E203" t="s">
        <v>37</v>
      </c>
      <c r="F203" t="s">
        <v>14</v>
      </c>
      <c r="G203" t="s">
        <v>40</v>
      </c>
      <c r="H203" s="5">
        <v>800000</v>
      </c>
      <c r="I203" s="5">
        <v>725000</v>
      </c>
      <c r="J203" s="5">
        <v>75000</v>
      </c>
      <c r="K203" s="5">
        <f>Table2[[#This Row],[Advance Amount]]-Table2[[#This Row],[Expense Amount]]-Table2[[#This Row],[Return Amount]]</f>
        <v>0</v>
      </c>
      <c r="L203" s="5" t="str">
        <f>IF(Table2[[#This Row],[Outstanding]]=0,"Settled",IF(Table2[[#This Row],[Outstanding]]&gt;0,"Outstanding"))</f>
        <v>Settled</v>
      </c>
      <c r="M203" s="5" t="str">
        <f>IF(Table2[[#This Row],[Advance Amount]]=Table2[[#This Row],[Expense Amount]]+Table2[[#This Row],[Return Amount]]+Table2[[#This Row],[Outstanding]],"Ok","Check")</f>
        <v>Ok</v>
      </c>
      <c r="N203" s="11">
        <f>IF(Table2[[#This Row],[Status]]="Settled",0,$Q$2-Table2[[#This Row],[Date]])</f>
        <v>0</v>
      </c>
      <c r="O203" s="5" t="str">
        <f>IF(Table2[[#This Row],[Age Days]]&lt;=7,"Normal",IF(Table2[[#This Row],[Age Days]]&lt;=14,"Perlu Dipantau",IF(Table2[[#This Row],[Age Days]]&lt;=30,"Perlu Ditindaklanjuti","Overdue")))</f>
        <v>Normal</v>
      </c>
    </row>
    <row r="204" spans="1:15" x14ac:dyDescent="0.3">
      <c r="A204" t="s">
        <v>288</v>
      </c>
      <c r="B204" s="3">
        <v>46073</v>
      </c>
      <c r="C204" t="s">
        <v>66</v>
      </c>
      <c r="D204" t="s">
        <v>67</v>
      </c>
      <c r="E204" t="s">
        <v>13</v>
      </c>
      <c r="F204" t="s">
        <v>20</v>
      </c>
      <c r="G204" t="s">
        <v>15</v>
      </c>
      <c r="H204" s="5">
        <v>2400000</v>
      </c>
      <c r="I204" s="5">
        <v>0</v>
      </c>
      <c r="J204" s="5">
        <v>0</v>
      </c>
      <c r="K204" s="5">
        <f>Table2[[#This Row],[Advance Amount]]-Table2[[#This Row],[Expense Amount]]-Table2[[#This Row],[Return Amount]]</f>
        <v>2400000</v>
      </c>
      <c r="L204" s="5" t="str">
        <f>IF(Table2[[#This Row],[Outstanding]]=0,"Settled",IF(Table2[[#This Row],[Outstanding]]&gt;0,"Outstanding"))</f>
        <v>Outstanding</v>
      </c>
      <c r="M204" s="5" t="str">
        <f>IF(Table2[[#This Row],[Advance Amount]]=Table2[[#This Row],[Expense Amount]]+Table2[[#This Row],[Return Amount]]+Table2[[#This Row],[Outstanding]],"Ok","Check")</f>
        <v>Ok</v>
      </c>
      <c r="N204" s="11">
        <f>IF(Table2[[#This Row],[Status]]="Settled",0,$Q$2-Table2[[#This Row],[Date]])</f>
        <v>192</v>
      </c>
      <c r="O204" s="5" t="str">
        <f>IF(Table2[[#This Row],[Age Days]]&lt;=7,"Normal",IF(Table2[[#This Row],[Age Days]]&lt;=14,"Perlu Dipantau",IF(Table2[[#This Row],[Age Days]]&lt;=30,"Perlu Ditindaklanjuti","Overdue")))</f>
        <v>Overdue</v>
      </c>
    </row>
    <row r="205" spans="1:15" x14ac:dyDescent="0.3">
      <c r="A205" t="s">
        <v>289</v>
      </c>
      <c r="B205" s="3">
        <v>46073</v>
      </c>
      <c r="C205" t="s">
        <v>59</v>
      </c>
      <c r="D205" t="s">
        <v>60</v>
      </c>
      <c r="E205" t="s">
        <v>19</v>
      </c>
      <c r="F205" t="s">
        <v>20</v>
      </c>
      <c r="G205" t="s">
        <v>61</v>
      </c>
      <c r="H205" s="5">
        <v>425000</v>
      </c>
      <c r="I205" s="5">
        <v>350000</v>
      </c>
      <c r="J205" s="5">
        <v>75000</v>
      </c>
      <c r="K205" s="5">
        <f>Table2[[#This Row],[Advance Amount]]-Table2[[#This Row],[Expense Amount]]-Table2[[#This Row],[Return Amount]]</f>
        <v>0</v>
      </c>
      <c r="L205" s="5" t="str">
        <f>IF(Table2[[#This Row],[Outstanding]]=0,"Settled",IF(Table2[[#This Row],[Outstanding]]&gt;0,"Outstanding"))</f>
        <v>Settled</v>
      </c>
      <c r="M205" s="5" t="str">
        <f>IF(Table2[[#This Row],[Advance Amount]]=Table2[[#This Row],[Expense Amount]]+Table2[[#This Row],[Return Amount]]+Table2[[#This Row],[Outstanding]],"Ok","Check")</f>
        <v>Ok</v>
      </c>
      <c r="N205" s="11">
        <f>IF(Table2[[#This Row],[Status]]="Settled",0,$Q$2-Table2[[#This Row],[Date]])</f>
        <v>0</v>
      </c>
      <c r="O205" s="5" t="str">
        <f>IF(Table2[[#This Row],[Age Days]]&lt;=7,"Normal",IF(Table2[[#This Row],[Age Days]]&lt;=14,"Perlu Dipantau",IF(Table2[[#This Row],[Age Days]]&lt;=30,"Perlu Ditindaklanjuti","Overdue")))</f>
        <v>Normal</v>
      </c>
    </row>
    <row r="206" spans="1:15" x14ac:dyDescent="0.3">
      <c r="A206" t="s">
        <v>290</v>
      </c>
      <c r="B206" s="3">
        <v>46074</v>
      </c>
      <c r="C206" t="s">
        <v>38</v>
      </c>
      <c r="D206" t="s">
        <v>39</v>
      </c>
      <c r="E206" t="s">
        <v>24</v>
      </c>
      <c r="F206" t="s">
        <v>14</v>
      </c>
      <c r="G206" t="s">
        <v>40</v>
      </c>
      <c r="H206" s="5">
        <v>400000</v>
      </c>
      <c r="I206" s="5">
        <v>400000</v>
      </c>
      <c r="J206" s="5">
        <v>0</v>
      </c>
      <c r="K206" s="5">
        <f>Table2[[#This Row],[Advance Amount]]-Table2[[#This Row],[Expense Amount]]-Table2[[#This Row],[Return Amount]]</f>
        <v>0</v>
      </c>
      <c r="L206" s="5" t="str">
        <f>IF(Table2[[#This Row],[Outstanding]]=0,"Settled",IF(Table2[[#This Row],[Outstanding]]&gt;0,"Outstanding"))</f>
        <v>Settled</v>
      </c>
      <c r="M206" s="5" t="str">
        <f>IF(Table2[[#This Row],[Advance Amount]]=Table2[[#This Row],[Expense Amount]]+Table2[[#This Row],[Return Amount]]+Table2[[#This Row],[Outstanding]],"Ok","Check")</f>
        <v>Ok</v>
      </c>
      <c r="N206" s="11">
        <f>IF(Table2[[#This Row],[Status]]="Settled",0,$Q$2-Table2[[#This Row],[Date]])</f>
        <v>0</v>
      </c>
      <c r="O206" s="5" t="str">
        <f>IF(Table2[[#This Row],[Age Days]]&lt;=7,"Normal",IF(Table2[[#This Row],[Age Days]]&lt;=14,"Perlu Dipantau",IF(Table2[[#This Row],[Age Days]]&lt;=30,"Perlu Ditindaklanjuti","Overdue")))</f>
        <v>Normal</v>
      </c>
    </row>
    <row r="207" spans="1:15" x14ac:dyDescent="0.3">
      <c r="A207" t="s">
        <v>291</v>
      </c>
      <c r="B207" s="3">
        <v>46074</v>
      </c>
      <c r="C207" t="s">
        <v>17</v>
      </c>
      <c r="D207" t="s">
        <v>18</v>
      </c>
      <c r="E207" t="s">
        <v>19</v>
      </c>
      <c r="F207" t="s">
        <v>14</v>
      </c>
      <c r="G207" t="s">
        <v>28</v>
      </c>
      <c r="H207" s="5">
        <v>405000</v>
      </c>
      <c r="I207" s="5">
        <v>375000</v>
      </c>
      <c r="J207" s="5">
        <v>30000</v>
      </c>
      <c r="K207" s="5">
        <f>Table2[[#This Row],[Advance Amount]]-Table2[[#This Row],[Expense Amount]]-Table2[[#This Row],[Return Amount]]</f>
        <v>0</v>
      </c>
      <c r="L207" s="5" t="str">
        <f>IF(Table2[[#This Row],[Outstanding]]=0,"Settled",IF(Table2[[#This Row],[Outstanding]]&gt;0,"Outstanding"))</f>
        <v>Settled</v>
      </c>
      <c r="M207" s="5" t="str">
        <f>IF(Table2[[#This Row],[Advance Amount]]=Table2[[#This Row],[Expense Amount]]+Table2[[#This Row],[Return Amount]]+Table2[[#This Row],[Outstanding]],"Ok","Check")</f>
        <v>Ok</v>
      </c>
      <c r="N207" s="11">
        <f>IF(Table2[[#This Row],[Status]]="Settled",0,$Q$2-Table2[[#This Row],[Date]])</f>
        <v>0</v>
      </c>
      <c r="O207" s="5" t="str">
        <f>IF(Table2[[#This Row],[Age Days]]&lt;=7,"Normal",IF(Table2[[#This Row],[Age Days]]&lt;=14,"Perlu Dipantau",IF(Table2[[#This Row],[Age Days]]&lt;=30,"Perlu Ditindaklanjuti","Overdue")))</f>
        <v>Normal</v>
      </c>
    </row>
    <row r="208" spans="1:15" x14ac:dyDescent="0.3">
      <c r="A208" t="s">
        <v>292</v>
      </c>
      <c r="B208" s="3">
        <v>46074</v>
      </c>
      <c r="C208" t="s">
        <v>50</v>
      </c>
      <c r="D208" t="s">
        <v>51</v>
      </c>
      <c r="E208" t="s">
        <v>52</v>
      </c>
      <c r="F208" t="s">
        <v>20</v>
      </c>
      <c r="G208" t="s">
        <v>58</v>
      </c>
      <c r="H208" s="5">
        <v>500000</v>
      </c>
      <c r="I208" s="5">
        <v>475000</v>
      </c>
      <c r="J208" s="5">
        <v>25000</v>
      </c>
      <c r="K208" s="5">
        <f>Table2[[#This Row],[Advance Amount]]-Table2[[#This Row],[Expense Amount]]-Table2[[#This Row],[Return Amount]]</f>
        <v>0</v>
      </c>
      <c r="L208" s="5" t="str">
        <f>IF(Table2[[#This Row],[Outstanding]]=0,"Settled",IF(Table2[[#This Row],[Outstanding]]&gt;0,"Outstanding"))</f>
        <v>Settled</v>
      </c>
      <c r="M208" s="5" t="str">
        <f>IF(Table2[[#This Row],[Advance Amount]]=Table2[[#This Row],[Expense Amount]]+Table2[[#This Row],[Return Amount]]+Table2[[#This Row],[Outstanding]],"Ok","Check")</f>
        <v>Ok</v>
      </c>
      <c r="N208" s="11">
        <f>IF(Table2[[#This Row],[Status]]="Settled",0,$Q$2-Table2[[#This Row],[Date]])</f>
        <v>0</v>
      </c>
      <c r="O208" s="5" t="str">
        <f>IF(Table2[[#This Row],[Age Days]]&lt;=7,"Normal",IF(Table2[[#This Row],[Age Days]]&lt;=14,"Perlu Dipantau",IF(Table2[[#This Row],[Age Days]]&lt;=30,"Perlu Ditindaklanjuti","Overdue")))</f>
        <v>Normal</v>
      </c>
    </row>
    <row r="209" spans="1:15" x14ac:dyDescent="0.3">
      <c r="A209" t="s">
        <v>293</v>
      </c>
      <c r="B209" s="3">
        <v>46074</v>
      </c>
      <c r="C209" t="s">
        <v>25</v>
      </c>
      <c r="D209" t="s">
        <v>26</v>
      </c>
      <c r="E209" t="s">
        <v>27</v>
      </c>
      <c r="F209" t="s">
        <v>14</v>
      </c>
      <c r="G209" t="s">
        <v>28</v>
      </c>
      <c r="H209" s="5">
        <v>455000</v>
      </c>
      <c r="I209" s="5">
        <v>0</v>
      </c>
      <c r="J209" s="5">
        <v>0</v>
      </c>
      <c r="K209" s="5">
        <f>Table2[[#This Row],[Advance Amount]]-Table2[[#This Row],[Expense Amount]]-Table2[[#This Row],[Return Amount]]</f>
        <v>455000</v>
      </c>
      <c r="L209" s="5" t="str">
        <f>IF(Table2[[#This Row],[Outstanding]]=0,"Settled",IF(Table2[[#This Row],[Outstanding]]&gt;0,"Outstanding"))</f>
        <v>Outstanding</v>
      </c>
      <c r="M209" s="5" t="str">
        <f>IF(Table2[[#This Row],[Advance Amount]]=Table2[[#This Row],[Expense Amount]]+Table2[[#This Row],[Return Amount]]+Table2[[#This Row],[Outstanding]],"Ok","Check")</f>
        <v>Ok</v>
      </c>
      <c r="N209" s="11">
        <f>IF(Table2[[#This Row],[Status]]="Settled",0,$Q$2-Table2[[#This Row],[Date]])</f>
        <v>191</v>
      </c>
      <c r="O209" s="5" t="str">
        <f>IF(Table2[[#This Row],[Age Days]]&lt;=7,"Normal",IF(Table2[[#This Row],[Age Days]]&lt;=14,"Perlu Dipantau",IF(Table2[[#This Row],[Age Days]]&lt;=30,"Perlu Ditindaklanjuti","Overdue")))</f>
        <v>Overdue</v>
      </c>
    </row>
    <row r="210" spans="1:15" x14ac:dyDescent="0.3">
      <c r="A210" t="s">
        <v>294</v>
      </c>
      <c r="B210" s="3">
        <v>46075</v>
      </c>
      <c r="C210" t="s">
        <v>55</v>
      </c>
      <c r="D210" t="s">
        <v>56</v>
      </c>
      <c r="E210" t="s">
        <v>24</v>
      </c>
      <c r="F210" t="s">
        <v>20</v>
      </c>
      <c r="G210" t="s">
        <v>31</v>
      </c>
      <c r="H210" s="5">
        <v>1350000</v>
      </c>
      <c r="I210" s="5">
        <v>1150000</v>
      </c>
      <c r="J210" s="5">
        <v>200000</v>
      </c>
      <c r="K210" s="5">
        <f>Table2[[#This Row],[Advance Amount]]-Table2[[#This Row],[Expense Amount]]-Table2[[#This Row],[Return Amount]]</f>
        <v>0</v>
      </c>
      <c r="L210" s="5" t="str">
        <f>IF(Table2[[#This Row],[Outstanding]]=0,"Settled",IF(Table2[[#This Row],[Outstanding]]&gt;0,"Outstanding"))</f>
        <v>Settled</v>
      </c>
      <c r="M210" s="5" t="str">
        <f>IF(Table2[[#This Row],[Advance Amount]]=Table2[[#This Row],[Expense Amount]]+Table2[[#This Row],[Return Amount]]+Table2[[#This Row],[Outstanding]],"Ok","Check")</f>
        <v>Ok</v>
      </c>
      <c r="N210" s="11">
        <f>IF(Table2[[#This Row],[Status]]="Settled",0,$Q$2-Table2[[#This Row],[Date]])</f>
        <v>0</v>
      </c>
      <c r="O210" s="5" t="str">
        <f>IF(Table2[[#This Row],[Age Days]]&lt;=7,"Normal",IF(Table2[[#This Row],[Age Days]]&lt;=14,"Perlu Dipantau",IF(Table2[[#This Row],[Age Days]]&lt;=30,"Perlu Ditindaklanjuti","Overdue")))</f>
        <v>Normal</v>
      </c>
    </row>
    <row r="211" spans="1:15" x14ac:dyDescent="0.3">
      <c r="A211" t="s">
        <v>295</v>
      </c>
      <c r="B211" s="3">
        <v>46075</v>
      </c>
      <c r="C211" t="s">
        <v>48</v>
      </c>
      <c r="D211" t="s">
        <v>49</v>
      </c>
      <c r="E211" t="s">
        <v>19</v>
      </c>
      <c r="F211" t="s">
        <v>14</v>
      </c>
      <c r="G211" t="s">
        <v>15</v>
      </c>
      <c r="H211" s="5">
        <v>575000</v>
      </c>
      <c r="I211" s="5">
        <v>0</v>
      </c>
      <c r="J211" s="5">
        <v>0</v>
      </c>
      <c r="K211" s="5">
        <f>Table2[[#This Row],[Advance Amount]]-Table2[[#This Row],[Expense Amount]]-Table2[[#This Row],[Return Amount]]</f>
        <v>575000</v>
      </c>
      <c r="L211" s="5" t="str">
        <f>IF(Table2[[#This Row],[Outstanding]]=0,"Settled",IF(Table2[[#This Row],[Outstanding]]&gt;0,"Outstanding"))</f>
        <v>Outstanding</v>
      </c>
      <c r="M211" s="5" t="str">
        <f>IF(Table2[[#This Row],[Advance Amount]]=Table2[[#This Row],[Expense Amount]]+Table2[[#This Row],[Return Amount]]+Table2[[#This Row],[Outstanding]],"Ok","Check")</f>
        <v>Ok</v>
      </c>
      <c r="N211" s="11">
        <f>IF(Table2[[#This Row],[Status]]="Settled",0,$Q$2-Table2[[#This Row],[Date]])</f>
        <v>190</v>
      </c>
      <c r="O211" s="5" t="str">
        <f>IF(Table2[[#This Row],[Age Days]]&lt;=7,"Normal",IF(Table2[[#This Row],[Age Days]]&lt;=14,"Perlu Dipantau",IF(Table2[[#This Row],[Age Days]]&lt;=30,"Perlu Ditindaklanjuti","Overdue")))</f>
        <v>Overdue</v>
      </c>
    </row>
    <row r="212" spans="1:15" x14ac:dyDescent="0.3">
      <c r="A212" t="s">
        <v>296</v>
      </c>
      <c r="B212" s="3">
        <v>46075</v>
      </c>
      <c r="C212" t="s">
        <v>50</v>
      </c>
      <c r="D212" t="s">
        <v>51</v>
      </c>
      <c r="E212" t="s">
        <v>52</v>
      </c>
      <c r="F212" t="s">
        <v>20</v>
      </c>
      <c r="G212" t="s">
        <v>28</v>
      </c>
      <c r="H212" s="5">
        <v>230000</v>
      </c>
      <c r="I212" s="5">
        <v>0</v>
      </c>
      <c r="J212" s="5">
        <v>0</v>
      </c>
      <c r="K212" s="5">
        <f>Table2[[#This Row],[Advance Amount]]-Table2[[#This Row],[Expense Amount]]-Table2[[#This Row],[Return Amount]]</f>
        <v>230000</v>
      </c>
      <c r="L212" s="5" t="str">
        <f>IF(Table2[[#This Row],[Outstanding]]=0,"Settled",IF(Table2[[#This Row],[Outstanding]]&gt;0,"Outstanding"))</f>
        <v>Outstanding</v>
      </c>
      <c r="M212" s="5" t="str">
        <f>IF(Table2[[#This Row],[Advance Amount]]=Table2[[#This Row],[Expense Amount]]+Table2[[#This Row],[Return Amount]]+Table2[[#This Row],[Outstanding]],"Ok","Check")</f>
        <v>Ok</v>
      </c>
      <c r="N212" s="11">
        <f>IF(Table2[[#This Row],[Status]]="Settled",0,$Q$2-Table2[[#This Row],[Date]])</f>
        <v>190</v>
      </c>
      <c r="O212" s="5" t="str">
        <f>IF(Table2[[#This Row],[Age Days]]&lt;=7,"Normal",IF(Table2[[#This Row],[Age Days]]&lt;=14,"Perlu Dipantau",IF(Table2[[#This Row],[Age Days]]&lt;=30,"Perlu Ditindaklanjuti","Overdue")))</f>
        <v>Overdue</v>
      </c>
    </row>
    <row r="213" spans="1:15" x14ac:dyDescent="0.3">
      <c r="A213" t="s">
        <v>297</v>
      </c>
      <c r="B213" s="3">
        <v>46075</v>
      </c>
      <c r="C213" t="s">
        <v>66</v>
      </c>
      <c r="D213" t="s">
        <v>67</v>
      </c>
      <c r="E213" t="s">
        <v>13</v>
      </c>
      <c r="F213" t="s">
        <v>14</v>
      </c>
      <c r="G213" t="s">
        <v>34</v>
      </c>
      <c r="H213" s="5">
        <v>400000</v>
      </c>
      <c r="I213" s="5">
        <v>300000</v>
      </c>
      <c r="J213" s="5">
        <v>100000</v>
      </c>
      <c r="K213" s="5">
        <f>Table2[[#This Row],[Advance Amount]]-Table2[[#This Row],[Expense Amount]]-Table2[[#This Row],[Return Amount]]</f>
        <v>0</v>
      </c>
      <c r="L213" s="5" t="str">
        <f>IF(Table2[[#This Row],[Outstanding]]=0,"Settled",IF(Table2[[#This Row],[Outstanding]]&gt;0,"Outstanding"))</f>
        <v>Settled</v>
      </c>
      <c r="M213" s="5" t="str">
        <f>IF(Table2[[#This Row],[Advance Amount]]=Table2[[#This Row],[Expense Amount]]+Table2[[#This Row],[Return Amount]]+Table2[[#This Row],[Outstanding]],"Ok","Check")</f>
        <v>Ok</v>
      </c>
      <c r="N213" s="11">
        <f>IF(Table2[[#This Row],[Status]]="Settled",0,$Q$2-Table2[[#This Row],[Date]])</f>
        <v>0</v>
      </c>
      <c r="O213" s="5" t="str">
        <f>IF(Table2[[#This Row],[Age Days]]&lt;=7,"Normal",IF(Table2[[#This Row],[Age Days]]&lt;=14,"Perlu Dipantau",IF(Table2[[#This Row],[Age Days]]&lt;=30,"Perlu Ditindaklanjuti","Overdue")))</f>
        <v>Normal</v>
      </c>
    </row>
    <row r="214" spans="1:15" x14ac:dyDescent="0.3">
      <c r="A214" t="s">
        <v>298</v>
      </c>
      <c r="B214" s="3">
        <v>46075</v>
      </c>
      <c r="C214" t="s">
        <v>25</v>
      </c>
      <c r="D214" t="s">
        <v>26</v>
      </c>
      <c r="E214" t="s">
        <v>27</v>
      </c>
      <c r="F214" t="s">
        <v>20</v>
      </c>
      <c r="G214" t="s">
        <v>58</v>
      </c>
      <c r="H214" s="5">
        <v>425000</v>
      </c>
      <c r="I214" s="5">
        <v>0</v>
      </c>
      <c r="J214" s="5">
        <v>0</v>
      </c>
      <c r="K214" s="5">
        <f>Table2[[#This Row],[Advance Amount]]-Table2[[#This Row],[Expense Amount]]-Table2[[#This Row],[Return Amount]]</f>
        <v>425000</v>
      </c>
      <c r="L214" s="5" t="str">
        <f>IF(Table2[[#This Row],[Outstanding]]=0,"Settled",IF(Table2[[#This Row],[Outstanding]]&gt;0,"Outstanding"))</f>
        <v>Outstanding</v>
      </c>
      <c r="M214" s="5" t="str">
        <f>IF(Table2[[#This Row],[Advance Amount]]=Table2[[#This Row],[Expense Amount]]+Table2[[#This Row],[Return Amount]]+Table2[[#This Row],[Outstanding]],"Ok","Check")</f>
        <v>Ok</v>
      </c>
      <c r="N214" s="11">
        <f>IF(Table2[[#This Row],[Status]]="Settled",0,$Q$2-Table2[[#This Row],[Date]])</f>
        <v>190</v>
      </c>
      <c r="O214" s="5" t="str">
        <f>IF(Table2[[#This Row],[Age Days]]&lt;=7,"Normal",IF(Table2[[#This Row],[Age Days]]&lt;=14,"Perlu Dipantau",IF(Table2[[#This Row],[Age Days]]&lt;=30,"Perlu Ditindaklanjuti","Overdue")))</f>
        <v>Overdue</v>
      </c>
    </row>
    <row r="215" spans="1:15" x14ac:dyDescent="0.3">
      <c r="A215" t="s">
        <v>299</v>
      </c>
      <c r="B215" s="3">
        <v>46076</v>
      </c>
      <c r="C215" t="s">
        <v>48</v>
      </c>
      <c r="D215" t="s">
        <v>49</v>
      </c>
      <c r="E215" t="s">
        <v>19</v>
      </c>
      <c r="F215" t="s">
        <v>20</v>
      </c>
      <c r="G215" t="s">
        <v>57</v>
      </c>
      <c r="H215" s="5">
        <v>330000</v>
      </c>
      <c r="I215" s="5">
        <v>300000</v>
      </c>
      <c r="J215" s="5">
        <v>30000</v>
      </c>
      <c r="K215" s="5">
        <f>Table2[[#This Row],[Advance Amount]]-Table2[[#This Row],[Expense Amount]]-Table2[[#This Row],[Return Amount]]</f>
        <v>0</v>
      </c>
      <c r="L215" s="5" t="str">
        <f>IF(Table2[[#This Row],[Outstanding]]=0,"Settled",IF(Table2[[#This Row],[Outstanding]]&gt;0,"Outstanding"))</f>
        <v>Settled</v>
      </c>
      <c r="M215" s="5" t="str">
        <f>IF(Table2[[#This Row],[Advance Amount]]=Table2[[#This Row],[Expense Amount]]+Table2[[#This Row],[Return Amount]]+Table2[[#This Row],[Outstanding]],"Ok","Check")</f>
        <v>Ok</v>
      </c>
      <c r="N215" s="11">
        <f>IF(Table2[[#This Row],[Status]]="Settled",0,$Q$2-Table2[[#This Row],[Date]])</f>
        <v>0</v>
      </c>
      <c r="O215" s="5" t="str">
        <f>IF(Table2[[#This Row],[Age Days]]&lt;=7,"Normal",IF(Table2[[#This Row],[Age Days]]&lt;=14,"Perlu Dipantau",IF(Table2[[#This Row],[Age Days]]&lt;=30,"Perlu Ditindaklanjuti","Overdue")))</f>
        <v>Normal</v>
      </c>
    </row>
    <row r="216" spans="1:15" x14ac:dyDescent="0.3">
      <c r="A216" t="s">
        <v>300</v>
      </c>
      <c r="B216" s="3">
        <v>46076</v>
      </c>
      <c r="C216" t="s">
        <v>41</v>
      </c>
      <c r="D216" t="s">
        <v>42</v>
      </c>
      <c r="E216" t="s">
        <v>43</v>
      </c>
      <c r="F216" t="s">
        <v>14</v>
      </c>
      <c r="G216" t="s">
        <v>34</v>
      </c>
      <c r="H216" s="5">
        <v>500000</v>
      </c>
      <c r="I216" s="5">
        <v>0</v>
      </c>
      <c r="J216" s="5">
        <v>0</v>
      </c>
      <c r="K216" s="5">
        <f>Table2[[#This Row],[Advance Amount]]-Table2[[#This Row],[Expense Amount]]-Table2[[#This Row],[Return Amount]]</f>
        <v>500000</v>
      </c>
      <c r="L216" s="5" t="str">
        <f>IF(Table2[[#This Row],[Outstanding]]=0,"Settled",IF(Table2[[#This Row],[Outstanding]]&gt;0,"Outstanding"))</f>
        <v>Outstanding</v>
      </c>
      <c r="M216" s="5" t="str">
        <f>IF(Table2[[#This Row],[Advance Amount]]=Table2[[#This Row],[Expense Amount]]+Table2[[#This Row],[Return Amount]]+Table2[[#This Row],[Outstanding]],"Ok","Check")</f>
        <v>Ok</v>
      </c>
      <c r="N216" s="11">
        <f>IF(Table2[[#This Row],[Status]]="Settled",0,$Q$2-Table2[[#This Row],[Date]])</f>
        <v>189</v>
      </c>
      <c r="O216" s="5" t="str">
        <f>IF(Table2[[#This Row],[Age Days]]&lt;=7,"Normal",IF(Table2[[#This Row],[Age Days]]&lt;=14,"Perlu Dipantau",IF(Table2[[#This Row],[Age Days]]&lt;=30,"Perlu Ditindaklanjuti","Overdue")))</f>
        <v>Overdue</v>
      </c>
    </row>
    <row r="217" spans="1:15" x14ac:dyDescent="0.3">
      <c r="A217" t="s">
        <v>301</v>
      </c>
      <c r="B217" s="3">
        <v>46076</v>
      </c>
      <c r="C217" t="s">
        <v>38</v>
      </c>
      <c r="D217" t="s">
        <v>39</v>
      </c>
      <c r="E217" t="s">
        <v>24</v>
      </c>
      <c r="F217" t="s">
        <v>20</v>
      </c>
      <c r="G217" t="s">
        <v>31</v>
      </c>
      <c r="H217" s="5">
        <v>1275000</v>
      </c>
      <c r="I217" s="5">
        <v>1050000</v>
      </c>
      <c r="J217" s="5">
        <v>225000</v>
      </c>
      <c r="K217" s="5">
        <f>Table2[[#This Row],[Advance Amount]]-Table2[[#This Row],[Expense Amount]]-Table2[[#This Row],[Return Amount]]</f>
        <v>0</v>
      </c>
      <c r="L217" s="5" t="str">
        <f>IF(Table2[[#This Row],[Outstanding]]=0,"Settled",IF(Table2[[#This Row],[Outstanding]]&gt;0,"Outstanding"))</f>
        <v>Settled</v>
      </c>
      <c r="M217" s="5" t="str">
        <f>IF(Table2[[#This Row],[Advance Amount]]=Table2[[#This Row],[Expense Amount]]+Table2[[#This Row],[Return Amount]]+Table2[[#This Row],[Outstanding]],"Ok","Check")</f>
        <v>Ok</v>
      </c>
      <c r="N217" s="11">
        <f>IF(Table2[[#This Row],[Status]]="Settled",0,$Q$2-Table2[[#This Row],[Date]])</f>
        <v>0</v>
      </c>
      <c r="O217" s="5" t="str">
        <f>IF(Table2[[#This Row],[Age Days]]&lt;=7,"Normal",IF(Table2[[#This Row],[Age Days]]&lt;=14,"Perlu Dipantau",IF(Table2[[#This Row],[Age Days]]&lt;=30,"Perlu Ditindaklanjuti","Overdue")))</f>
        <v>Normal</v>
      </c>
    </row>
    <row r="218" spans="1:15" x14ac:dyDescent="0.3">
      <c r="A218" t="s">
        <v>302</v>
      </c>
      <c r="B218" s="3">
        <v>46077</v>
      </c>
      <c r="C218" t="s">
        <v>11</v>
      </c>
      <c r="D218" t="s">
        <v>12</v>
      </c>
      <c r="E218" t="s">
        <v>13</v>
      </c>
      <c r="F218" t="s">
        <v>20</v>
      </c>
      <c r="G218" t="s">
        <v>58</v>
      </c>
      <c r="H218" s="5">
        <v>1125000</v>
      </c>
      <c r="I218" s="5">
        <v>1000000</v>
      </c>
      <c r="J218" s="5">
        <v>125000</v>
      </c>
      <c r="K218" s="5">
        <f>Table2[[#This Row],[Advance Amount]]-Table2[[#This Row],[Expense Amount]]-Table2[[#This Row],[Return Amount]]</f>
        <v>0</v>
      </c>
      <c r="L218" s="5" t="str">
        <f>IF(Table2[[#This Row],[Outstanding]]=0,"Settled",IF(Table2[[#This Row],[Outstanding]]&gt;0,"Outstanding"))</f>
        <v>Settled</v>
      </c>
      <c r="M218" s="5" t="str">
        <f>IF(Table2[[#This Row],[Advance Amount]]=Table2[[#This Row],[Expense Amount]]+Table2[[#This Row],[Return Amount]]+Table2[[#This Row],[Outstanding]],"Ok","Check")</f>
        <v>Ok</v>
      </c>
      <c r="N218" s="11">
        <f>IF(Table2[[#This Row],[Status]]="Settled",0,$Q$2-Table2[[#This Row],[Date]])</f>
        <v>0</v>
      </c>
      <c r="O218" s="5" t="str">
        <f>IF(Table2[[#This Row],[Age Days]]&lt;=7,"Normal",IF(Table2[[#This Row],[Age Days]]&lt;=14,"Perlu Dipantau",IF(Table2[[#This Row],[Age Days]]&lt;=30,"Perlu Ditindaklanjuti","Overdue")))</f>
        <v>Normal</v>
      </c>
    </row>
    <row r="219" spans="1:15" x14ac:dyDescent="0.3">
      <c r="A219" t="s">
        <v>303</v>
      </c>
      <c r="B219" s="3">
        <v>46077</v>
      </c>
      <c r="C219" t="s">
        <v>35</v>
      </c>
      <c r="D219" t="s">
        <v>36</v>
      </c>
      <c r="E219" t="s">
        <v>37</v>
      </c>
      <c r="F219" t="s">
        <v>20</v>
      </c>
      <c r="G219" t="s">
        <v>28</v>
      </c>
      <c r="H219" s="5">
        <v>480000</v>
      </c>
      <c r="I219" s="5">
        <v>450000</v>
      </c>
      <c r="J219" s="5">
        <v>30000</v>
      </c>
      <c r="K219" s="5">
        <f>Table2[[#This Row],[Advance Amount]]-Table2[[#This Row],[Expense Amount]]-Table2[[#This Row],[Return Amount]]</f>
        <v>0</v>
      </c>
      <c r="L219" s="5" t="str">
        <f>IF(Table2[[#This Row],[Outstanding]]=0,"Settled",IF(Table2[[#This Row],[Outstanding]]&gt;0,"Outstanding"))</f>
        <v>Settled</v>
      </c>
      <c r="M219" s="5" t="str">
        <f>IF(Table2[[#This Row],[Advance Amount]]=Table2[[#This Row],[Expense Amount]]+Table2[[#This Row],[Return Amount]]+Table2[[#This Row],[Outstanding]],"Ok","Check")</f>
        <v>Ok</v>
      </c>
      <c r="N219" s="11">
        <f>IF(Table2[[#This Row],[Status]]="Settled",0,$Q$2-Table2[[#This Row],[Date]])</f>
        <v>0</v>
      </c>
      <c r="O219" s="5" t="str">
        <f>IF(Table2[[#This Row],[Age Days]]&lt;=7,"Normal",IF(Table2[[#This Row],[Age Days]]&lt;=14,"Perlu Dipantau",IF(Table2[[#This Row],[Age Days]]&lt;=30,"Perlu Ditindaklanjuti","Overdue")))</f>
        <v>Normal</v>
      </c>
    </row>
    <row r="220" spans="1:15" x14ac:dyDescent="0.3">
      <c r="A220" t="s">
        <v>304</v>
      </c>
      <c r="B220" s="3">
        <v>46077</v>
      </c>
      <c r="C220" t="s">
        <v>22</v>
      </c>
      <c r="D220" t="s">
        <v>23</v>
      </c>
      <c r="E220" t="s">
        <v>24</v>
      </c>
      <c r="F220" t="s">
        <v>20</v>
      </c>
      <c r="G220" t="s">
        <v>31</v>
      </c>
      <c r="H220" s="5">
        <v>625000</v>
      </c>
      <c r="I220" s="5">
        <v>0</v>
      </c>
      <c r="J220" s="5">
        <v>0</v>
      </c>
      <c r="K220" s="5">
        <f>Table2[[#This Row],[Advance Amount]]-Table2[[#This Row],[Expense Amount]]-Table2[[#This Row],[Return Amount]]</f>
        <v>625000</v>
      </c>
      <c r="L220" s="5" t="str">
        <f>IF(Table2[[#This Row],[Outstanding]]=0,"Settled",IF(Table2[[#This Row],[Outstanding]]&gt;0,"Outstanding"))</f>
        <v>Outstanding</v>
      </c>
      <c r="M220" s="5" t="str">
        <f>IF(Table2[[#This Row],[Advance Amount]]=Table2[[#This Row],[Expense Amount]]+Table2[[#This Row],[Return Amount]]+Table2[[#This Row],[Outstanding]],"Ok","Check")</f>
        <v>Ok</v>
      </c>
      <c r="N220" s="11">
        <f>IF(Table2[[#This Row],[Status]]="Settled",0,$Q$2-Table2[[#This Row],[Date]])</f>
        <v>188</v>
      </c>
      <c r="O220" s="5" t="str">
        <f>IF(Table2[[#This Row],[Age Days]]&lt;=7,"Normal",IF(Table2[[#This Row],[Age Days]]&lt;=14,"Perlu Dipantau",IF(Table2[[#This Row],[Age Days]]&lt;=30,"Perlu Ditindaklanjuti","Overdue")))</f>
        <v>Overdue</v>
      </c>
    </row>
    <row r="221" spans="1:15" x14ac:dyDescent="0.3">
      <c r="A221" t="s">
        <v>305</v>
      </c>
      <c r="B221" s="3">
        <v>46078</v>
      </c>
      <c r="C221" t="s">
        <v>62</v>
      </c>
      <c r="D221" t="s">
        <v>63</v>
      </c>
      <c r="E221" t="s">
        <v>52</v>
      </c>
      <c r="F221" t="s">
        <v>14</v>
      </c>
      <c r="G221" t="s">
        <v>57</v>
      </c>
      <c r="H221" s="5">
        <v>180000</v>
      </c>
      <c r="I221" s="5">
        <v>150000</v>
      </c>
      <c r="J221" s="5">
        <v>30000</v>
      </c>
      <c r="K221" s="5">
        <f>Table2[[#This Row],[Advance Amount]]-Table2[[#This Row],[Expense Amount]]-Table2[[#This Row],[Return Amount]]</f>
        <v>0</v>
      </c>
      <c r="L221" s="5" t="str">
        <f>IF(Table2[[#This Row],[Outstanding]]=0,"Settled",IF(Table2[[#This Row],[Outstanding]]&gt;0,"Outstanding"))</f>
        <v>Settled</v>
      </c>
      <c r="M221" s="5" t="str">
        <f>IF(Table2[[#This Row],[Advance Amount]]=Table2[[#This Row],[Expense Amount]]+Table2[[#This Row],[Return Amount]]+Table2[[#This Row],[Outstanding]],"Ok","Check")</f>
        <v>Ok</v>
      </c>
      <c r="N221" s="11">
        <f>IF(Table2[[#This Row],[Status]]="Settled",0,$Q$2-Table2[[#This Row],[Date]])</f>
        <v>0</v>
      </c>
      <c r="O221" s="5" t="str">
        <f>IF(Table2[[#This Row],[Age Days]]&lt;=7,"Normal",IF(Table2[[#This Row],[Age Days]]&lt;=14,"Perlu Dipantau",IF(Table2[[#This Row],[Age Days]]&lt;=30,"Perlu Ditindaklanjuti","Overdue")))</f>
        <v>Normal</v>
      </c>
    </row>
    <row r="222" spans="1:15" x14ac:dyDescent="0.3">
      <c r="A222" t="s">
        <v>306</v>
      </c>
      <c r="B222" s="3">
        <v>46078</v>
      </c>
      <c r="C222" t="s">
        <v>62</v>
      </c>
      <c r="D222" t="s">
        <v>63</v>
      </c>
      <c r="E222" t="s">
        <v>52</v>
      </c>
      <c r="F222" t="s">
        <v>20</v>
      </c>
      <c r="G222" t="s">
        <v>28</v>
      </c>
      <c r="H222" s="5">
        <v>55000</v>
      </c>
      <c r="I222" s="5">
        <v>0</v>
      </c>
      <c r="J222" s="5">
        <v>0</v>
      </c>
      <c r="K222" s="5">
        <f>Table2[[#This Row],[Advance Amount]]-Table2[[#This Row],[Expense Amount]]-Table2[[#This Row],[Return Amount]]</f>
        <v>55000</v>
      </c>
      <c r="L222" s="5" t="str">
        <f>IF(Table2[[#This Row],[Outstanding]]=0,"Settled",IF(Table2[[#This Row],[Outstanding]]&gt;0,"Outstanding"))</f>
        <v>Outstanding</v>
      </c>
      <c r="M222" s="5" t="str">
        <f>IF(Table2[[#This Row],[Advance Amount]]=Table2[[#This Row],[Expense Amount]]+Table2[[#This Row],[Return Amount]]+Table2[[#This Row],[Outstanding]],"Ok","Check")</f>
        <v>Ok</v>
      </c>
      <c r="N222" s="11">
        <f>IF(Table2[[#This Row],[Status]]="Settled",0,$Q$2-Table2[[#This Row],[Date]])</f>
        <v>187</v>
      </c>
      <c r="O222" s="5" t="str">
        <f>IF(Table2[[#This Row],[Age Days]]&lt;=7,"Normal",IF(Table2[[#This Row],[Age Days]]&lt;=14,"Perlu Dipantau",IF(Table2[[#This Row],[Age Days]]&lt;=30,"Perlu Ditindaklanjuti","Overdue")))</f>
        <v>Overdue</v>
      </c>
    </row>
    <row r="223" spans="1:15" x14ac:dyDescent="0.3">
      <c r="A223" t="s">
        <v>307</v>
      </c>
      <c r="B223" s="3">
        <v>46078</v>
      </c>
      <c r="C223" t="s">
        <v>35</v>
      </c>
      <c r="D223" t="s">
        <v>36</v>
      </c>
      <c r="E223" t="s">
        <v>37</v>
      </c>
      <c r="F223" t="s">
        <v>14</v>
      </c>
      <c r="G223" t="s">
        <v>28</v>
      </c>
      <c r="H223" s="5">
        <v>305000</v>
      </c>
      <c r="I223" s="5">
        <v>0</v>
      </c>
      <c r="J223" s="5">
        <v>0</v>
      </c>
      <c r="K223" s="5">
        <f>Table2[[#This Row],[Advance Amount]]-Table2[[#This Row],[Expense Amount]]-Table2[[#This Row],[Return Amount]]</f>
        <v>305000</v>
      </c>
      <c r="L223" s="5" t="str">
        <f>IF(Table2[[#This Row],[Outstanding]]=0,"Settled",IF(Table2[[#This Row],[Outstanding]]&gt;0,"Outstanding"))</f>
        <v>Outstanding</v>
      </c>
      <c r="M223" s="5" t="str">
        <f>IF(Table2[[#This Row],[Advance Amount]]=Table2[[#This Row],[Expense Amount]]+Table2[[#This Row],[Return Amount]]+Table2[[#This Row],[Outstanding]],"Ok","Check")</f>
        <v>Ok</v>
      </c>
      <c r="N223" s="11">
        <f>IF(Table2[[#This Row],[Status]]="Settled",0,$Q$2-Table2[[#This Row],[Date]])</f>
        <v>187</v>
      </c>
      <c r="O223" s="5" t="str">
        <f>IF(Table2[[#This Row],[Age Days]]&lt;=7,"Normal",IF(Table2[[#This Row],[Age Days]]&lt;=14,"Perlu Dipantau",IF(Table2[[#This Row],[Age Days]]&lt;=30,"Perlu Ditindaklanjuti","Overdue")))</f>
        <v>Overdue</v>
      </c>
    </row>
    <row r="224" spans="1:15" x14ac:dyDescent="0.3">
      <c r="A224" t="s">
        <v>308</v>
      </c>
      <c r="B224" s="3">
        <v>46078</v>
      </c>
      <c r="C224" t="s">
        <v>44</v>
      </c>
      <c r="D224" t="s">
        <v>45</v>
      </c>
      <c r="E224" t="s">
        <v>43</v>
      </c>
      <c r="F224" t="s">
        <v>14</v>
      </c>
      <c r="G224" t="s">
        <v>28</v>
      </c>
      <c r="H224" s="5">
        <v>155000</v>
      </c>
      <c r="I224" s="5">
        <v>125000</v>
      </c>
      <c r="J224" s="5">
        <v>30000</v>
      </c>
      <c r="K224" s="5">
        <f>Table2[[#This Row],[Advance Amount]]-Table2[[#This Row],[Expense Amount]]-Table2[[#This Row],[Return Amount]]</f>
        <v>0</v>
      </c>
      <c r="L224" s="5" t="str">
        <f>IF(Table2[[#This Row],[Outstanding]]=0,"Settled",IF(Table2[[#This Row],[Outstanding]]&gt;0,"Outstanding"))</f>
        <v>Settled</v>
      </c>
      <c r="M224" s="5" t="str">
        <f>IF(Table2[[#This Row],[Advance Amount]]=Table2[[#This Row],[Expense Amount]]+Table2[[#This Row],[Return Amount]]+Table2[[#This Row],[Outstanding]],"Ok","Check")</f>
        <v>Ok</v>
      </c>
      <c r="N224" s="11">
        <f>IF(Table2[[#This Row],[Status]]="Settled",0,$Q$2-Table2[[#This Row],[Date]])</f>
        <v>0</v>
      </c>
      <c r="O224" s="5" t="str">
        <f>IF(Table2[[#This Row],[Age Days]]&lt;=7,"Normal",IF(Table2[[#This Row],[Age Days]]&lt;=14,"Perlu Dipantau",IF(Table2[[#This Row],[Age Days]]&lt;=30,"Perlu Ditindaklanjuti","Overdue")))</f>
        <v>Normal</v>
      </c>
    </row>
    <row r="225" spans="1:15" x14ac:dyDescent="0.3">
      <c r="A225" t="s">
        <v>309</v>
      </c>
      <c r="B225" s="3">
        <v>46078</v>
      </c>
      <c r="C225" t="s">
        <v>66</v>
      </c>
      <c r="D225" t="s">
        <v>67</v>
      </c>
      <c r="E225" t="s">
        <v>13</v>
      </c>
      <c r="F225" t="s">
        <v>20</v>
      </c>
      <c r="G225" t="s">
        <v>57</v>
      </c>
      <c r="H225" s="5">
        <v>205000</v>
      </c>
      <c r="I225" s="5">
        <v>0</v>
      </c>
      <c r="J225" s="5">
        <v>0</v>
      </c>
      <c r="K225" s="5">
        <f>Table2[[#This Row],[Advance Amount]]-Table2[[#This Row],[Expense Amount]]-Table2[[#This Row],[Return Amount]]</f>
        <v>205000</v>
      </c>
      <c r="L225" s="5" t="str">
        <f>IF(Table2[[#This Row],[Outstanding]]=0,"Settled",IF(Table2[[#This Row],[Outstanding]]&gt;0,"Outstanding"))</f>
        <v>Outstanding</v>
      </c>
      <c r="M225" s="5" t="str">
        <f>IF(Table2[[#This Row],[Advance Amount]]=Table2[[#This Row],[Expense Amount]]+Table2[[#This Row],[Return Amount]]+Table2[[#This Row],[Outstanding]],"Ok","Check")</f>
        <v>Ok</v>
      </c>
      <c r="N225" s="11">
        <f>IF(Table2[[#This Row],[Status]]="Settled",0,$Q$2-Table2[[#This Row],[Date]])</f>
        <v>187</v>
      </c>
      <c r="O225" s="5" t="str">
        <f>IF(Table2[[#This Row],[Age Days]]&lt;=7,"Normal",IF(Table2[[#This Row],[Age Days]]&lt;=14,"Perlu Dipantau",IF(Table2[[#This Row],[Age Days]]&lt;=30,"Perlu Ditindaklanjuti","Overdue")))</f>
        <v>Overdue</v>
      </c>
    </row>
    <row r="226" spans="1:15" x14ac:dyDescent="0.3">
      <c r="A226" t="s">
        <v>310</v>
      </c>
      <c r="B226" s="3">
        <v>46079</v>
      </c>
      <c r="C226" t="s">
        <v>32</v>
      </c>
      <c r="D226" t="s">
        <v>33</v>
      </c>
      <c r="E226" t="s">
        <v>27</v>
      </c>
      <c r="F226" t="s">
        <v>20</v>
      </c>
      <c r="G226" t="s">
        <v>40</v>
      </c>
      <c r="H226" s="5">
        <v>300000</v>
      </c>
      <c r="I226" s="5">
        <v>275000</v>
      </c>
      <c r="J226" s="5">
        <v>25000</v>
      </c>
      <c r="K226" s="5">
        <f>Table2[[#This Row],[Advance Amount]]-Table2[[#This Row],[Expense Amount]]-Table2[[#This Row],[Return Amount]]</f>
        <v>0</v>
      </c>
      <c r="L226" s="5" t="str">
        <f>IF(Table2[[#This Row],[Outstanding]]=0,"Settled",IF(Table2[[#This Row],[Outstanding]]&gt;0,"Outstanding"))</f>
        <v>Settled</v>
      </c>
      <c r="M226" s="5" t="str">
        <f>IF(Table2[[#This Row],[Advance Amount]]=Table2[[#This Row],[Expense Amount]]+Table2[[#This Row],[Return Amount]]+Table2[[#This Row],[Outstanding]],"Ok","Check")</f>
        <v>Ok</v>
      </c>
      <c r="N226" s="11">
        <f>IF(Table2[[#This Row],[Status]]="Settled",0,$Q$2-Table2[[#This Row],[Date]])</f>
        <v>0</v>
      </c>
      <c r="O226" s="5" t="str">
        <f>IF(Table2[[#This Row],[Age Days]]&lt;=7,"Normal",IF(Table2[[#This Row],[Age Days]]&lt;=14,"Perlu Dipantau",IF(Table2[[#This Row],[Age Days]]&lt;=30,"Perlu Ditindaklanjuti","Overdue")))</f>
        <v>Normal</v>
      </c>
    </row>
    <row r="227" spans="1:15" x14ac:dyDescent="0.3">
      <c r="A227" t="s">
        <v>311</v>
      </c>
      <c r="B227" s="3">
        <v>46079</v>
      </c>
      <c r="C227" t="s">
        <v>35</v>
      </c>
      <c r="D227" t="s">
        <v>36</v>
      </c>
      <c r="E227" t="s">
        <v>37</v>
      </c>
      <c r="F227" t="s">
        <v>14</v>
      </c>
      <c r="G227" t="s">
        <v>40</v>
      </c>
      <c r="H227" s="5">
        <v>700000</v>
      </c>
      <c r="I227" s="5">
        <v>600000</v>
      </c>
      <c r="J227" s="5">
        <v>100000</v>
      </c>
      <c r="K227" s="5">
        <f>Table2[[#This Row],[Advance Amount]]-Table2[[#This Row],[Expense Amount]]-Table2[[#This Row],[Return Amount]]</f>
        <v>0</v>
      </c>
      <c r="L227" s="5" t="str">
        <f>IF(Table2[[#This Row],[Outstanding]]=0,"Settled",IF(Table2[[#This Row],[Outstanding]]&gt;0,"Outstanding"))</f>
        <v>Settled</v>
      </c>
      <c r="M227" s="5" t="str">
        <f>IF(Table2[[#This Row],[Advance Amount]]=Table2[[#This Row],[Expense Amount]]+Table2[[#This Row],[Return Amount]]+Table2[[#This Row],[Outstanding]],"Ok","Check")</f>
        <v>Ok</v>
      </c>
      <c r="N227" s="11">
        <f>IF(Table2[[#This Row],[Status]]="Settled",0,$Q$2-Table2[[#This Row],[Date]])</f>
        <v>0</v>
      </c>
      <c r="O227" s="5" t="str">
        <f>IF(Table2[[#This Row],[Age Days]]&lt;=7,"Normal",IF(Table2[[#This Row],[Age Days]]&lt;=14,"Perlu Dipantau",IF(Table2[[#This Row],[Age Days]]&lt;=30,"Perlu Ditindaklanjuti","Overdue")))</f>
        <v>Normal</v>
      </c>
    </row>
    <row r="228" spans="1:15" x14ac:dyDescent="0.3">
      <c r="A228" t="s">
        <v>312</v>
      </c>
      <c r="B228" s="3">
        <v>46079</v>
      </c>
      <c r="C228" t="s">
        <v>44</v>
      </c>
      <c r="D228" t="s">
        <v>45</v>
      </c>
      <c r="E228" t="s">
        <v>43</v>
      </c>
      <c r="F228" t="s">
        <v>14</v>
      </c>
      <c r="G228" t="s">
        <v>31</v>
      </c>
      <c r="H228" s="5">
        <v>1450000</v>
      </c>
      <c r="I228" s="5">
        <v>0</v>
      </c>
      <c r="J228" s="5">
        <v>0</v>
      </c>
      <c r="K228" s="5">
        <f>Table2[[#This Row],[Advance Amount]]-Table2[[#This Row],[Expense Amount]]-Table2[[#This Row],[Return Amount]]</f>
        <v>1450000</v>
      </c>
      <c r="L228" s="5" t="str">
        <f>IF(Table2[[#This Row],[Outstanding]]=0,"Settled",IF(Table2[[#This Row],[Outstanding]]&gt;0,"Outstanding"))</f>
        <v>Outstanding</v>
      </c>
      <c r="M228" s="5" t="str">
        <f>IF(Table2[[#This Row],[Advance Amount]]=Table2[[#This Row],[Expense Amount]]+Table2[[#This Row],[Return Amount]]+Table2[[#This Row],[Outstanding]],"Ok","Check")</f>
        <v>Ok</v>
      </c>
      <c r="N228" s="11">
        <f>IF(Table2[[#This Row],[Status]]="Settled",0,$Q$2-Table2[[#This Row],[Date]])</f>
        <v>186</v>
      </c>
      <c r="O228" s="5" t="str">
        <f>IF(Table2[[#This Row],[Age Days]]&lt;=7,"Normal",IF(Table2[[#This Row],[Age Days]]&lt;=14,"Perlu Dipantau",IF(Table2[[#This Row],[Age Days]]&lt;=30,"Perlu Ditindaklanjuti","Overdue")))</f>
        <v>Overdue</v>
      </c>
    </row>
    <row r="229" spans="1:15" x14ac:dyDescent="0.3">
      <c r="A229" t="s">
        <v>313</v>
      </c>
      <c r="B229" s="3">
        <v>46079</v>
      </c>
      <c r="C229" t="s">
        <v>22</v>
      </c>
      <c r="D229" t="s">
        <v>23</v>
      </c>
      <c r="E229" t="s">
        <v>24</v>
      </c>
      <c r="F229" t="s">
        <v>20</v>
      </c>
      <c r="G229" t="s">
        <v>58</v>
      </c>
      <c r="H229" s="5">
        <v>625000</v>
      </c>
      <c r="I229" s="5">
        <v>625000</v>
      </c>
      <c r="J229" s="5">
        <v>0</v>
      </c>
      <c r="K229" s="5">
        <f>Table2[[#This Row],[Advance Amount]]-Table2[[#This Row],[Expense Amount]]-Table2[[#This Row],[Return Amount]]</f>
        <v>0</v>
      </c>
      <c r="L229" s="5" t="str">
        <f>IF(Table2[[#This Row],[Outstanding]]=0,"Settled",IF(Table2[[#This Row],[Outstanding]]&gt;0,"Outstanding"))</f>
        <v>Settled</v>
      </c>
      <c r="M229" s="5" t="str">
        <f>IF(Table2[[#This Row],[Advance Amount]]=Table2[[#This Row],[Expense Amount]]+Table2[[#This Row],[Return Amount]]+Table2[[#This Row],[Outstanding]],"Ok","Check")</f>
        <v>Ok</v>
      </c>
      <c r="N229" s="11">
        <f>IF(Table2[[#This Row],[Status]]="Settled",0,$Q$2-Table2[[#This Row],[Date]])</f>
        <v>0</v>
      </c>
      <c r="O229" s="5" t="str">
        <f>IF(Table2[[#This Row],[Age Days]]&lt;=7,"Normal",IF(Table2[[#This Row],[Age Days]]&lt;=14,"Perlu Dipantau",IF(Table2[[#This Row],[Age Days]]&lt;=30,"Perlu Ditindaklanjuti","Overdue")))</f>
        <v>Normal</v>
      </c>
    </row>
    <row r="230" spans="1:15" x14ac:dyDescent="0.3">
      <c r="A230" t="s">
        <v>314</v>
      </c>
      <c r="B230" s="3">
        <v>46080</v>
      </c>
      <c r="C230" t="s">
        <v>55</v>
      </c>
      <c r="D230" t="s">
        <v>56</v>
      </c>
      <c r="E230" t="s">
        <v>24</v>
      </c>
      <c r="F230" t="s">
        <v>14</v>
      </c>
      <c r="G230" t="s">
        <v>28</v>
      </c>
      <c r="H230" s="5">
        <v>205000</v>
      </c>
      <c r="I230" s="5">
        <v>175000</v>
      </c>
      <c r="J230" s="5">
        <v>30000</v>
      </c>
      <c r="K230" s="5">
        <f>Table2[[#This Row],[Advance Amount]]-Table2[[#This Row],[Expense Amount]]-Table2[[#This Row],[Return Amount]]</f>
        <v>0</v>
      </c>
      <c r="L230" s="5" t="str">
        <f>IF(Table2[[#This Row],[Outstanding]]=0,"Settled",IF(Table2[[#This Row],[Outstanding]]&gt;0,"Outstanding"))</f>
        <v>Settled</v>
      </c>
      <c r="M230" s="5" t="str">
        <f>IF(Table2[[#This Row],[Advance Amount]]=Table2[[#This Row],[Expense Amount]]+Table2[[#This Row],[Return Amount]]+Table2[[#This Row],[Outstanding]],"Ok","Check")</f>
        <v>Ok</v>
      </c>
      <c r="N230" s="11">
        <f>IF(Table2[[#This Row],[Status]]="Settled",0,$Q$2-Table2[[#This Row],[Date]])</f>
        <v>0</v>
      </c>
      <c r="O230" s="5" t="str">
        <f>IF(Table2[[#This Row],[Age Days]]&lt;=7,"Normal",IF(Table2[[#This Row],[Age Days]]&lt;=14,"Perlu Dipantau",IF(Table2[[#This Row],[Age Days]]&lt;=30,"Perlu Ditindaklanjuti","Overdue")))</f>
        <v>Normal</v>
      </c>
    </row>
    <row r="231" spans="1:15" x14ac:dyDescent="0.3">
      <c r="A231" t="s">
        <v>315</v>
      </c>
      <c r="B231" s="3">
        <v>46080</v>
      </c>
      <c r="C231" t="s">
        <v>38</v>
      </c>
      <c r="D231" t="s">
        <v>39</v>
      </c>
      <c r="E231" t="s">
        <v>24</v>
      </c>
      <c r="F231" t="s">
        <v>14</v>
      </c>
      <c r="G231" t="s">
        <v>31</v>
      </c>
      <c r="H231" s="5">
        <v>575000</v>
      </c>
      <c r="I231" s="5">
        <v>525000</v>
      </c>
      <c r="J231" s="5">
        <v>50000</v>
      </c>
      <c r="K231" s="5">
        <f>Table2[[#This Row],[Advance Amount]]-Table2[[#This Row],[Expense Amount]]-Table2[[#This Row],[Return Amount]]</f>
        <v>0</v>
      </c>
      <c r="L231" s="5" t="str">
        <f>IF(Table2[[#This Row],[Outstanding]]=0,"Settled",IF(Table2[[#This Row],[Outstanding]]&gt;0,"Outstanding"))</f>
        <v>Settled</v>
      </c>
      <c r="M231" s="5" t="str">
        <f>IF(Table2[[#This Row],[Advance Amount]]=Table2[[#This Row],[Expense Amount]]+Table2[[#This Row],[Return Amount]]+Table2[[#This Row],[Outstanding]],"Ok","Check")</f>
        <v>Ok</v>
      </c>
      <c r="N231" s="11">
        <f>IF(Table2[[#This Row],[Status]]="Settled",0,$Q$2-Table2[[#This Row],[Date]])</f>
        <v>0</v>
      </c>
      <c r="O231" s="5" t="str">
        <f>IF(Table2[[#This Row],[Age Days]]&lt;=7,"Normal",IF(Table2[[#This Row],[Age Days]]&lt;=14,"Perlu Dipantau",IF(Table2[[#This Row],[Age Days]]&lt;=30,"Perlu Ditindaklanjuti","Overdue")))</f>
        <v>Normal</v>
      </c>
    </row>
    <row r="232" spans="1:15" x14ac:dyDescent="0.3">
      <c r="A232" t="s">
        <v>316</v>
      </c>
      <c r="B232" s="3">
        <v>46080</v>
      </c>
      <c r="C232" t="s">
        <v>44</v>
      </c>
      <c r="D232" t="s">
        <v>45</v>
      </c>
      <c r="E232" t="s">
        <v>43</v>
      </c>
      <c r="F232" t="s">
        <v>20</v>
      </c>
      <c r="G232" t="s">
        <v>15</v>
      </c>
      <c r="H232" s="5">
        <v>1375000</v>
      </c>
      <c r="I232" s="5">
        <v>0</v>
      </c>
      <c r="J232" s="5">
        <v>0</v>
      </c>
      <c r="K232" s="5">
        <f>Table2[[#This Row],[Advance Amount]]-Table2[[#This Row],[Expense Amount]]-Table2[[#This Row],[Return Amount]]</f>
        <v>1375000</v>
      </c>
      <c r="L232" s="5" t="str">
        <f>IF(Table2[[#This Row],[Outstanding]]=0,"Settled",IF(Table2[[#This Row],[Outstanding]]&gt;0,"Outstanding"))</f>
        <v>Outstanding</v>
      </c>
      <c r="M232" s="5" t="str">
        <f>IF(Table2[[#This Row],[Advance Amount]]=Table2[[#This Row],[Expense Amount]]+Table2[[#This Row],[Return Amount]]+Table2[[#This Row],[Outstanding]],"Ok","Check")</f>
        <v>Ok</v>
      </c>
      <c r="N232" s="11">
        <f>IF(Table2[[#This Row],[Status]]="Settled",0,$Q$2-Table2[[#This Row],[Date]])</f>
        <v>185</v>
      </c>
      <c r="O232" s="5" t="str">
        <f>IF(Table2[[#This Row],[Age Days]]&lt;=7,"Normal",IF(Table2[[#This Row],[Age Days]]&lt;=14,"Perlu Dipantau",IF(Table2[[#This Row],[Age Days]]&lt;=30,"Perlu Ditindaklanjuti","Overdue")))</f>
        <v>Overdue</v>
      </c>
    </row>
    <row r="233" spans="1:15" x14ac:dyDescent="0.3">
      <c r="A233" t="s">
        <v>317</v>
      </c>
      <c r="B233" s="3">
        <v>46080</v>
      </c>
      <c r="C233" t="s">
        <v>53</v>
      </c>
      <c r="D233" t="s">
        <v>54</v>
      </c>
      <c r="E233" t="s">
        <v>43</v>
      </c>
      <c r="F233" t="s">
        <v>20</v>
      </c>
      <c r="G233" t="s">
        <v>40</v>
      </c>
      <c r="H233" s="5">
        <v>900000</v>
      </c>
      <c r="I233" s="5">
        <v>725000</v>
      </c>
      <c r="J233" s="5">
        <v>175000</v>
      </c>
      <c r="K233" s="5">
        <f>Table2[[#This Row],[Advance Amount]]-Table2[[#This Row],[Expense Amount]]-Table2[[#This Row],[Return Amount]]</f>
        <v>0</v>
      </c>
      <c r="L233" s="5" t="str">
        <f>IF(Table2[[#This Row],[Outstanding]]=0,"Settled",IF(Table2[[#This Row],[Outstanding]]&gt;0,"Outstanding"))</f>
        <v>Settled</v>
      </c>
      <c r="M233" s="5" t="str">
        <f>IF(Table2[[#This Row],[Advance Amount]]=Table2[[#This Row],[Expense Amount]]+Table2[[#This Row],[Return Amount]]+Table2[[#This Row],[Outstanding]],"Ok","Check")</f>
        <v>Ok</v>
      </c>
      <c r="N233" s="11">
        <f>IF(Table2[[#This Row],[Status]]="Settled",0,$Q$2-Table2[[#This Row],[Date]])</f>
        <v>0</v>
      </c>
      <c r="O233" s="5" t="str">
        <f>IF(Table2[[#This Row],[Age Days]]&lt;=7,"Normal",IF(Table2[[#This Row],[Age Days]]&lt;=14,"Perlu Dipantau",IF(Table2[[#This Row],[Age Days]]&lt;=30,"Perlu Ditindaklanjuti","Overdue")))</f>
        <v>Normal</v>
      </c>
    </row>
    <row r="234" spans="1:15" x14ac:dyDescent="0.3">
      <c r="A234" t="s">
        <v>318</v>
      </c>
      <c r="B234" s="3">
        <v>46080</v>
      </c>
      <c r="C234" t="s">
        <v>53</v>
      </c>
      <c r="D234" t="s">
        <v>54</v>
      </c>
      <c r="E234" t="s">
        <v>43</v>
      </c>
      <c r="F234" t="s">
        <v>14</v>
      </c>
      <c r="G234" t="s">
        <v>15</v>
      </c>
      <c r="H234" s="5">
        <v>875000</v>
      </c>
      <c r="I234" s="5">
        <v>775000</v>
      </c>
      <c r="J234" s="5">
        <v>100000</v>
      </c>
      <c r="K234" s="5">
        <f>Table2[[#This Row],[Advance Amount]]-Table2[[#This Row],[Expense Amount]]-Table2[[#This Row],[Return Amount]]</f>
        <v>0</v>
      </c>
      <c r="L234" s="5" t="str">
        <f>IF(Table2[[#This Row],[Outstanding]]=0,"Settled",IF(Table2[[#This Row],[Outstanding]]&gt;0,"Outstanding"))</f>
        <v>Settled</v>
      </c>
      <c r="M234" s="5" t="str">
        <f>IF(Table2[[#This Row],[Advance Amount]]=Table2[[#This Row],[Expense Amount]]+Table2[[#This Row],[Return Amount]]+Table2[[#This Row],[Outstanding]],"Ok","Check")</f>
        <v>Ok</v>
      </c>
      <c r="N234" s="11">
        <f>IF(Table2[[#This Row],[Status]]="Settled",0,$Q$2-Table2[[#This Row],[Date]])</f>
        <v>0</v>
      </c>
      <c r="O234" s="5" t="str">
        <f>IF(Table2[[#This Row],[Age Days]]&lt;=7,"Normal",IF(Table2[[#This Row],[Age Days]]&lt;=14,"Perlu Dipantau",IF(Table2[[#This Row],[Age Days]]&lt;=30,"Perlu Ditindaklanjuti","Overdue")))</f>
        <v>Normal</v>
      </c>
    </row>
    <row r="235" spans="1:15" x14ac:dyDescent="0.3">
      <c r="A235" t="s">
        <v>319</v>
      </c>
      <c r="B235" s="3">
        <v>46080</v>
      </c>
      <c r="C235" t="s">
        <v>53</v>
      </c>
      <c r="D235" t="s">
        <v>54</v>
      </c>
      <c r="E235" t="s">
        <v>43</v>
      </c>
      <c r="F235" t="s">
        <v>20</v>
      </c>
      <c r="G235" t="s">
        <v>15</v>
      </c>
      <c r="H235" s="5">
        <v>1750000</v>
      </c>
      <c r="I235" s="5">
        <v>1275000</v>
      </c>
      <c r="J235" s="5">
        <v>475000</v>
      </c>
      <c r="K235" s="5">
        <f>Table2[[#This Row],[Advance Amount]]-Table2[[#This Row],[Expense Amount]]-Table2[[#This Row],[Return Amount]]</f>
        <v>0</v>
      </c>
      <c r="L235" s="5" t="str">
        <f>IF(Table2[[#This Row],[Outstanding]]=0,"Settled",IF(Table2[[#This Row],[Outstanding]]&gt;0,"Outstanding"))</f>
        <v>Settled</v>
      </c>
      <c r="M235" s="5" t="str">
        <f>IF(Table2[[#This Row],[Advance Amount]]=Table2[[#This Row],[Expense Amount]]+Table2[[#This Row],[Return Amount]]+Table2[[#This Row],[Outstanding]],"Ok","Check")</f>
        <v>Ok</v>
      </c>
      <c r="N235" s="11">
        <f>IF(Table2[[#This Row],[Status]]="Settled",0,$Q$2-Table2[[#This Row],[Date]])</f>
        <v>0</v>
      </c>
      <c r="O235" s="5" t="str">
        <f>IF(Table2[[#This Row],[Age Days]]&lt;=7,"Normal",IF(Table2[[#This Row],[Age Days]]&lt;=14,"Perlu Dipantau",IF(Table2[[#This Row],[Age Days]]&lt;=30,"Perlu Ditindaklanjuti","Overdue")))</f>
        <v>Normal</v>
      </c>
    </row>
    <row r="236" spans="1:15" x14ac:dyDescent="0.3">
      <c r="A236" t="s">
        <v>320</v>
      </c>
      <c r="B236" s="3">
        <v>46080</v>
      </c>
      <c r="C236" t="s">
        <v>22</v>
      </c>
      <c r="D236" t="s">
        <v>23</v>
      </c>
      <c r="E236" t="s">
        <v>24</v>
      </c>
      <c r="F236" t="s">
        <v>20</v>
      </c>
      <c r="G236" t="s">
        <v>40</v>
      </c>
      <c r="H236" s="5">
        <v>425000</v>
      </c>
      <c r="I236" s="5">
        <v>0</v>
      </c>
      <c r="J236" s="5">
        <v>0</v>
      </c>
      <c r="K236" s="5">
        <f>Table2[[#This Row],[Advance Amount]]-Table2[[#This Row],[Expense Amount]]-Table2[[#This Row],[Return Amount]]</f>
        <v>425000</v>
      </c>
      <c r="L236" s="5" t="str">
        <f>IF(Table2[[#This Row],[Outstanding]]=0,"Settled",IF(Table2[[#This Row],[Outstanding]]&gt;0,"Outstanding"))</f>
        <v>Outstanding</v>
      </c>
      <c r="M236" s="5" t="str">
        <f>IF(Table2[[#This Row],[Advance Amount]]=Table2[[#This Row],[Expense Amount]]+Table2[[#This Row],[Return Amount]]+Table2[[#This Row],[Outstanding]],"Ok","Check")</f>
        <v>Ok</v>
      </c>
      <c r="N236" s="11">
        <f>IF(Table2[[#This Row],[Status]]="Settled",0,$Q$2-Table2[[#This Row],[Date]])</f>
        <v>185</v>
      </c>
      <c r="O236" s="5" t="str">
        <f>IF(Table2[[#This Row],[Age Days]]&lt;=7,"Normal",IF(Table2[[#This Row],[Age Days]]&lt;=14,"Perlu Dipantau",IF(Table2[[#This Row],[Age Days]]&lt;=30,"Perlu Ditindaklanjuti","Overdue")))</f>
        <v>Overdue</v>
      </c>
    </row>
    <row r="237" spans="1:15" x14ac:dyDescent="0.3">
      <c r="A237" t="s">
        <v>321</v>
      </c>
      <c r="B237" s="3">
        <v>46080</v>
      </c>
      <c r="C237" t="s">
        <v>25</v>
      </c>
      <c r="D237" t="s">
        <v>26</v>
      </c>
      <c r="E237" t="s">
        <v>27</v>
      </c>
      <c r="F237" t="s">
        <v>14</v>
      </c>
      <c r="G237" t="s">
        <v>15</v>
      </c>
      <c r="H237" s="5">
        <v>850000</v>
      </c>
      <c r="I237" s="5">
        <v>800000</v>
      </c>
      <c r="J237" s="5">
        <v>50000</v>
      </c>
      <c r="K237" s="5">
        <f>Table2[[#This Row],[Advance Amount]]-Table2[[#This Row],[Expense Amount]]-Table2[[#This Row],[Return Amount]]</f>
        <v>0</v>
      </c>
      <c r="L237" s="5" t="str">
        <f>IF(Table2[[#This Row],[Outstanding]]=0,"Settled",IF(Table2[[#This Row],[Outstanding]]&gt;0,"Outstanding"))</f>
        <v>Settled</v>
      </c>
      <c r="M237" s="5" t="str">
        <f>IF(Table2[[#This Row],[Advance Amount]]=Table2[[#This Row],[Expense Amount]]+Table2[[#This Row],[Return Amount]]+Table2[[#This Row],[Outstanding]],"Ok","Check")</f>
        <v>Ok</v>
      </c>
      <c r="N237" s="11">
        <f>IF(Table2[[#This Row],[Status]]="Settled",0,$Q$2-Table2[[#This Row],[Date]])</f>
        <v>0</v>
      </c>
      <c r="O237" s="5" t="str">
        <f>IF(Table2[[#This Row],[Age Days]]&lt;=7,"Normal",IF(Table2[[#This Row],[Age Days]]&lt;=14,"Perlu Dipantau",IF(Table2[[#This Row],[Age Days]]&lt;=30,"Perlu Ditindaklanjuti","Overdue")))</f>
        <v>Normal</v>
      </c>
    </row>
    <row r="238" spans="1:15" x14ac:dyDescent="0.3">
      <c r="A238" t="s">
        <v>322</v>
      </c>
      <c r="B238" s="3">
        <v>46080</v>
      </c>
      <c r="C238" t="s">
        <v>25</v>
      </c>
      <c r="D238" t="s">
        <v>26</v>
      </c>
      <c r="E238" t="s">
        <v>27</v>
      </c>
      <c r="F238" t="s">
        <v>20</v>
      </c>
      <c r="G238" t="s">
        <v>34</v>
      </c>
      <c r="H238" s="5">
        <v>425000</v>
      </c>
      <c r="I238" s="5">
        <v>0</v>
      </c>
      <c r="J238" s="5">
        <v>0</v>
      </c>
      <c r="K238" s="5">
        <f>Table2[[#This Row],[Advance Amount]]-Table2[[#This Row],[Expense Amount]]-Table2[[#This Row],[Return Amount]]</f>
        <v>425000</v>
      </c>
      <c r="L238" s="5" t="str">
        <f>IF(Table2[[#This Row],[Outstanding]]=0,"Settled",IF(Table2[[#This Row],[Outstanding]]&gt;0,"Outstanding"))</f>
        <v>Outstanding</v>
      </c>
      <c r="M238" s="5" t="str">
        <f>IF(Table2[[#This Row],[Advance Amount]]=Table2[[#This Row],[Expense Amount]]+Table2[[#This Row],[Return Amount]]+Table2[[#This Row],[Outstanding]],"Ok","Check")</f>
        <v>Ok</v>
      </c>
      <c r="N238" s="11">
        <f>IF(Table2[[#This Row],[Status]]="Settled",0,$Q$2-Table2[[#This Row],[Date]])</f>
        <v>185</v>
      </c>
      <c r="O238" s="5" t="str">
        <f>IF(Table2[[#This Row],[Age Days]]&lt;=7,"Normal",IF(Table2[[#This Row],[Age Days]]&lt;=14,"Perlu Dipantau",IF(Table2[[#This Row],[Age Days]]&lt;=30,"Perlu Ditindaklanjuti","Overdue")))</f>
        <v>Overdue</v>
      </c>
    </row>
    <row r="239" spans="1:15" x14ac:dyDescent="0.3">
      <c r="A239" t="s">
        <v>323</v>
      </c>
      <c r="B239" s="3">
        <v>46081</v>
      </c>
      <c r="C239" t="s">
        <v>62</v>
      </c>
      <c r="D239" t="s">
        <v>63</v>
      </c>
      <c r="E239" t="s">
        <v>52</v>
      </c>
      <c r="F239" t="s">
        <v>20</v>
      </c>
      <c r="G239" t="s">
        <v>40</v>
      </c>
      <c r="H239" s="5">
        <v>700000</v>
      </c>
      <c r="I239" s="5">
        <v>525000</v>
      </c>
      <c r="J239" s="5">
        <v>175000</v>
      </c>
      <c r="K239" s="5">
        <f>Table2[[#This Row],[Advance Amount]]-Table2[[#This Row],[Expense Amount]]-Table2[[#This Row],[Return Amount]]</f>
        <v>0</v>
      </c>
      <c r="L239" s="5" t="str">
        <f>IF(Table2[[#This Row],[Outstanding]]=0,"Settled",IF(Table2[[#This Row],[Outstanding]]&gt;0,"Outstanding"))</f>
        <v>Settled</v>
      </c>
      <c r="M239" s="5" t="str">
        <f>IF(Table2[[#This Row],[Advance Amount]]=Table2[[#This Row],[Expense Amount]]+Table2[[#This Row],[Return Amount]]+Table2[[#This Row],[Outstanding]],"Ok","Check")</f>
        <v>Ok</v>
      </c>
      <c r="N239" s="11">
        <f>IF(Table2[[#This Row],[Status]]="Settled",0,$Q$2-Table2[[#This Row],[Date]])</f>
        <v>0</v>
      </c>
      <c r="O239" s="5" t="str">
        <f>IF(Table2[[#This Row],[Age Days]]&lt;=7,"Normal",IF(Table2[[#This Row],[Age Days]]&lt;=14,"Perlu Dipantau",IF(Table2[[#This Row],[Age Days]]&lt;=30,"Perlu Ditindaklanjuti","Overdue")))</f>
        <v>Normal</v>
      </c>
    </row>
    <row r="240" spans="1:15" x14ac:dyDescent="0.3">
      <c r="A240" t="s">
        <v>324</v>
      </c>
      <c r="B240" s="3">
        <v>46081</v>
      </c>
      <c r="C240" t="s">
        <v>59</v>
      </c>
      <c r="D240" t="s">
        <v>60</v>
      </c>
      <c r="E240" t="s">
        <v>19</v>
      </c>
      <c r="F240" t="s">
        <v>20</v>
      </c>
      <c r="G240" t="s">
        <v>57</v>
      </c>
      <c r="H240" s="5">
        <v>30000</v>
      </c>
      <c r="I240" s="5">
        <v>25000</v>
      </c>
      <c r="J240" s="5">
        <v>5000</v>
      </c>
      <c r="K240" s="5">
        <f>Table2[[#This Row],[Advance Amount]]-Table2[[#This Row],[Expense Amount]]-Table2[[#This Row],[Return Amount]]</f>
        <v>0</v>
      </c>
      <c r="L240" s="5" t="str">
        <f>IF(Table2[[#This Row],[Outstanding]]=0,"Settled",IF(Table2[[#This Row],[Outstanding]]&gt;0,"Outstanding"))</f>
        <v>Settled</v>
      </c>
      <c r="M240" s="5" t="str">
        <f>IF(Table2[[#This Row],[Advance Amount]]=Table2[[#This Row],[Expense Amount]]+Table2[[#This Row],[Return Amount]]+Table2[[#This Row],[Outstanding]],"Ok","Check")</f>
        <v>Ok</v>
      </c>
      <c r="N240" s="11">
        <f>IF(Table2[[#This Row],[Status]]="Settled",0,$Q$2-Table2[[#This Row],[Date]])</f>
        <v>0</v>
      </c>
      <c r="O240" s="5" t="str">
        <f>IF(Table2[[#This Row],[Age Days]]&lt;=7,"Normal",IF(Table2[[#This Row],[Age Days]]&lt;=14,"Perlu Dipantau",IF(Table2[[#This Row],[Age Days]]&lt;=30,"Perlu Ditindaklanjuti","Overdue")))</f>
        <v>Normal</v>
      </c>
    </row>
    <row r="241" spans="1:15" x14ac:dyDescent="0.3">
      <c r="A241" t="s">
        <v>325</v>
      </c>
      <c r="B241" s="3">
        <v>46082</v>
      </c>
      <c r="C241" t="s">
        <v>38</v>
      </c>
      <c r="D241" t="s">
        <v>39</v>
      </c>
      <c r="E241" t="s">
        <v>24</v>
      </c>
      <c r="F241" t="s">
        <v>20</v>
      </c>
      <c r="G241" t="s">
        <v>61</v>
      </c>
      <c r="H241" s="5">
        <v>125000</v>
      </c>
      <c r="I241" s="5">
        <v>125000</v>
      </c>
      <c r="J241" s="5">
        <v>0</v>
      </c>
      <c r="K241" s="5">
        <f>Table2[[#This Row],[Advance Amount]]-Table2[[#This Row],[Expense Amount]]-Table2[[#This Row],[Return Amount]]</f>
        <v>0</v>
      </c>
      <c r="L241" s="5" t="str">
        <f>IF(Table2[[#This Row],[Outstanding]]=0,"Settled",IF(Table2[[#This Row],[Outstanding]]&gt;0,"Outstanding"))</f>
        <v>Settled</v>
      </c>
      <c r="M241" s="5" t="str">
        <f>IF(Table2[[#This Row],[Advance Amount]]=Table2[[#This Row],[Expense Amount]]+Table2[[#This Row],[Return Amount]]+Table2[[#This Row],[Outstanding]],"Ok","Check")</f>
        <v>Ok</v>
      </c>
      <c r="N241" s="11">
        <f>IF(Table2[[#This Row],[Status]]="Settled",0,$Q$2-Table2[[#This Row],[Date]])</f>
        <v>0</v>
      </c>
      <c r="O241" s="5" t="str">
        <f>IF(Table2[[#This Row],[Age Days]]&lt;=7,"Normal",IF(Table2[[#This Row],[Age Days]]&lt;=14,"Perlu Dipantau",IF(Table2[[#This Row],[Age Days]]&lt;=30,"Perlu Ditindaklanjuti","Overdue")))</f>
        <v>Normal</v>
      </c>
    </row>
    <row r="242" spans="1:15" x14ac:dyDescent="0.3">
      <c r="A242" t="s">
        <v>326</v>
      </c>
      <c r="B242" s="3">
        <v>46082</v>
      </c>
      <c r="C242" t="s">
        <v>38</v>
      </c>
      <c r="D242" t="s">
        <v>39</v>
      </c>
      <c r="E242" t="s">
        <v>24</v>
      </c>
      <c r="F242" t="s">
        <v>14</v>
      </c>
      <c r="G242" t="s">
        <v>15</v>
      </c>
      <c r="H242" s="5">
        <v>3325000</v>
      </c>
      <c r="I242" s="5">
        <v>2975000</v>
      </c>
      <c r="J242" s="5">
        <v>350000</v>
      </c>
      <c r="K242" s="5">
        <f>Table2[[#This Row],[Advance Amount]]-Table2[[#This Row],[Expense Amount]]-Table2[[#This Row],[Return Amount]]</f>
        <v>0</v>
      </c>
      <c r="L242" s="5" t="str">
        <f>IF(Table2[[#This Row],[Outstanding]]=0,"Settled",IF(Table2[[#This Row],[Outstanding]]&gt;0,"Outstanding"))</f>
        <v>Settled</v>
      </c>
      <c r="M242" s="5" t="str">
        <f>IF(Table2[[#This Row],[Advance Amount]]=Table2[[#This Row],[Expense Amount]]+Table2[[#This Row],[Return Amount]]+Table2[[#This Row],[Outstanding]],"Ok","Check")</f>
        <v>Ok</v>
      </c>
      <c r="N242" s="11">
        <f>IF(Table2[[#This Row],[Status]]="Settled",0,$Q$2-Table2[[#This Row],[Date]])</f>
        <v>0</v>
      </c>
      <c r="O242" s="5" t="str">
        <f>IF(Table2[[#This Row],[Age Days]]&lt;=7,"Normal",IF(Table2[[#This Row],[Age Days]]&lt;=14,"Perlu Dipantau",IF(Table2[[#This Row],[Age Days]]&lt;=30,"Perlu Ditindaklanjuti","Overdue")))</f>
        <v>Normal</v>
      </c>
    </row>
    <row r="243" spans="1:15" x14ac:dyDescent="0.3">
      <c r="A243" t="s">
        <v>327</v>
      </c>
      <c r="B243" s="3">
        <v>46083</v>
      </c>
      <c r="C243" t="s">
        <v>46</v>
      </c>
      <c r="D243" t="s">
        <v>47</v>
      </c>
      <c r="E243" t="s">
        <v>37</v>
      </c>
      <c r="F243" t="s">
        <v>14</v>
      </c>
      <c r="G243" t="s">
        <v>40</v>
      </c>
      <c r="H243" s="5">
        <v>850000</v>
      </c>
      <c r="I243" s="5">
        <v>675000</v>
      </c>
      <c r="J243" s="5">
        <v>175000</v>
      </c>
      <c r="K243" s="5">
        <f>Table2[[#This Row],[Advance Amount]]-Table2[[#This Row],[Expense Amount]]-Table2[[#This Row],[Return Amount]]</f>
        <v>0</v>
      </c>
      <c r="L243" s="5" t="str">
        <f>IF(Table2[[#This Row],[Outstanding]]=0,"Settled",IF(Table2[[#This Row],[Outstanding]]&gt;0,"Outstanding"))</f>
        <v>Settled</v>
      </c>
      <c r="M243" s="5" t="str">
        <f>IF(Table2[[#This Row],[Advance Amount]]=Table2[[#This Row],[Expense Amount]]+Table2[[#This Row],[Return Amount]]+Table2[[#This Row],[Outstanding]],"Ok","Check")</f>
        <v>Ok</v>
      </c>
      <c r="N243" s="11">
        <f>IF(Table2[[#This Row],[Status]]="Settled",0,$Q$2-Table2[[#This Row],[Date]])</f>
        <v>0</v>
      </c>
      <c r="O243" s="5" t="str">
        <f>IF(Table2[[#This Row],[Age Days]]&lt;=7,"Normal",IF(Table2[[#This Row],[Age Days]]&lt;=14,"Perlu Dipantau",IF(Table2[[#This Row],[Age Days]]&lt;=30,"Perlu Ditindaklanjuti","Overdue")))</f>
        <v>Normal</v>
      </c>
    </row>
    <row r="244" spans="1:15" x14ac:dyDescent="0.3">
      <c r="A244" t="s">
        <v>328</v>
      </c>
      <c r="B244" s="3">
        <v>46083</v>
      </c>
      <c r="C244" t="s">
        <v>35</v>
      </c>
      <c r="D244" t="s">
        <v>36</v>
      </c>
      <c r="E244" t="s">
        <v>37</v>
      </c>
      <c r="F244" t="s">
        <v>14</v>
      </c>
      <c r="G244" t="s">
        <v>31</v>
      </c>
      <c r="H244" s="5">
        <v>600000</v>
      </c>
      <c r="I244" s="5">
        <v>450000</v>
      </c>
      <c r="J244" s="5">
        <v>150000</v>
      </c>
      <c r="K244" s="5">
        <f>Table2[[#This Row],[Advance Amount]]-Table2[[#This Row],[Expense Amount]]-Table2[[#This Row],[Return Amount]]</f>
        <v>0</v>
      </c>
      <c r="L244" s="5" t="str">
        <f>IF(Table2[[#This Row],[Outstanding]]=0,"Settled",IF(Table2[[#This Row],[Outstanding]]&gt;0,"Outstanding"))</f>
        <v>Settled</v>
      </c>
      <c r="M244" s="5" t="str">
        <f>IF(Table2[[#This Row],[Advance Amount]]=Table2[[#This Row],[Expense Amount]]+Table2[[#This Row],[Return Amount]]+Table2[[#This Row],[Outstanding]],"Ok","Check")</f>
        <v>Ok</v>
      </c>
      <c r="N244" s="11">
        <f>IF(Table2[[#This Row],[Status]]="Settled",0,$Q$2-Table2[[#This Row],[Date]])</f>
        <v>0</v>
      </c>
      <c r="O244" s="5" t="str">
        <f>IF(Table2[[#This Row],[Age Days]]&lt;=7,"Normal",IF(Table2[[#This Row],[Age Days]]&lt;=14,"Perlu Dipantau",IF(Table2[[#This Row],[Age Days]]&lt;=30,"Perlu Ditindaklanjuti","Overdue")))</f>
        <v>Normal</v>
      </c>
    </row>
    <row r="245" spans="1:15" x14ac:dyDescent="0.3">
      <c r="A245" t="s">
        <v>329</v>
      </c>
      <c r="B245" s="3">
        <v>46084</v>
      </c>
      <c r="C245" t="s">
        <v>55</v>
      </c>
      <c r="D245" t="s">
        <v>56</v>
      </c>
      <c r="E245" t="s">
        <v>24</v>
      </c>
      <c r="F245" t="s">
        <v>20</v>
      </c>
      <c r="G245" t="s">
        <v>31</v>
      </c>
      <c r="H245" s="5">
        <v>700000</v>
      </c>
      <c r="I245" s="5">
        <v>675000</v>
      </c>
      <c r="J245" s="5">
        <v>25000</v>
      </c>
      <c r="K245" s="5">
        <f>Table2[[#This Row],[Advance Amount]]-Table2[[#This Row],[Expense Amount]]-Table2[[#This Row],[Return Amount]]</f>
        <v>0</v>
      </c>
      <c r="L245" s="5" t="str">
        <f>IF(Table2[[#This Row],[Outstanding]]=0,"Settled",IF(Table2[[#This Row],[Outstanding]]&gt;0,"Outstanding"))</f>
        <v>Settled</v>
      </c>
      <c r="M245" s="5" t="str">
        <f>IF(Table2[[#This Row],[Advance Amount]]=Table2[[#This Row],[Expense Amount]]+Table2[[#This Row],[Return Amount]]+Table2[[#This Row],[Outstanding]],"Ok","Check")</f>
        <v>Ok</v>
      </c>
      <c r="N245" s="11">
        <f>IF(Table2[[#This Row],[Status]]="Settled",0,$Q$2-Table2[[#This Row],[Date]])</f>
        <v>0</v>
      </c>
      <c r="O245" s="5" t="str">
        <f>IF(Table2[[#This Row],[Age Days]]&lt;=7,"Normal",IF(Table2[[#This Row],[Age Days]]&lt;=14,"Perlu Dipantau",IF(Table2[[#This Row],[Age Days]]&lt;=30,"Perlu Ditindaklanjuti","Overdue")))</f>
        <v>Normal</v>
      </c>
    </row>
    <row r="246" spans="1:15" x14ac:dyDescent="0.3">
      <c r="A246" t="s">
        <v>330</v>
      </c>
      <c r="B246" s="3">
        <v>46084</v>
      </c>
      <c r="C246" t="s">
        <v>38</v>
      </c>
      <c r="D246" t="s">
        <v>39</v>
      </c>
      <c r="E246" t="s">
        <v>24</v>
      </c>
      <c r="F246" t="s">
        <v>20</v>
      </c>
      <c r="G246" t="s">
        <v>15</v>
      </c>
      <c r="H246" s="5">
        <v>875000</v>
      </c>
      <c r="I246" s="5">
        <v>0</v>
      </c>
      <c r="J246" s="5">
        <v>0</v>
      </c>
      <c r="K246" s="5">
        <f>Table2[[#This Row],[Advance Amount]]-Table2[[#This Row],[Expense Amount]]-Table2[[#This Row],[Return Amount]]</f>
        <v>875000</v>
      </c>
      <c r="L246" s="5" t="str">
        <f>IF(Table2[[#This Row],[Outstanding]]=0,"Settled",IF(Table2[[#This Row],[Outstanding]]&gt;0,"Outstanding"))</f>
        <v>Outstanding</v>
      </c>
      <c r="M246" s="5" t="str">
        <f>IF(Table2[[#This Row],[Advance Amount]]=Table2[[#This Row],[Expense Amount]]+Table2[[#This Row],[Return Amount]]+Table2[[#This Row],[Outstanding]],"Ok","Check")</f>
        <v>Ok</v>
      </c>
      <c r="N246" s="11">
        <f>IF(Table2[[#This Row],[Status]]="Settled",0,$Q$2-Table2[[#This Row],[Date]])</f>
        <v>181</v>
      </c>
      <c r="O246" s="5" t="str">
        <f>IF(Table2[[#This Row],[Age Days]]&lt;=7,"Normal",IF(Table2[[#This Row],[Age Days]]&lt;=14,"Perlu Dipantau",IF(Table2[[#This Row],[Age Days]]&lt;=30,"Perlu Ditindaklanjuti","Overdue")))</f>
        <v>Overdue</v>
      </c>
    </row>
    <row r="247" spans="1:15" x14ac:dyDescent="0.3">
      <c r="A247" t="s">
        <v>331</v>
      </c>
      <c r="B247" s="3">
        <v>46085</v>
      </c>
      <c r="C247" t="s">
        <v>38</v>
      </c>
      <c r="D247" t="s">
        <v>39</v>
      </c>
      <c r="E247" t="s">
        <v>24</v>
      </c>
      <c r="F247" t="s">
        <v>14</v>
      </c>
      <c r="G247" t="s">
        <v>34</v>
      </c>
      <c r="H247" s="5">
        <v>100000</v>
      </c>
      <c r="I247" s="5">
        <v>0</v>
      </c>
      <c r="J247" s="5">
        <v>0</v>
      </c>
      <c r="K247" s="5">
        <f>Table2[[#This Row],[Advance Amount]]-Table2[[#This Row],[Expense Amount]]-Table2[[#This Row],[Return Amount]]</f>
        <v>100000</v>
      </c>
      <c r="L247" s="5" t="str">
        <f>IF(Table2[[#This Row],[Outstanding]]=0,"Settled",IF(Table2[[#This Row],[Outstanding]]&gt;0,"Outstanding"))</f>
        <v>Outstanding</v>
      </c>
      <c r="M247" s="5" t="str">
        <f>IF(Table2[[#This Row],[Advance Amount]]=Table2[[#This Row],[Expense Amount]]+Table2[[#This Row],[Return Amount]]+Table2[[#This Row],[Outstanding]],"Ok","Check")</f>
        <v>Ok</v>
      </c>
      <c r="N247" s="11">
        <f>IF(Table2[[#This Row],[Status]]="Settled",0,$Q$2-Table2[[#This Row],[Date]])</f>
        <v>180</v>
      </c>
      <c r="O247" s="5" t="str">
        <f>IF(Table2[[#This Row],[Age Days]]&lt;=7,"Normal",IF(Table2[[#This Row],[Age Days]]&lt;=14,"Perlu Dipantau",IF(Table2[[#This Row],[Age Days]]&lt;=30,"Perlu Ditindaklanjuti","Overdue")))</f>
        <v>Overdue</v>
      </c>
    </row>
    <row r="248" spans="1:15" x14ac:dyDescent="0.3">
      <c r="A248" t="s">
        <v>332</v>
      </c>
      <c r="B248" s="3">
        <v>46085</v>
      </c>
      <c r="C248" t="s">
        <v>50</v>
      </c>
      <c r="D248" t="s">
        <v>51</v>
      </c>
      <c r="E248" t="s">
        <v>52</v>
      </c>
      <c r="F248" t="s">
        <v>20</v>
      </c>
      <c r="G248" t="s">
        <v>28</v>
      </c>
      <c r="H248" s="5">
        <v>405000</v>
      </c>
      <c r="I248" s="5">
        <v>325000</v>
      </c>
      <c r="J248" s="5">
        <v>80000</v>
      </c>
      <c r="K248" s="5">
        <f>Table2[[#This Row],[Advance Amount]]-Table2[[#This Row],[Expense Amount]]-Table2[[#This Row],[Return Amount]]</f>
        <v>0</v>
      </c>
      <c r="L248" s="5" t="str">
        <f>IF(Table2[[#This Row],[Outstanding]]=0,"Settled",IF(Table2[[#This Row],[Outstanding]]&gt;0,"Outstanding"))</f>
        <v>Settled</v>
      </c>
      <c r="M248" s="5" t="str">
        <f>IF(Table2[[#This Row],[Advance Amount]]=Table2[[#This Row],[Expense Amount]]+Table2[[#This Row],[Return Amount]]+Table2[[#This Row],[Outstanding]],"Ok","Check")</f>
        <v>Ok</v>
      </c>
      <c r="N248" s="11">
        <f>IF(Table2[[#This Row],[Status]]="Settled",0,$Q$2-Table2[[#This Row],[Date]])</f>
        <v>0</v>
      </c>
      <c r="O248" s="5" t="str">
        <f>IF(Table2[[#This Row],[Age Days]]&lt;=7,"Normal",IF(Table2[[#This Row],[Age Days]]&lt;=14,"Perlu Dipantau",IF(Table2[[#This Row],[Age Days]]&lt;=30,"Perlu Ditindaklanjuti","Overdue")))</f>
        <v>Normal</v>
      </c>
    </row>
    <row r="249" spans="1:15" x14ac:dyDescent="0.3">
      <c r="A249" t="s">
        <v>333</v>
      </c>
      <c r="B249" s="3">
        <v>46086</v>
      </c>
      <c r="C249" t="s">
        <v>46</v>
      </c>
      <c r="D249" t="s">
        <v>47</v>
      </c>
      <c r="E249" t="s">
        <v>37</v>
      </c>
      <c r="F249" t="s">
        <v>14</v>
      </c>
      <c r="G249" t="s">
        <v>58</v>
      </c>
      <c r="H249" s="5">
        <v>750000</v>
      </c>
      <c r="I249" s="5">
        <v>725000</v>
      </c>
      <c r="J249" s="5">
        <v>25000</v>
      </c>
      <c r="K249" s="5">
        <f>Table2[[#This Row],[Advance Amount]]-Table2[[#This Row],[Expense Amount]]-Table2[[#This Row],[Return Amount]]</f>
        <v>0</v>
      </c>
      <c r="L249" s="5" t="str">
        <f>IF(Table2[[#This Row],[Outstanding]]=0,"Settled",IF(Table2[[#This Row],[Outstanding]]&gt;0,"Outstanding"))</f>
        <v>Settled</v>
      </c>
      <c r="M249" s="5" t="str">
        <f>IF(Table2[[#This Row],[Advance Amount]]=Table2[[#This Row],[Expense Amount]]+Table2[[#This Row],[Return Amount]]+Table2[[#This Row],[Outstanding]],"Ok","Check")</f>
        <v>Ok</v>
      </c>
      <c r="N249" s="11">
        <f>IF(Table2[[#This Row],[Status]]="Settled",0,$Q$2-Table2[[#This Row],[Date]])</f>
        <v>0</v>
      </c>
      <c r="O249" s="5" t="str">
        <f>IF(Table2[[#This Row],[Age Days]]&lt;=7,"Normal",IF(Table2[[#This Row],[Age Days]]&lt;=14,"Perlu Dipantau",IF(Table2[[#This Row],[Age Days]]&lt;=30,"Perlu Ditindaklanjuti","Overdue")))</f>
        <v>Normal</v>
      </c>
    </row>
    <row r="250" spans="1:15" x14ac:dyDescent="0.3">
      <c r="A250" t="s">
        <v>334</v>
      </c>
      <c r="B250" s="3">
        <v>46086</v>
      </c>
      <c r="C250" t="s">
        <v>29</v>
      </c>
      <c r="D250" t="s">
        <v>30</v>
      </c>
      <c r="E250" t="s">
        <v>13</v>
      </c>
      <c r="F250" t="s">
        <v>20</v>
      </c>
      <c r="G250" t="s">
        <v>28</v>
      </c>
      <c r="H250" s="5">
        <v>30000</v>
      </c>
      <c r="I250" s="5">
        <v>25000</v>
      </c>
      <c r="J250" s="5">
        <v>5000</v>
      </c>
      <c r="K250" s="5">
        <f>Table2[[#This Row],[Advance Amount]]-Table2[[#This Row],[Expense Amount]]-Table2[[#This Row],[Return Amount]]</f>
        <v>0</v>
      </c>
      <c r="L250" s="5" t="str">
        <f>IF(Table2[[#This Row],[Outstanding]]=0,"Settled",IF(Table2[[#This Row],[Outstanding]]&gt;0,"Outstanding"))</f>
        <v>Settled</v>
      </c>
      <c r="M250" s="5" t="str">
        <f>IF(Table2[[#This Row],[Advance Amount]]=Table2[[#This Row],[Expense Amount]]+Table2[[#This Row],[Return Amount]]+Table2[[#This Row],[Outstanding]],"Ok","Check")</f>
        <v>Ok</v>
      </c>
      <c r="N250" s="11">
        <f>IF(Table2[[#This Row],[Status]]="Settled",0,$Q$2-Table2[[#This Row],[Date]])</f>
        <v>0</v>
      </c>
      <c r="O250" s="5" t="str">
        <f>IF(Table2[[#This Row],[Age Days]]&lt;=7,"Normal",IF(Table2[[#This Row],[Age Days]]&lt;=14,"Perlu Dipantau",IF(Table2[[#This Row],[Age Days]]&lt;=30,"Perlu Ditindaklanjuti","Overdue")))</f>
        <v>Normal</v>
      </c>
    </row>
    <row r="251" spans="1:15" x14ac:dyDescent="0.3">
      <c r="A251" t="s">
        <v>335</v>
      </c>
      <c r="B251" s="3">
        <v>46086</v>
      </c>
      <c r="C251" t="s">
        <v>11</v>
      </c>
      <c r="D251" t="s">
        <v>12</v>
      </c>
      <c r="E251" t="s">
        <v>13</v>
      </c>
      <c r="F251" t="s">
        <v>14</v>
      </c>
      <c r="G251" t="s">
        <v>31</v>
      </c>
      <c r="H251" s="5">
        <v>1100000</v>
      </c>
      <c r="I251" s="5">
        <v>875000</v>
      </c>
      <c r="J251" s="5">
        <v>225000</v>
      </c>
      <c r="K251" s="5">
        <f>Table2[[#This Row],[Advance Amount]]-Table2[[#This Row],[Expense Amount]]-Table2[[#This Row],[Return Amount]]</f>
        <v>0</v>
      </c>
      <c r="L251" s="5" t="str">
        <f>IF(Table2[[#This Row],[Outstanding]]=0,"Settled",IF(Table2[[#This Row],[Outstanding]]&gt;0,"Outstanding"))</f>
        <v>Settled</v>
      </c>
      <c r="M251" s="5" t="str">
        <f>IF(Table2[[#This Row],[Advance Amount]]=Table2[[#This Row],[Expense Amount]]+Table2[[#This Row],[Return Amount]]+Table2[[#This Row],[Outstanding]],"Ok","Check")</f>
        <v>Ok</v>
      </c>
      <c r="N251" s="11">
        <f>IF(Table2[[#This Row],[Status]]="Settled",0,$Q$2-Table2[[#This Row],[Date]])</f>
        <v>0</v>
      </c>
      <c r="O251" s="5" t="str">
        <f>IF(Table2[[#This Row],[Age Days]]&lt;=7,"Normal",IF(Table2[[#This Row],[Age Days]]&lt;=14,"Perlu Dipantau",IF(Table2[[#This Row],[Age Days]]&lt;=30,"Perlu Ditindaklanjuti","Overdue")))</f>
        <v>Normal</v>
      </c>
    </row>
    <row r="252" spans="1:15" x14ac:dyDescent="0.3">
      <c r="A252" t="s">
        <v>336</v>
      </c>
      <c r="B252" s="3">
        <v>46087</v>
      </c>
      <c r="C252" t="s">
        <v>55</v>
      </c>
      <c r="D252" t="s">
        <v>56</v>
      </c>
      <c r="E252" t="s">
        <v>24</v>
      </c>
      <c r="F252" t="s">
        <v>14</v>
      </c>
      <c r="G252" t="s">
        <v>57</v>
      </c>
      <c r="H252" s="5">
        <v>130000</v>
      </c>
      <c r="I252" s="5">
        <v>100000</v>
      </c>
      <c r="J252" s="5">
        <v>30000</v>
      </c>
      <c r="K252" s="5">
        <f>Table2[[#This Row],[Advance Amount]]-Table2[[#This Row],[Expense Amount]]-Table2[[#This Row],[Return Amount]]</f>
        <v>0</v>
      </c>
      <c r="L252" s="5" t="str">
        <f>IF(Table2[[#This Row],[Outstanding]]=0,"Settled",IF(Table2[[#This Row],[Outstanding]]&gt;0,"Outstanding"))</f>
        <v>Settled</v>
      </c>
      <c r="M252" s="5" t="str">
        <f>IF(Table2[[#This Row],[Advance Amount]]=Table2[[#This Row],[Expense Amount]]+Table2[[#This Row],[Return Amount]]+Table2[[#This Row],[Outstanding]],"Ok","Check")</f>
        <v>Ok</v>
      </c>
      <c r="N252" s="11">
        <f>IF(Table2[[#This Row],[Status]]="Settled",0,$Q$2-Table2[[#This Row],[Date]])</f>
        <v>0</v>
      </c>
      <c r="O252" s="5" t="str">
        <f>IF(Table2[[#This Row],[Age Days]]&lt;=7,"Normal",IF(Table2[[#This Row],[Age Days]]&lt;=14,"Perlu Dipantau",IF(Table2[[#This Row],[Age Days]]&lt;=30,"Perlu Ditindaklanjuti","Overdue")))</f>
        <v>Normal</v>
      </c>
    </row>
    <row r="253" spans="1:15" x14ac:dyDescent="0.3">
      <c r="A253" t="s">
        <v>337</v>
      </c>
      <c r="B253" s="3">
        <v>46087</v>
      </c>
      <c r="C253" t="s">
        <v>11</v>
      </c>
      <c r="D253" t="s">
        <v>12</v>
      </c>
      <c r="E253" t="s">
        <v>13</v>
      </c>
      <c r="F253" t="s">
        <v>14</v>
      </c>
      <c r="G253" t="s">
        <v>31</v>
      </c>
      <c r="H253" s="5">
        <v>1025000</v>
      </c>
      <c r="I253" s="5">
        <v>0</v>
      </c>
      <c r="J253" s="5">
        <v>0</v>
      </c>
      <c r="K253" s="5">
        <f>Table2[[#This Row],[Advance Amount]]-Table2[[#This Row],[Expense Amount]]-Table2[[#This Row],[Return Amount]]</f>
        <v>1025000</v>
      </c>
      <c r="L253" s="5" t="str">
        <f>IF(Table2[[#This Row],[Outstanding]]=0,"Settled",IF(Table2[[#This Row],[Outstanding]]&gt;0,"Outstanding"))</f>
        <v>Outstanding</v>
      </c>
      <c r="M253" s="5" t="str">
        <f>IF(Table2[[#This Row],[Advance Amount]]=Table2[[#This Row],[Expense Amount]]+Table2[[#This Row],[Return Amount]]+Table2[[#This Row],[Outstanding]],"Ok","Check")</f>
        <v>Ok</v>
      </c>
      <c r="N253" s="11">
        <f>IF(Table2[[#This Row],[Status]]="Settled",0,$Q$2-Table2[[#This Row],[Date]])</f>
        <v>178</v>
      </c>
      <c r="O253" s="5" t="str">
        <f>IF(Table2[[#This Row],[Age Days]]&lt;=7,"Normal",IF(Table2[[#This Row],[Age Days]]&lt;=14,"Perlu Dipantau",IF(Table2[[#This Row],[Age Days]]&lt;=30,"Perlu Ditindaklanjuti","Overdue")))</f>
        <v>Overdue</v>
      </c>
    </row>
    <row r="254" spans="1:15" x14ac:dyDescent="0.3">
      <c r="A254" t="s">
        <v>338</v>
      </c>
      <c r="B254" s="3">
        <v>46087</v>
      </c>
      <c r="C254" t="s">
        <v>35</v>
      </c>
      <c r="D254" t="s">
        <v>36</v>
      </c>
      <c r="E254" t="s">
        <v>37</v>
      </c>
      <c r="F254" t="s">
        <v>14</v>
      </c>
      <c r="G254" t="s">
        <v>61</v>
      </c>
      <c r="H254" s="5">
        <v>575000</v>
      </c>
      <c r="I254" s="5">
        <v>525000</v>
      </c>
      <c r="J254" s="5">
        <v>50000</v>
      </c>
      <c r="K254" s="5">
        <f>Table2[[#This Row],[Advance Amount]]-Table2[[#This Row],[Expense Amount]]-Table2[[#This Row],[Return Amount]]</f>
        <v>0</v>
      </c>
      <c r="L254" s="5" t="str">
        <f>IF(Table2[[#This Row],[Outstanding]]=0,"Settled",IF(Table2[[#This Row],[Outstanding]]&gt;0,"Outstanding"))</f>
        <v>Settled</v>
      </c>
      <c r="M254" s="5" t="str">
        <f>IF(Table2[[#This Row],[Advance Amount]]=Table2[[#This Row],[Expense Amount]]+Table2[[#This Row],[Return Amount]]+Table2[[#This Row],[Outstanding]],"Ok","Check")</f>
        <v>Ok</v>
      </c>
      <c r="N254" s="11">
        <f>IF(Table2[[#This Row],[Status]]="Settled",0,$Q$2-Table2[[#This Row],[Date]])</f>
        <v>0</v>
      </c>
      <c r="O254" s="5" t="str">
        <f>IF(Table2[[#This Row],[Age Days]]&lt;=7,"Normal",IF(Table2[[#This Row],[Age Days]]&lt;=14,"Perlu Dipantau",IF(Table2[[#This Row],[Age Days]]&lt;=30,"Perlu Ditindaklanjuti","Overdue")))</f>
        <v>Normal</v>
      </c>
    </row>
    <row r="255" spans="1:15" x14ac:dyDescent="0.3">
      <c r="A255" t="s">
        <v>339</v>
      </c>
      <c r="B255" s="3">
        <v>46087</v>
      </c>
      <c r="C255" t="s">
        <v>50</v>
      </c>
      <c r="D255" t="s">
        <v>51</v>
      </c>
      <c r="E255" t="s">
        <v>52</v>
      </c>
      <c r="F255" t="s">
        <v>20</v>
      </c>
      <c r="G255" t="s">
        <v>28</v>
      </c>
      <c r="H255" s="5">
        <v>280000</v>
      </c>
      <c r="I255" s="5">
        <v>0</v>
      </c>
      <c r="J255" s="5">
        <v>0</v>
      </c>
      <c r="K255" s="5">
        <f>Table2[[#This Row],[Advance Amount]]-Table2[[#This Row],[Expense Amount]]-Table2[[#This Row],[Return Amount]]</f>
        <v>280000</v>
      </c>
      <c r="L255" s="5" t="str">
        <f>IF(Table2[[#This Row],[Outstanding]]=0,"Settled",IF(Table2[[#This Row],[Outstanding]]&gt;0,"Outstanding"))</f>
        <v>Outstanding</v>
      </c>
      <c r="M255" s="5" t="str">
        <f>IF(Table2[[#This Row],[Advance Amount]]=Table2[[#This Row],[Expense Amount]]+Table2[[#This Row],[Return Amount]]+Table2[[#This Row],[Outstanding]],"Ok","Check")</f>
        <v>Ok</v>
      </c>
      <c r="N255" s="11">
        <f>IF(Table2[[#This Row],[Status]]="Settled",0,$Q$2-Table2[[#This Row],[Date]])</f>
        <v>178</v>
      </c>
      <c r="O255" s="5" t="str">
        <f>IF(Table2[[#This Row],[Age Days]]&lt;=7,"Normal",IF(Table2[[#This Row],[Age Days]]&lt;=14,"Perlu Dipantau",IF(Table2[[#This Row],[Age Days]]&lt;=30,"Perlu Ditindaklanjuti","Overdue")))</f>
        <v>Overdue</v>
      </c>
    </row>
    <row r="256" spans="1:15" x14ac:dyDescent="0.3">
      <c r="A256" t="s">
        <v>340</v>
      </c>
      <c r="B256" s="3">
        <v>46087</v>
      </c>
      <c r="C256" t="s">
        <v>64</v>
      </c>
      <c r="D256" t="s">
        <v>65</v>
      </c>
      <c r="E256" t="s">
        <v>37</v>
      </c>
      <c r="F256" t="s">
        <v>14</v>
      </c>
      <c r="G256" t="s">
        <v>40</v>
      </c>
      <c r="H256" s="5">
        <v>525000</v>
      </c>
      <c r="I256" s="5">
        <v>0</v>
      </c>
      <c r="J256" s="5">
        <v>0</v>
      </c>
      <c r="K256" s="5">
        <f>Table2[[#This Row],[Advance Amount]]-Table2[[#This Row],[Expense Amount]]-Table2[[#This Row],[Return Amount]]</f>
        <v>525000</v>
      </c>
      <c r="L256" s="5" t="str">
        <f>IF(Table2[[#This Row],[Outstanding]]=0,"Settled",IF(Table2[[#This Row],[Outstanding]]&gt;0,"Outstanding"))</f>
        <v>Outstanding</v>
      </c>
      <c r="M256" s="5" t="str">
        <f>IF(Table2[[#This Row],[Advance Amount]]=Table2[[#This Row],[Expense Amount]]+Table2[[#This Row],[Return Amount]]+Table2[[#This Row],[Outstanding]],"Ok","Check")</f>
        <v>Ok</v>
      </c>
      <c r="N256" s="11">
        <f>IF(Table2[[#This Row],[Status]]="Settled",0,$Q$2-Table2[[#This Row],[Date]])</f>
        <v>178</v>
      </c>
      <c r="O256" s="5" t="str">
        <f>IF(Table2[[#This Row],[Age Days]]&lt;=7,"Normal",IF(Table2[[#This Row],[Age Days]]&lt;=14,"Perlu Dipantau",IF(Table2[[#This Row],[Age Days]]&lt;=30,"Perlu Ditindaklanjuti","Overdue")))</f>
        <v>Overdue</v>
      </c>
    </row>
    <row r="257" spans="1:15" x14ac:dyDescent="0.3">
      <c r="A257" t="s">
        <v>341</v>
      </c>
      <c r="B257" s="3">
        <v>46087</v>
      </c>
      <c r="C257" t="s">
        <v>53</v>
      </c>
      <c r="D257" t="s">
        <v>54</v>
      </c>
      <c r="E257" t="s">
        <v>43</v>
      </c>
      <c r="F257" t="s">
        <v>20</v>
      </c>
      <c r="G257" t="s">
        <v>40</v>
      </c>
      <c r="H257" s="5">
        <v>675000</v>
      </c>
      <c r="I257" s="5">
        <v>625000</v>
      </c>
      <c r="J257" s="5">
        <v>50000</v>
      </c>
      <c r="K257" s="5">
        <f>Table2[[#This Row],[Advance Amount]]-Table2[[#This Row],[Expense Amount]]-Table2[[#This Row],[Return Amount]]</f>
        <v>0</v>
      </c>
      <c r="L257" s="5" t="str">
        <f>IF(Table2[[#This Row],[Outstanding]]=0,"Settled",IF(Table2[[#This Row],[Outstanding]]&gt;0,"Outstanding"))</f>
        <v>Settled</v>
      </c>
      <c r="M257" s="5" t="str">
        <f>IF(Table2[[#This Row],[Advance Amount]]=Table2[[#This Row],[Expense Amount]]+Table2[[#This Row],[Return Amount]]+Table2[[#This Row],[Outstanding]],"Ok","Check")</f>
        <v>Ok</v>
      </c>
      <c r="N257" s="11">
        <f>IF(Table2[[#This Row],[Status]]="Settled",0,$Q$2-Table2[[#This Row],[Date]])</f>
        <v>0</v>
      </c>
      <c r="O257" s="5" t="str">
        <f>IF(Table2[[#This Row],[Age Days]]&lt;=7,"Normal",IF(Table2[[#This Row],[Age Days]]&lt;=14,"Perlu Dipantau",IF(Table2[[#This Row],[Age Days]]&lt;=30,"Perlu Ditindaklanjuti","Overdue")))</f>
        <v>Normal</v>
      </c>
    </row>
    <row r="258" spans="1:15" x14ac:dyDescent="0.3">
      <c r="A258" t="s">
        <v>342</v>
      </c>
      <c r="B258" s="3">
        <v>46087</v>
      </c>
      <c r="C258" t="s">
        <v>53</v>
      </c>
      <c r="D258" t="s">
        <v>54</v>
      </c>
      <c r="E258" t="s">
        <v>43</v>
      </c>
      <c r="F258" t="s">
        <v>14</v>
      </c>
      <c r="G258" t="s">
        <v>15</v>
      </c>
      <c r="H258" s="5">
        <v>3250000</v>
      </c>
      <c r="I258" s="5">
        <v>0</v>
      </c>
      <c r="J258" s="5">
        <v>0</v>
      </c>
      <c r="K258" s="5">
        <f>Table2[[#This Row],[Advance Amount]]-Table2[[#This Row],[Expense Amount]]-Table2[[#This Row],[Return Amount]]</f>
        <v>3250000</v>
      </c>
      <c r="L258" s="5" t="str">
        <f>IF(Table2[[#This Row],[Outstanding]]=0,"Settled",IF(Table2[[#This Row],[Outstanding]]&gt;0,"Outstanding"))</f>
        <v>Outstanding</v>
      </c>
      <c r="M258" s="5" t="str">
        <f>IF(Table2[[#This Row],[Advance Amount]]=Table2[[#This Row],[Expense Amount]]+Table2[[#This Row],[Return Amount]]+Table2[[#This Row],[Outstanding]],"Ok","Check")</f>
        <v>Ok</v>
      </c>
      <c r="N258" s="11">
        <f>IF(Table2[[#This Row],[Status]]="Settled",0,$Q$2-Table2[[#This Row],[Date]])</f>
        <v>178</v>
      </c>
      <c r="O258" s="5" t="str">
        <f>IF(Table2[[#This Row],[Age Days]]&lt;=7,"Normal",IF(Table2[[#This Row],[Age Days]]&lt;=14,"Perlu Dipantau",IF(Table2[[#This Row],[Age Days]]&lt;=30,"Perlu Ditindaklanjuti","Overdue")))</f>
        <v>Overdue</v>
      </c>
    </row>
    <row r="259" spans="1:15" x14ac:dyDescent="0.3">
      <c r="A259" t="s">
        <v>343</v>
      </c>
      <c r="B259" s="3">
        <v>46087</v>
      </c>
      <c r="C259" t="s">
        <v>22</v>
      </c>
      <c r="D259" t="s">
        <v>23</v>
      </c>
      <c r="E259" t="s">
        <v>24</v>
      </c>
      <c r="F259" t="s">
        <v>14</v>
      </c>
      <c r="G259" t="s">
        <v>34</v>
      </c>
      <c r="H259" s="5">
        <v>150000</v>
      </c>
      <c r="I259" s="5">
        <v>125000</v>
      </c>
      <c r="J259" s="5">
        <v>25000</v>
      </c>
      <c r="K259" s="5">
        <f>Table2[[#This Row],[Advance Amount]]-Table2[[#This Row],[Expense Amount]]-Table2[[#This Row],[Return Amount]]</f>
        <v>0</v>
      </c>
      <c r="L259" s="5" t="str">
        <f>IF(Table2[[#This Row],[Outstanding]]=0,"Settled",IF(Table2[[#This Row],[Outstanding]]&gt;0,"Outstanding"))</f>
        <v>Settled</v>
      </c>
      <c r="M259" s="5" t="str">
        <f>IF(Table2[[#This Row],[Advance Amount]]=Table2[[#This Row],[Expense Amount]]+Table2[[#This Row],[Return Amount]]+Table2[[#This Row],[Outstanding]],"Ok","Check")</f>
        <v>Ok</v>
      </c>
      <c r="N259" s="11">
        <f>IF(Table2[[#This Row],[Status]]="Settled",0,$Q$2-Table2[[#This Row],[Date]])</f>
        <v>0</v>
      </c>
      <c r="O259" s="5" t="str">
        <f>IF(Table2[[#This Row],[Age Days]]&lt;=7,"Normal",IF(Table2[[#This Row],[Age Days]]&lt;=14,"Perlu Dipantau",IF(Table2[[#This Row],[Age Days]]&lt;=30,"Perlu Ditindaklanjuti","Overdue")))</f>
        <v>Normal</v>
      </c>
    </row>
    <row r="260" spans="1:15" x14ac:dyDescent="0.3">
      <c r="A260" t="s">
        <v>344</v>
      </c>
      <c r="B260" s="3">
        <v>46088</v>
      </c>
      <c r="C260" t="s">
        <v>32</v>
      </c>
      <c r="D260" t="s">
        <v>33</v>
      </c>
      <c r="E260" t="s">
        <v>27</v>
      </c>
      <c r="F260" t="s">
        <v>14</v>
      </c>
      <c r="G260" t="s">
        <v>57</v>
      </c>
      <c r="H260" s="5">
        <v>280000</v>
      </c>
      <c r="I260" s="5">
        <v>225000</v>
      </c>
      <c r="J260" s="5">
        <v>55000</v>
      </c>
      <c r="K260" s="5">
        <f>Table2[[#This Row],[Advance Amount]]-Table2[[#This Row],[Expense Amount]]-Table2[[#This Row],[Return Amount]]</f>
        <v>0</v>
      </c>
      <c r="L260" s="5" t="str">
        <f>IF(Table2[[#This Row],[Outstanding]]=0,"Settled",IF(Table2[[#This Row],[Outstanding]]&gt;0,"Outstanding"))</f>
        <v>Settled</v>
      </c>
      <c r="M260" s="5" t="str">
        <f>IF(Table2[[#This Row],[Advance Amount]]=Table2[[#This Row],[Expense Amount]]+Table2[[#This Row],[Return Amount]]+Table2[[#This Row],[Outstanding]],"Ok","Check")</f>
        <v>Ok</v>
      </c>
      <c r="N260" s="11">
        <f>IF(Table2[[#This Row],[Status]]="Settled",0,$Q$2-Table2[[#This Row],[Date]])</f>
        <v>0</v>
      </c>
      <c r="O260" s="5" t="str">
        <f>IF(Table2[[#This Row],[Age Days]]&lt;=7,"Normal",IF(Table2[[#This Row],[Age Days]]&lt;=14,"Perlu Dipantau",IF(Table2[[#This Row],[Age Days]]&lt;=30,"Perlu Ditindaklanjuti","Overdue")))</f>
        <v>Normal</v>
      </c>
    </row>
    <row r="261" spans="1:15" x14ac:dyDescent="0.3">
      <c r="A261" t="s">
        <v>345</v>
      </c>
      <c r="B261" s="3">
        <v>46088</v>
      </c>
      <c r="C261" t="s">
        <v>11</v>
      </c>
      <c r="D261" t="s">
        <v>12</v>
      </c>
      <c r="E261" t="s">
        <v>13</v>
      </c>
      <c r="F261" t="s">
        <v>20</v>
      </c>
      <c r="G261" t="s">
        <v>61</v>
      </c>
      <c r="H261" s="5">
        <v>675000</v>
      </c>
      <c r="I261" s="5">
        <v>550000</v>
      </c>
      <c r="J261" s="5">
        <v>125000</v>
      </c>
      <c r="K261" s="5">
        <f>Table2[[#This Row],[Advance Amount]]-Table2[[#This Row],[Expense Amount]]-Table2[[#This Row],[Return Amount]]</f>
        <v>0</v>
      </c>
      <c r="L261" s="5" t="str">
        <f>IF(Table2[[#This Row],[Outstanding]]=0,"Settled",IF(Table2[[#This Row],[Outstanding]]&gt;0,"Outstanding"))</f>
        <v>Settled</v>
      </c>
      <c r="M261" s="5" t="str">
        <f>IF(Table2[[#This Row],[Advance Amount]]=Table2[[#This Row],[Expense Amount]]+Table2[[#This Row],[Return Amount]]+Table2[[#This Row],[Outstanding]],"Ok","Check")</f>
        <v>Ok</v>
      </c>
      <c r="N261" s="11">
        <f>IF(Table2[[#This Row],[Status]]="Settled",0,$Q$2-Table2[[#This Row],[Date]])</f>
        <v>0</v>
      </c>
      <c r="O261" s="5" t="str">
        <f>IF(Table2[[#This Row],[Age Days]]&lt;=7,"Normal",IF(Table2[[#This Row],[Age Days]]&lt;=14,"Perlu Dipantau",IF(Table2[[#This Row],[Age Days]]&lt;=30,"Perlu Ditindaklanjuti","Overdue")))</f>
        <v>Normal</v>
      </c>
    </row>
    <row r="262" spans="1:15" x14ac:dyDescent="0.3">
      <c r="A262" t="s">
        <v>346</v>
      </c>
      <c r="B262" s="3">
        <v>46088</v>
      </c>
      <c r="C262" t="s">
        <v>38</v>
      </c>
      <c r="D262" t="s">
        <v>39</v>
      </c>
      <c r="E262" t="s">
        <v>24</v>
      </c>
      <c r="F262" t="s">
        <v>14</v>
      </c>
      <c r="G262" t="s">
        <v>40</v>
      </c>
      <c r="H262" s="5">
        <v>200000</v>
      </c>
      <c r="I262" s="5">
        <v>150000</v>
      </c>
      <c r="J262" s="5">
        <v>50000</v>
      </c>
      <c r="K262" s="5">
        <f>Table2[[#This Row],[Advance Amount]]-Table2[[#This Row],[Expense Amount]]-Table2[[#This Row],[Return Amount]]</f>
        <v>0</v>
      </c>
      <c r="L262" s="5" t="str">
        <f>IF(Table2[[#This Row],[Outstanding]]=0,"Settled",IF(Table2[[#This Row],[Outstanding]]&gt;0,"Outstanding"))</f>
        <v>Settled</v>
      </c>
      <c r="M262" s="5" t="str">
        <f>IF(Table2[[#This Row],[Advance Amount]]=Table2[[#This Row],[Expense Amount]]+Table2[[#This Row],[Return Amount]]+Table2[[#This Row],[Outstanding]],"Ok","Check")</f>
        <v>Ok</v>
      </c>
      <c r="N262" s="11">
        <f>IF(Table2[[#This Row],[Status]]="Settled",0,$Q$2-Table2[[#This Row],[Date]])</f>
        <v>0</v>
      </c>
      <c r="O262" s="5" t="str">
        <f>IF(Table2[[#This Row],[Age Days]]&lt;=7,"Normal",IF(Table2[[#This Row],[Age Days]]&lt;=14,"Perlu Dipantau",IF(Table2[[#This Row],[Age Days]]&lt;=30,"Perlu Ditindaklanjuti","Overdue")))</f>
        <v>Normal</v>
      </c>
    </row>
    <row r="263" spans="1:15" x14ac:dyDescent="0.3">
      <c r="A263" t="s">
        <v>347</v>
      </c>
      <c r="B263" s="3">
        <v>46088</v>
      </c>
      <c r="C263" t="s">
        <v>66</v>
      </c>
      <c r="D263" t="s">
        <v>67</v>
      </c>
      <c r="E263" t="s">
        <v>13</v>
      </c>
      <c r="F263" t="s">
        <v>14</v>
      </c>
      <c r="G263" t="s">
        <v>31</v>
      </c>
      <c r="H263" s="5">
        <v>550000</v>
      </c>
      <c r="I263" s="5">
        <v>0</v>
      </c>
      <c r="J263" s="5">
        <v>0</v>
      </c>
      <c r="K263" s="5">
        <f>Table2[[#This Row],[Advance Amount]]-Table2[[#This Row],[Expense Amount]]-Table2[[#This Row],[Return Amount]]</f>
        <v>550000</v>
      </c>
      <c r="L263" s="5" t="str">
        <f>IF(Table2[[#This Row],[Outstanding]]=0,"Settled",IF(Table2[[#This Row],[Outstanding]]&gt;0,"Outstanding"))</f>
        <v>Outstanding</v>
      </c>
      <c r="M263" s="5" t="str">
        <f>IF(Table2[[#This Row],[Advance Amount]]=Table2[[#This Row],[Expense Amount]]+Table2[[#This Row],[Return Amount]]+Table2[[#This Row],[Outstanding]],"Ok","Check")</f>
        <v>Ok</v>
      </c>
      <c r="N263" s="11">
        <f>IF(Table2[[#This Row],[Status]]="Settled",0,$Q$2-Table2[[#This Row],[Date]])</f>
        <v>177</v>
      </c>
      <c r="O263" s="5" t="str">
        <f>IF(Table2[[#This Row],[Age Days]]&lt;=7,"Normal",IF(Table2[[#This Row],[Age Days]]&lt;=14,"Perlu Dipantau",IF(Table2[[#This Row],[Age Days]]&lt;=30,"Perlu Ditindaklanjuti","Overdue")))</f>
        <v>Overdue</v>
      </c>
    </row>
    <row r="264" spans="1:15" x14ac:dyDescent="0.3">
      <c r="A264" t="s">
        <v>348</v>
      </c>
      <c r="B264" s="3">
        <v>46089</v>
      </c>
      <c r="C264" t="s">
        <v>48</v>
      </c>
      <c r="D264" t="s">
        <v>49</v>
      </c>
      <c r="E264" t="s">
        <v>19</v>
      </c>
      <c r="F264" t="s">
        <v>14</v>
      </c>
      <c r="G264" t="s">
        <v>28</v>
      </c>
      <c r="H264" s="5">
        <v>80000</v>
      </c>
      <c r="I264" s="5">
        <v>0</v>
      </c>
      <c r="J264" s="5">
        <v>0</v>
      </c>
      <c r="K264" s="5">
        <f>Table2[[#This Row],[Advance Amount]]-Table2[[#This Row],[Expense Amount]]-Table2[[#This Row],[Return Amount]]</f>
        <v>80000</v>
      </c>
      <c r="L264" s="5" t="str">
        <f>IF(Table2[[#This Row],[Outstanding]]=0,"Settled",IF(Table2[[#This Row],[Outstanding]]&gt;0,"Outstanding"))</f>
        <v>Outstanding</v>
      </c>
      <c r="M264" s="5" t="str">
        <f>IF(Table2[[#This Row],[Advance Amount]]=Table2[[#This Row],[Expense Amount]]+Table2[[#This Row],[Return Amount]]+Table2[[#This Row],[Outstanding]],"Ok","Check")</f>
        <v>Ok</v>
      </c>
      <c r="N264" s="11">
        <f>IF(Table2[[#This Row],[Status]]="Settled",0,$Q$2-Table2[[#This Row],[Date]])</f>
        <v>176</v>
      </c>
      <c r="O264" s="5" t="str">
        <f>IF(Table2[[#This Row],[Age Days]]&lt;=7,"Normal",IF(Table2[[#This Row],[Age Days]]&lt;=14,"Perlu Dipantau",IF(Table2[[#This Row],[Age Days]]&lt;=30,"Perlu Ditindaklanjuti","Overdue")))</f>
        <v>Overdue</v>
      </c>
    </row>
    <row r="265" spans="1:15" x14ac:dyDescent="0.3">
      <c r="A265" t="s">
        <v>349</v>
      </c>
      <c r="B265" s="3">
        <v>46089</v>
      </c>
      <c r="C265" t="s">
        <v>11</v>
      </c>
      <c r="D265" t="s">
        <v>12</v>
      </c>
      <c r="E265" t="s">
        <v>13</v>
      </c>
      <c r="F265" t="s">
        <v>14</v>
      </c>
      <c r="G265" t="s">
        <v>34</v>
      </c>
      <c r="H265" s="5">
        <v>400000</v>
      </c>
      <c r="I265" s="5">
        <v>375000</v>
      </c>
      <c r="J265" s="5">
        <v>25000</v>
      </c>
      <c r="K265" s="5">
        <f>Table2[[#This Row],[Advance Amount]]-Table2[[#This Row],[Expense Amount]]-Table2[[#This Row],[Return Amount]]</f>
        <v>0</v>
      </c>
      <c r="L265" s="5" t="str">
        <f>IF(Table2[[#This Row],[Outstanding]]=0,"Settled",IF(Table2[[#This Row],[Outstanding]]&gt;0,"Outstanding"))</f>
        <v>Settled</v>
      </c>
      <c r="M265" s="5" t="str">
        <f>IF(Table2[[#This Row],[Advance Amount]]=Table2[[#This Row],[Expense Amount]]+Table2[[#This Row],[Return Amount]]+Table2[[#This Row],[Outstanding]],"Ok","Check")</f>
        <v>Ok</v>
      </c>
      <c r="N265" s="11">
        <f>IF(Table2[[#This Row],[Status]]="Settled",0,$Q$2-Table2[[#This Row],[Date]])</f>
        <v>0</v>
      </c>
      <c r="O265" s="5" t="str">
        <f>IF(Table2[[#This Row],[Age Days]]&lt;=7,"Normal",IF(Table2[[#This Row],[Age Days]]&lt;=14,"Perlu Dipantau",IF(Table2[[#This Row],[Age Days]]&lt;=30,"Perlu Ditindaklanjuti","Overdue")))</f>
        <v>Normal</v>
      </c>
    </row>
    <row r="266" spans="1:15" x14ac:dyDescent="0.3">
      <c r="A266" t="s">
        <v>350</v>
      </c>
      <c r="B266" s="3">
        <v>46089</v>
      </c>
      <c r="C266" t="s">
        <v>68</v>
      </c>
      <c r="D266" t="s">
        <v>69</v>
      </c>
      <c r="E266" t="s">
        <v>27</v>
      </c>
      <c r="F266" t="s">
        <v>20</v>
      </c>
      <c r="G266" t="s">
        <v>57</v>
      </c>
      <c r="H266" s="5">
        <v>405000</v>
      </c>
      <c r="I266" s="5">
        <v>0</v>
      </c>
      <c r="J266" s="5">
        <v>0</v>
      </c>
      <c r="K266" s="5">
        <f>Table2[[#This Row],[Advance Amount]]-Table2[[#This Row],[Expense Amount]]-Table2[[#This Row],[Return Amount]]</f>
        <v>405000</v>
      </c>
      <c r="L266" s="5" t="str">
        <f>IF(Table2[[#This Row],[Outstanding]]=0,"Settled",IF(Table2[[#This Row],[Outstanding]]&gt;0,"Outstanding"))</f>
        <v>Outstanding</v>
      </c>
      <c r="M266" s="5" t="str">
        <f>IF(Table2[[#This Row],[Advance Amount]]=Table2[[#This Row],[Expense Amount]]+Table2[[#This Row],[Return Amount]]+Table2[[#This Row],[Outstanding]],"Ok","Check")</f>
        <v>Ok</v>
      </c>
      <c r="N266" s="11">
        <f>IF(Table2[[#This Row],[Status]]="Settled",0,$Q$2-Table2[[#This Row],[Date]])</f>
        <v>176</v>
      </c>
      <c r="O266" s="5" t="str">
        <f>IF(Table2[[#This Row],[Age Days]]&lt;=7,"Normal",IF(Table2[[#This Row],[Age Days]]&lt;=14,"Perlu Dipantau",IF(Table2[[#This Row],[Age Days]]&lt;=30,"Perlu Ditindaklanjuti","Overdue")))</f>
        <v>Overdue</v>
      </c>
    </row>
    <row r="267" spans="1:15" x14ac:dyDescent="0.3">
      <c r="A267" t="s">
        <v>351</v>
      </c>
      <c r="B267" s="3">
        <v>46089</v>
      </c>
      <c r="C267" t="s">
        <v>68</v>
      </c>
      <c r="D267" t="s">
        <v>69</v>
      </c>
      <c r="E267" t="s">
        <v>27</v>
      </c>
      <c r="F267" t="s">
        <v>14</v>
      </c>
      <c r="G267" t="s">
        <v>34</v>
      </c>
      <c r="H267" s="5">
        <v>250000</v>
      </c>
      <c r="I267" s="5">
        <v>225000</v>
      </c>
      <c r="J267" s="5">
        <v>25000</v>
      </c>
      <c r="K267" s="5">
        <f>Table2[[#This Row],[Advance Amount]]-Table2[[#This Row],[Expense Amount]]-Table2[[#This Row],[Return Amount]]</f>
        <v>0</v>
      </c>
      <c r="L267" s="5" t="str">
        <f>IF(Table2[[#This Row],[Outstanding]]=0,"Settled",IF(Table2[[#This Row],[Outstanding]]&gt;0,"Outstanding"))</f>
        <v>Settled</v>
      </c>
      <c r="M267" s="5" t="str">
        <f>IF(Table2[[#This Row],[Advance Amount]]=Table2[[#This Row],[Expense Amount]]+Table2[[#This Row],[Return Amount]]+Table2[[#This Row],[Outstanding]],"Ok","Check")</f>
        <v>Ok</v>
      </c>
      <c r="N267" s="11">
        <f>IF(Table2[[#This Row],[Status]]="Settled",0,$Q$2-Table2[[#This Row],[Date]])</f>
        <v>0</v>
      </c>
      <c r="O267" s="5" t="str">
        <f>IF(Table2[[#This Row],[Age Days]]&lt;=7,"Normal",IF(Table2[[#This Row],[Age Days]]&lt;=14,"Perlu Dipantau",IF(Table2[[#This Row],[Age Days]]&lt;=30,"Perlu Ditindaklanjuti","Overdue")))</f>
        <v>Normal</v>
      </c>
    </row>
    <row r="268" spans="1:15" x14ac:dyDescent="0.3">
      <c r="A268" t="s">
        <v>352</v>
      </c>
      <c r="B268" s="3">
        <v>46090</v>
      </c>
      <c r="C268" t="s">
        <v>38</v>
      </c>
      <c r="D268" t="s">
        <v>39</v>
      </c>
      <c r="E268" t="s">
        <v>24</v>
      </c>
      <c r="F268" t="s">
        <v>20</v>
      </c>
      <c r="G268" t="s">
        <v>61</v>
      </c>
      <c r="H268" s="5">
        <v>600000</v>
      </c>
      <c r="I268" s="5">
        <v>575000</v>
      </c>
      <c r="J268" s="5">
        <v>25000</v>
      </c>
      <c r="K268" s="5">
        <f>Table2[[#This Row],[Advance Amount]]-Table2[[#This Row],[Expense Amount]]-Table2[[#This Row],[Return Amount]]</f>
        <v>0</v>
      </c>
      <c r="L268" s="5" t="str">
        <f>IF(Table2[[#This Row],[Outstanding]]=0,"Settled",IF(Table2[[#This Row],[Outstanding]]&gt;0,"Outstanding"))</f>
        <v>Settled</v>
      </c>
      <c r="M268" s="5" t="str">
        <f>IF(Table2[[#This Row],[Advance Amount]]=Table2[[#This Row],[Expense Amount]]+Table2[[#This Row],[Return Amount]]+Table2[[#This Row],[Outstanding]],"Ok","Check")</f>
        <v>Ok</v>
      </c>
      <c r="N268" s="11">
        <f>IF(Table2[[#This Row],[Status]]="Settled",0,$Q$2-Table2[[#This Row],[Date]])</f>
        <v>0</v>
      </c>
      <c r="O268" s="5" t="str">
        <f>IF(Table2[[#This Row],[Age Days]]&lt;=7,"Normal",IF(Table2[[#This Row],[Age Days]]&lt;=14,"Perlu Dipantau",IF(Table2[[#This Row],[Age Days]]&lt;=30,"Perlu Ditindaklanjuti","Overdue")))</f>
        <v>Normal</v>
      </c>
    </row>
    <row r="269" spans="1:15" x14ac:dyDescent="0.3">
      <c r="A269" t="s">
        <v>353</v>
      </c>
      <c r="B269" s="3">
        <v>46090</v>
      </c>
      <c r="C269" t="s">
        <v>25</v>
      </c>
      <c r="D269" t="s">
        <v>26</v>
      </c>
      <c r="E269" t="s">
        <v>27</v>
      </c>
      <c r="F269" t="s">
        <v>20</v>
      </c>
      <c r="G269" t="s">
        <v>61</v>
      </c>
      <c r="H269" s="5">
        <v>175000</v>
      </c>
      <c r="I269" s="5">
        <v>150000</v>
      </c>
      <c r="J269" s="5">
        <v>25000</v>
      </c>
      <c r="K269" s="5">
        <f>Table2[[#This Row],[Advance Amount]]-Table2[[#This Row],[Expense Amount]]-Table2[[#This Row],[Return Amount]]</f>
        <v>0</v>
      </c>
      <c r="L269" s="5" t="str">
        <f>IF(Table2[[#This Row],[Outstanding]]=0,"Settled",IF(Table2[[#This Row],[Outstanding]]&gt;0,"Outstanding"))</f>
        <v>Settled</v>
      </c>
      <c r="M269" s="5" t="str">
        <f>IF(Table2[[#This Row],[Advance Amount]]=Table2[[#This Row],[Expense Amount]]+Table2[[#This Row],[Return Amount]]+Table2[[#This Row],[Outstanding]],"Ok","Check")</f>
        <v>Ok</v>
      </c>
      <c r="N269" s="11">
        <f>IF(Table2[[#This Row],[Status]]="Settled",0,$Q$2-Table2[[#This Row],[Date]])</f>
        <v>0</v>
      </c>
      <c r="O269" s="5" t="str">
        <f>IF(Table2[[#This Row],[Age Days]]&lt;=7,"Normal",IF(Table2[[#This Row],[Age Days]]&lt;=14,"Perlu Dipantau",IF(Table2[[#This Row],[Age Days]]&lt;=30,"Perlu Ditindaklanjuti","Overdue")))</f>
        <v>Normal</v>
      </c>
    </row>
    <row r="270" spans="1:15" x14ac:dyDescent="0.3">
      <c r="A270" t="s">
        <v>354</v>
      </c>
      <c r="B270" s="3">
        <v>46091</v>
      </c>
      <c r="C270" t="s">
        <v>32</v>
      </c>
      <c r="D270" t="s">
        <v>33</v>
      </c>
      <c r="E270" t="s">
        <v>27</v>
      </c>
      <c r="F270" t="s">
        <v>14</v>
      </c>
      <c r="G270" t="s">
        <v>40</v>
      </c>
      <c r="H270" s="5">
        <v>400000</v>
      </c>
      <c r="I270" s="5">
        <v>0</v>
      </c>
      <c r="J270" s="5">
        <v>0</v>
      </c>
      <c r="K270" s="5">
        <f>Table2[[#This Row],[Advance Amount]]-Table2[[#This Row],[Expense Amount]]-Table2[[#This Row],[Return Amount]]</f>
        <v>400000</v>
      </c>
      <c r="L270" s="5" t="str">
        <f>IF(Table2[[#This Row],[Outstanding]]=0,"Settled",IF(Table2[[#This Row],[Outstanding]]&gt;0,"Outstanding"))</f>
        <v>Outstanding</v>
      </c>
      <c r="M270" s="5" t="str">
        <f>IF(Table2[[#This Row],[Advance Amount]]=Table2[[#This Row],[Expense Amount]]+Table2[[#This Row],[Return Amount]]+Table2[[#This Row],[Outstanding]],"Ok","Check")</f>
        <v>Ok</v>
      </c>
      <c r="N270" s="11">
        <f>IF(Table2[[#This Row],[Status]]="Settled",0,$Q$2-Table2[[#This Row],[Date]])</f>
        <v>174</v>
      </c>
      <c r="O270" s="5" t="str">
        <f>IF(Table2[[#This Row],[Age Days]]&lt;=7,"Normal",IF(Table2[[#This Row],[Age Days]]&lt;=14,"Perlu Dipantau",IF(Table2[[#This Row],[Age Days]]&lt;=30,"Perlu Ditindaklanjuti","Overdue")))</f>
        <v>Overdue</v>
      </c>
    </row>
    <row r="271" spans="1:15" x14ac:dyDescent="0.3">
      <c r="A271" t="s">
        <v>355</v>
      </c>
      <c r="B271" s="3">
        <v>46091</v>
      </c>
      <c r="C271" t="s">
        <v>48</v>
      </c>
      <c r="D271" t="s">
        <v>49</v>
      </c>
      <c r="E271" t="s">
        <v>19</v>
      </c>
      <c r="F271" t="s">
        <v>14</v>
      </c>
      <c r="G271" t="s">
        <v>34</v>
      </c>
      <c r="H271" s="5">
        <v>475000</v>
      </c>
      <c r="I271" s="5">
        <v>375000</v>
      </c>
      <c r="J271" s="5">
        <v>100000</v>
      </c>
      <c r="K271" s="5">
        <f>Table2[[#This Row],[Advance Amount]]-Table2[[#This Row],[Expense Amount]]-Table2[[#This Row],[Return Amount]]</f>
        <v>0</v>
      </c>
      <c r="L271" s="5" t="str">
        <f>IF(Table2[[#This Row],[Outstanding]]=0,"Settled",IF(Table2[[#This Row],[Outstanding]]&gt;0,"Outstanding"))</f>
        <v>Settled</v>
      </c>
      <c r="M271" s="5" t="str">
        <f>IF(Table2[[#This Row],[Advance Amount]]=Table2[[#This Row],[Expense Amount]]+Table2[[#This Row],[Return Amount]]+Table2[[#This Row],[Outstanding]],"Ok","Check")</f>
        <v>Ok</v>
      </c>
      <c r="N271" s="11">
        <f>IF(Table2[[#This Row],[Status]]="Settled",0,$Q$2-Table2[[#This Row],[Date]])</f>
        <v>0</v>
      </c>
      <c r="O271" s="5" t="str">
        <f>IF(Table2[[#This Row],[Age Days]]&lt;=7,"Normal",IF(Table2[[#This Row],[Age Days]]&lt;=14,"Perlu Dipantau",IF(Table2[[#This Row],[Age Days]]&lt;=30,"Perlu Ditindaklanjuti","Overdue")))</f>
        <v>Normal</v>
      </c>
    </row>
    <row r="272" spans="1:15" x14ac:dyDescent="0.3">
      <c r="A272" t="s">
        <v>356</v>
      </c>
      <c r="B272" s="3">
        <v>46091</v>
      </c>
      <c r="C272" t="s">
        <v>48</v>
      </c>
      <c r="D272" t="s">
        <v>49</v>
      </c>
      <c r="E272" t="s">
        <v>19</v>
      </c>
      <c r="F272" t="s">
        <v>14</v>
      </c>
      <c r="G272" t="s">
        <v>31</v>
      </c>
      <c r="H272" s="5">
        <v>450000</v>
      </c>
      <c r="I272" s="5">
        <v>350000</v>
      </c>
      <c r="J272" s="5">
        <v>100000</v>
      </c>
      <c r="K272" s="5">
        <f>Table2[[#This Row],[Advance Amount]]-Table2[[#This Row],[Expense Amount]]-Table2[[#This Row],[Return Amount]]</f>
        <v>0</v>
      </c>
      <c r="L272" s="5" t="str">
        <f>IF(Table2[[#This Row],[Outstanding]]=0,"Settled",IF(Table2[[#This Row],[Outstanding]]&gt;0,"Outstanding"))</f>
        <v>Settled</v>
      </c>
      <c r="M272" s="5" t="str">
        <f>IF(Table2[[#This Row],[Advance Amount]]=Table2[[#This Row],[Expense Amount]]+Table2[[#This Row],[Return Amount]]+Table2[[#This Row],[Outstanding]],"Ok","Check")</f>
        <v>Ok</v>
      </c>
      <c r="N272" s="11">
        <f>IF(Table2[[#This Row],[Status]]="Settled",0,$Q$2-Table2[[#This Row],[Date]])</f>
        <v>0</v>
      </c>
      <c r="O272" s="5" t="str">
        <f>IF(Table2[[#This Row],[Age Days]]&lt;=7,"Normal",IF(Table2[[#This Row],[Age Days]]&lt;=14,"Perlu Dipantau",IF(Table2[[#This Row],[Age Days]]&lt;=30,"Perlu Ditindaklanjuti","Overdue")))</f>
        <v>Normal</v>
      </c>
    </row>
    <row r="273" spans="1:15" x14ac:dyDescent="0.3">
      <c r="A273" t="s">
        <v>357</v>
      </c>
      <c r="B273" s="3">
        <v>46091</v>
      </c>
      <c r="C273" t="s">
        <v>11</v>
      </c>
      <c r="D273" t="s">
        <v>12</v>
      </c>
      <c r="E273" t="s">
        <v>13</v>
      </c>
      <c r="F273" t="s">
        <v>14</v>
      </c>
      <c r="G273" t="s">
        <v>15</v>
      </c>
      <c r="H273" s="5">
        <v>3425000</v>
      </c>
      <c r="I273" s="5">
        <v>0</v>
      </c>
      <c r="J273" s="5">
        <v>0</v>
      </c>
      <c r="K273" s="5">
        <f>Table2[[#This Row],[Advance Amount]]-Table2[[#This Row],[Expense Amount]]-Table2[[#This Row],[Return Amount]]</f>
        <v>3425000</v>
      </c>
      <c r="L273" s="5" t="str">
        <f>IF(Table2[[#This Row],[Outstanding]]=0,"Settled",IF(Table2[[#This Row],[Outstanding]]&gt;0,"Outstanding"))</f>
        <v>Outstanding</v>
      </c>
      <c r="M273" s="5" t="str">
        <f>IF(Table2[[#This Row],[Advance Amount]]=Table2[[#This Row],[Expense Amount]]+Table2[[#This Row],[Return Amount]]+Table2[[#This Row],[Outstanding]],"Ok","Check")</f>
        <v>Ok</v>
      </c>
      <c r="N273" s="11">
        <f>IF(Table2[[#This Row],[Status]]="Settled",0,$Q$2-Table2[[#This Row],[Date]])</f>
        <v>174</v>
      </c>
      <c r="O273" s="5" t="str">
        <f>IF(Table2[[#This Row],[Age Days]]&lt;=7,"Normal",IF(Table2[[#This Row],[Age Days]]&lt;=14,"Perlu Dipantau",IF(Table2[[#This Row],[Age Days]]&lt;=30,"Perlu Ditindaklanjuti","Overdue")))</f>
        <v>Overdue</v>
      </c>
    </row>
    <row r="274" spans="1:15" x14ac:dyDescent="0.3">
      <c r="A274" t="s">
        <v>358</v>
      </c>
      <c r="B274" s="3">
        <v>46091</v>
      </c>
      <c r="C274" t="s">
        <v>38</v>
      </c>
      <c r="D274" t="s">
        <v>39</v>
      </c>
      <c r="E274" t="s">
        <v>24</v>
      </c>
      <c r="F274" t="s">
        <v>20</v>
      </c>
      <c r="G274" t="s">
        <v>34</v>
      </c>
      <c r="H274" s="5">
        <v>175000</v>
      </c>
      <c r="I274" s="5">
        <v>0</v>
      </c>
      <c r="J274" s="5">
        <v>0</v>
      </c>
      <c r="K274" s="5">
        <f>Table2[[#This Row],[Advance Amount]]-Table2[[#This Row],[Expense Amount]]-Table2[[#This Row],[Return Amount]]</f>
        <v>175000</v>
      </c>
      <c r="L274" s="5" t="str">
        <f>IF(Table2[[#This Row],[Outstanding]]=0,"Settled",IF(Table2[[#This Row],[Outstanding]]&gt;0,"Outstanding"))</f>
        <v>Outstanding</v>
      </c>
      <c r="M274" s="5" t="str">
        <f>IF(Table2[[#This Row],[Advance Amount]]=Table2[[#This Row],[Expense Amount]]+Table2[[#This Row],[Return Amount]]+Table2[[#This Row],[Outstanding]],"Ok","Check")</f>
        <v>Ok</v>
      </c>
      <c r="N274" s="11">
        <f>IF(Table2[[#This Row],[Status]]="Settled",0,$Q$2-Table2[[#This Row],[Date]])</f>
        <v>174</v>
      </c>
      <c r="O274" s="5" t="str">
        <f>IF(Table2[[#This Row],[Age Days]]&lt;=7,"Normal",IF(Table2[[#This Row],[Age Days]]&lt;=14,"Perlu Dipantau",IF(Table2[[#This Row],[Age Days]]&lt;=30,"Perlu Ditindaklanjuti","Overdue")))</f>
        <v>Overdue</v>
      </c>
    </row>
    <row r="275" spans="1:15" x14ac:dyDescent="0.3">
      <c r="A275" t="s">
        <v>359</v>
      </c>
      <c r="B275" s="3">
        <v>46092</v>
      </c>
      <c r="C275" t="s">
        <v>17</v>
      </c>
      <c r="D275" t="s">
        <v>18</v>
      </c>
      <c r="E275" t="s">
        <v>19</v>
      </c>
      <c r="F275" t="s">
        <v>14</v>
      </c>
      <c r="G275" t="s">
        <v>58</v>
      </c>
      <c r="H275" s="5">
        <v>475000</v>
      </c>
      <c r="I275" s="5">
        <v>425000</v>
      </c>
      <c r="J275" s="5">
        <v>50000</v>
      </c>
      <c r="K275" s="5">
        <f>Table2[[#This Row],[Advance Amount]]-Table2[[#This Row],[Expense Amount]]-Table2[[#This Row],[Return Amount]]</f>
        <v>0</v>
      </c>
      <c r="L275" s="5" t="str">
        <f>IF(Table2[[#This Row],[Outstanding]]=0,"Settled",IF(Table2[[#This Row],[Outstanding]]&gt;0,"Outstanding"))</f>
        <v>Settled</v>
      </c>
      <c r="M275" s="5" t="str">
        <f>IF(Table2[[#This Row],[Advance Amount]]=Table2[[#This Row],[Expense Amount]]+Table2[[#This Row],[Return Amount]]+Table2[[#This Row],[Outstanding]],"Ok","Check")</f>
        <v>Ok</v>
      </c>
      <c r="N275" s="11">
        <f>IF(Table2[[#This Row],[Status]]="Settled",0,$Q$2-Table2[[#This Row],[Date]])</f>
        <v>0</v>
      </c>
      <c r="O275" s="5" t="str">
        <f>IF(Table2[[#This Row],[Age Days]]&lt;=7,"Normal",IF(Table2[[#This Row],[Age Days]]&lt;=14,"Perlu Dipantau",IF(Table2[[#This Row],[Age Days]]&lt;=30,"Perlu Ditindaklanjuti","Overdue")))</f>
        <v>Normal</v>
      </c>
    </row>
    <row r="276" spans="1:15" x14ac:dyDescent="0.3">
      <c r="A276" t="s">
        <v>360</v>
      </c>
      <c r="B276" s="3">
        <v>46092</v>
      </c>
      <c r="C276" t="s">
        <v>25</v>
      </c>
      <c r="D276" t="s">
        <v>26</v>
      </c>
      <c r="E276" t="s">
        <v>27</v>
      </c>
      <c r="F276" t="s">
        <v>20</v>
      </c>
      <c r="G276" t="s">
        <v>34</v>
      </c>
      <c r="H276" s="5">
        <v>325000</v>
      </c>
      <c r="I276" s="5">
        <v>300000</v>
      </c>
      <c r="J276" s="5">
        <v>25000</v>
      </c>
      <c r="K276" s="5">
        <f>Table2[[#This Row],[Advance Amount]]-Table2[[#This Row],[Expense Amount]]-Table2[[#This Row],[Return Amount]]</f>
        <v>0</v>
      </c>
      <c r="L276" s="5" t="str">
        <f>IF(Table2[[#This Row],[Outstanding]]=0,"Settled",IF(Table2[[#This Row],[Outstanding]]&gt;0,"Outstanding"))</f>
        <v>Settled</v>
      </c>
      <c r="M276" s="5" t="str">
        <f>IF(Table2[[#This Row],[Advance Amount]]=Table2[[#This Row],[Expense Amount]]+Table2[[#This Row],[Return Amount]]+Table2[[#This Row],[Outstanding]],"Ok","Check")</f>
        <v>Ok</v>
      </c>
      <c r="N276" s="11">
        <f>IF(Table2[[#This Row],[Status]]="Settled",0,$Q$2-Table2[[#This Row],[Date]])</f>
        <v>0</v>
      </c>
      <c r="O276" s="5" t="str">
        <f>IF(Table2[[#This Row],[Age Days]]&lt;=7,"Normal",IF(Table2[[#This Row],[Age Days]]&lt;=14,"Perlu Dipantau",IF(Table2[[#This Row],[Age Days]]&lt;=30,"Perlu Ditindaklanjuti","Overdue")))</f>
        <v>Normal</v>
      </c>
    </row>
    <row r="277" spans="1:15" x14ac:dyDescent="0.3">
      <c r="A277" t="s">
        <v>361</v>
      </c>
      <c r="B277" s="3">
        <v>46092</v>
      </c>
      <c r="C277" t="s">
        <v>25</v>
      </c>
      <c r="D277" t="s">
        <v>26</v>
      </c>
      <c r="E277" t="s">
        <v>27</v>
      </c>
      <c r="F277" t="s">
        <v>20</v>
      </c>
      <c r="G277" t="s">
        <v>34</v>
      </c>
      <c r="H277" s="5">
        <v>275000</v>
      </c>
      <c r="I277" s="5">
        <v>200000</v>
      </c>
      <c r="J277" s="5">
        <v>75000</v>
      </c>
      <c r="K277" s="5">
        <f>Table2[[#This Row],[Advance Amount]]-Table2[[#This Row],[Expense Amount]]-Table2[[#This Row],[Return Amount]]</f>
        <v>0</v>
      </c>
      <c r="L277" s="5" t="str">
        <f>IF(Table2[[#This Row],[Outstanding]]=0,"Settled",IF(Table2[[#This Row],[Outstanding]]&gt;0,"Outstanding"))</f>
        <v>Settled</v>
      </c>
      <c r="M277" s="5" t="str">
        <f>IF(Table2[[#This Row],[Advance Amount]]=Table2[[#This Row],[Expense Amount]]+Table2[[#This Row],[Return Amount]]+Table2[[#This Row],[Outstanding]],"Ok","Check")</f>
        <v>Ok</v>
      </c>
      <c r="N277" s="11">
        <f>IF(Table2[[#This Row],[Status]]="Settled",0,$Q$2-Table2[[#This Row],[Date]])</f>
        <v>0</v>
      </c>
      <c r="O277" s="5" t="str">
        <f>IF(Table2[[#This Row],[Age Days]]&lt;=7,"Normal",IF(Table2[[#This Row],[Age Days]]&lt;=14,"Perlu Dipantau",IF(Table2[[#This Row],[Age Days]]&lt;=30,"Perlu Ditindaklanjuti","Overdue")))</f>
        <v>Normal</v>
      </c>
    </row>
    <row r="278" spans="1:15" x14ac:dyDescent="0.3">
      <c r="A278" t="s">
        <v>362</v>
      </c>
      <c r="B278" s="3">
        <v>46093</v>
      </c>
      <c r="C278" t="s">
        <v>32</v>
      </c>
      <c r="D278" t="s">
        <v>33</v>
      </c>
      <c r="E278" t="s">
        <v>27</v>
      </c>
      <c r="F278" t="s">
        <v>14</v>
      </c>
      <c r="G278" t="s">
        <v>61</v>
      </c>
      <c r="H278" s="5">
        <v>425000</v>
      </c>
      <c r="I278" s="5">
        <v>375000</v>
      </c>
      <c r="J278" s="5">
        <v>50000</v>
      </c>
      <c r="K278" s="5">
        <f>Table2[[#This Row],[Advance Amount]]-Table2[[#This Row],[Expense Amount]]-Table2[[#This Row],[Return Amount]]</f>
        <v>0</v>
      </c>
      <c r="L278" s="5" t="str">
        <f>IF(Table2[[#This Row],[Outstanding]]=0,"Settled",IF(Table2[[#This Row],[Outstanding]]&gt;0,"Outstanding"))</f>
        <v>Settled</v>
      </c>
      <c r="M278" s="5" t="str">
        <f>IF(Table2[[#This Row],[Advance Amount]]=Table2[[#This Row],[Expense Amount]]+Table2[[#This Row],[Return Amount]]+Table2[[#This Row],[Outstanding]],"Ok","Check")</f>
        <v>Ok</v>
      </c>
      <c r="N278" s="11">
        <f>IF(Table2[[#This Row],[Status]]="Settled",0,$Q$2-Table2[[#This Row],[Date]])</f>
        <v>0</v>
      </c>
      <c r="O278" s="5" t="str">
        <f>IF(Table2[[#This Row],[Age Days]]&lt;=7,"Normal",IF(Table2[[#This Row],[Age Days]]&lt;=14,"Perlu Dipantau",IF(Table2[[#This Row],[Age Days]]&lt;=30,"Perlu Ditindaklanjuti","Overdue")))</f>
        <v>Normal</v>
      </c>
    </row>
    <row r="279" spans="1:15" x14ac:dyDescent="0.3">
      <c r="A279" t="s">
        <v>363</v>
      </c>
      <c r="B279" s="3">
        <v>46093</v>
      </c>
      <c r="C279" t="s">
        <v>55</v>
      </c>
      <c r="D279" t="s">
        <v>56</v>
      </c>
      <c r="E279" t="s">
        <v>24</v>
      </c>
      <c r="F279" t="s">
        <v>14</v>
      </c>
      <c r="G279" t="s">
        <v>15</v>
      </c>
      <c r="H279" s="5">
        <v>1225000</v>
      </c>
      <c r="I279" s="5">
        <v>875000</v>
      </c>
      <c r="J279" s="5">
        <v>350000</v>
      </c>
      <c r="K279" s="5">
        <f>Table2[[#This Row],[Advance Amount]]-Table2[[#This Row],[Expense Amount]]-Table2[[#This Row],[Return Amount]]</f>
        <v>0</v>
      </c>
      <c r="L279" s="5" t="str">
        <f>IF(Table2[[#This Row],[Outstanding]]=0,"Settled",IF(Table2[[#This Row],[Outstanding]]&gt;0,"Outstanding"))</f>
        <v>Settled</v>
      </c>
      <c r="M279" s="5" t="str">
        <f>IF(Table2[[#This Row],[Advance Amount]]=Table2[[#This Row],[Expense Amount]]+Table2[[#This Row],[Return Amount]]+Table2[[#This Row],[Outstanding]],"Ok","Check")</f>
        <v>Ok</v>
      </c>
      <c r="N279" s="11">
        <f>IF(Table2[[#This Row],[Status]]="Settled",0,$Q$2-Table2[[#This Row],[Date]])</f>
        <v>0</v>
      </c>
      <c r="O279" s="5" t="str">
        <f>IF(Table2[[#This Row],[Age Days]]&lt;=7,"Normal",IF(Table2[[#This Row],[Age Days]]&lt;=14,"Perlu Dipantau",IF(Table2[[#This Row],[Age Days]]&lt;=30,"Perlu Ditindaklanjuti","Overdue")))</f>
        <v>Normal</v>
      </c>
    </row>
    <row r="280" spans="1:15" x14ac:dyDescent="0.3">
      <c r="A280" t="s">
        <v>364</v>
      </c>
      <c r="B280" s="3">
        <v>46093</v>
      </c>
      <c r="C280" t="s">
        <v>38</v>
      </c>
      <c r="D280" t="s">
        <v>39</v>
      </c>
      <c r="E280" t="s">
        <v>24</v>
      </c>
      <c r="F280" t="s">
        <v>20</v>
      </c>
      <c r="G280" t="s">
        <v>58</v>
      </c>
      <c r="H280" s="5">
        <v>300000</v>
      </c>
      <c r="I280" s="5">
        <v>250000</v>
      </c>
      <c r="J280" s="5">
        <v>50000</v>
      </c>
      <c r="K280" s="5">
        <f>Table2[[#This Row],[Advance Amount]]-Table2[[#This Row],[Expense Amount]]-Table2[[#This Row],[Return Amount]]</f>
        <v>0</v>
      </c>
      <c r="L280" s="5" t="str">
        <f>IF(Table2[[#This Row],[Outstanding]]=0,"Settled",IF(Table2[[#This Row],[Outstanding]]&gt;0,"Outstanding"))</f>
        <v>Settled</v>
      </c>
      <c r="M280" s="5" t="str">
        <f>IF(Table2[[#This Row],[Advance Amount]]=Table2[[#This Row],[Expense Amount]]+Table2[[#This Row],[Return Amount]]+Table2[[#This Row],[Outstanding]],"Ok","Check")</f>
        <v>Ok</v>
      </c>
      <c r="N280" s="11">
        <f>IF(Table2[[#This Row],[Status]]="Settled",0,$Q$2-Table2[[#This Row],[Date]])</f>
        <v>0</v>
      </c>
      <c r="O280" s="5" t="str">
        <f>IF(Table2[[#This Row],[Age Days]]&lt;=7,"Normal",IF(Table2[[#This Row],[Age Days]]&lt;=14,"Perlu Dipantau",IF(Table2[[#This Row],[Age Days]]&lt;=30,"Perlu Ditindaklanjuti","Overdue")))</f>
        <v>Normal</v>
      </c>
    </row>
    <row r="281" spans="1:15" x14ac:dyDescent="0.3">
      <c r="A281" t="s">
        <v>365</v>
      </c>
      <c r="B281" s="3">
        <v>46093</v>
      </c>
      <c r="C281" t="s">
        <v>68</v>
      </c>
      <c r="D281" t="s">
        <v>69</v>
      </c>
      <c r="E281" t="s">
        <v>27</v>
      </c>
      <c r="F281" t="s">
        <v>14</v>
      </c>
      <c r="G281" t="s">
        <v>58</v>
      </c>
      <c r="H281" s="5">
        <v>825000</v>
      </c>
      <c r="I281" s="5">
        <v>0</v>
      </c>
      <c r="J281" s="5">
        <v>0</v>
      </c>
      <c r="K281" s="5">
        <f>Table2[[#This Row],[Advance Amount]]-Table2[[#This Row],[Expense Amount]]-Table2[[#This Row],[Return Amount]]</f>
        <v>825000</v>
      </c>
      <c r="L281" s="5" t="str">
        <f>IF(Table2[[#This Row],[Outstanding]]=0,"Settled",IF(Table2[[#This Row],[Outstanding]]&gt;0,"Outstanding"))</f>
        <v>Outstanding</v>
      </c>
      <c r="M281" s="5" t="str">
        <f>IF(Table2[[#This Row],[Advance Amount]]=Table2[[#This Row],[Expense Amount]]+Table2[[#This Row],[Return Amount]]+Table2[[#This Row],[Outstanding]],"Ok","Check")</f>
        <v>Ok</v>
      </c>
      <c r="N281" s="11">
        <f>IF(Table2[[#This Row],[Status]]="Settled",0,$Q$2-Table2[[#This Row],[Date]])</f>
        <v>172</v>
      </c>
      <c r="O281" s="5" t="str">
        <f>IF(Table2[[#This Row],[Age Days]]&lt;=7,"Normal",IF(Table2[[#This Row],[Age Days]]&lt;=14,"Perlu Dipantau",IF(Table2[[#This Row],[Age Days]]&lt;=30,"Perlu Ditindaklanjuti","Overdue")))</f>
        <v>Overdue</v>
      </c>
    </row>
    <row r="282" spans="1:15" x14ac:dyDescent="0.3">
      <c r="A282" t="s">
        <v>366</v>
      </c>
      <c r="B282" s="3">
        <v>46093</v>
      </c>
      <c r="C282" t="s">
        <v>68</v>
      </c>
      <c r="D282" t="s">
        <v>69</v>
      </c>
      <c r="E282" t="s">
        <v>27</v>
      </c>
      <c r="F282" t="s">
        <v>20</v>
      </c>
      <c r="G282" t="s">
        <v>58</v>
      </c>
      <c r="H282" s="5">
        <v>325000</v>
      </c>
      <c r="I282" s="5">
        <v>0</v>
      </c>
      <c r="J282" s="5">
        <v>0</v>
      </c>
      <c r="K282" s="5">
        <f>Table2[[#This Row],[Advance Amount]]-Table2[[#This Row],[Expense Amount]]-Table2[[#This Row],[Return Amount]]</f>
        <v>325000</v>
      </c>
      <c r="L282" s="5" t="str">
        <f>IF(Table2[[#This Row],[Outstanding]]=0,"Settled",IF(Table2[[#This Row],[Outstanding]]&gt;0,"Outstanding"))</f>
        <v>Outstanding</v>
      </c>
      <c r="M282" s="5" t="str">
        <f>IF(Table2[[#This Row],[Advance Amount]]=Table2[[#This Row],[Expense Amount]]+Table2[[#This Row],[Return Amount]]+Table2[[#This Row],[Outstanding]],"Ok","Check")</f>
        <v>Ok</v>
      </c>
      <c r="N282" s="11">
        <f>IF(Table2[[#This Row],[Status]]="Settled",0,$Q$2-Table2[[#This Row],[Date]])</f>
        <v>172</v>
      </c>
      <c r="O282" s="5" t="str">
        <f>IF(Table2[[#This Row],[Age Days]]&lt;=7,"Normal",IF(Table2[[#This Row],[Age Days]]&lt;=14,"Perlu Dipantau",IF(Table2[[#This Row],[Age Days]]&lt;=30,"Perlu Ditindaklanjuti","Overdue")))</f>
        <v>Overdue</v>
      </c>
    </row>
    <row r="283" spans="1:15" x14ac:dyDescent="0.3">
      <c r="A283" t="s">
        <v>367</v>
      </c>
      <c r="B283" s="3">
        <v>46093</v>
      </c>
      <c r="C283" t="s">
        <v>50</v>
      </c>
      <c r="D283" t="s">
        <v>51</v>
      </c>
      <c r="E283" t="s">
        <v>52</v>
      </c>
      <c r="F283" t="s">
        <v>20</v>
      </c>
      <c r="G283" t="s">
        <v>15</v>
      </c>
      <c r="H283" s="5">
        <v>975000</v>
      </c>
      <c r="I283" s="5">
        <v>825000</v>
      </c>
      <c r="J283" s="5">
        <v>150000</v>
      </c>
      <c r="K283" s="5">
        <f>Table2[[#This Row],[Advance Amount]]-Table2[[#This Row],[Expense Amount]]-Table2[[#This Row],[Return Amount]]</f>
        <v>0</v>
      </c>
      <c r="L283" s="5" t="str">
        <f>IF(Table2[[#This Row],[Outstanding]]=0,"Settled",IF(Table2[[#This Row],[Outstanding]]&gt;0,"Outstanding"))</f>
        <v>Settled</v>
      </c>
      <c r="M283" s="5" t="str">
        <f>IF(Table2[[#This Row],[Advance Amount]]=Table2[[#This Row],[Expense Amount]]+Table2[[#This Row],[Return Amount]]+Table2[[#This Row],[Outstanding]],"Ok","Check")</f>
        <v>Ok</v>
      </c>
      <c r="N283" s="11">
        <f>IF(Table2[[#This Row],[Status]]="Settled",0,$Q$2-Table2[[#This Row],[Date]])</f>
        <v>0</v>
      </c>
      <c r="O283" s="5" t="str">
        <f>IF(Table2[[#This Row],[Age Days]]&lt;=7,"Normal",IF(Table2[[#This Row],[Age Days]]&lt;=14,"Perlu Dipantau",IF(Table2[[#This Row],[Age Days]]&lt;=30,"Perlu Ditindaklanjuti","Overdue")))</f>
        <v>Normal</v>
      </c>
    </row>
    <row r="284" spans="1:15" x14ac:dyDescent="0.3">
      <c r="A284" t="s">
        <v>368</v>
      </c>
      <c r="B284" s="3">
        <v>46093</v>
      </c>
      <c r="C284" t="s">
        <v>64</v>
      </c>
      <c r="D284" t="s">
        <v>65</v>
      </c>
      <c r="E284" t="s">
        <v>37</v>
      </c>
      <c r="F284" t="s">
        <v>14</v>
      </c>
      <c r="G284" t="s">
        <v>31</v>
      </c>
      <c r="H284" s="5">
        <v>300000</v>
      </c>
      <c r="I284" s="5">
        <v>275000</v>
      </c>
      <c r="J284" s="5">
        <v>25000</v>
      </c>
      <c r="K284" s="5">
        <f>Table2[[#This Row],[Advance Amount]]-Table2[[#This Row],[Expense Amount]]-Table2[[#This Row],[Return Amount]]</f>
        <v>0</v>
      </c>
      <c r="L284" s="5" t="str">
        <f>IF(Table2[[#This Row],[Outstanding]]=0,"Settled",IF(Table2[[#This Row],[Outstanding]]&gt;0,"Outstanding"))</f>
        <v>Settled</v>
      </c>
      <c r="M284" s="5" t="str">
        <f>IF(Table2[[#This Row],[Advance Amount]]=Table2[[#This Row],[Expense Amount]]+Table2[[#This Row],[Return Amount]]+Table2[[#This Row],[Outstanding]],"Ok","Check")</f>
        <v>Ok</v>
      </c>
      <c r="N284" s="11">
        <f>IF(Table2[[#This Row],[Status]]="Settled",0,$Q$2-Table2[[#This Row],[Date]])</f>
        <v>0</v>
      </c>
      <c r="O284" s="5" t="str">
        <f>IF(Table2[[#This Row],[Age Days]]&lt;=7,"Normal",IF(Table2[[#This Row],[Age Days]]&lt;=14,"Perlu Dipantau",IF(Table2[[#This Row],[Age Days]]&lt;=30,"Perlu Ditindaklanjuti","Overdue")))</f>
        <v>Normal</v>
      </c>
    </row>
    <row r="285" spans="1:15" x14ac:dyDescent="0.3">
      <c r="A285" t="s">
        <v>369</v>
      </c>
      <c r="B285" s="3">
        <v>46093</v>
      </c>
      <c r="C285" t="s">
        <v>53</v>
      </c>
      <c r="D285" t="s">
        <v>54</v>
      </c>
      <c r="E285" t="s">
        <v>43</v>
      </c>
      <c r="F285" t="s">
        <v>20</v>
      </c>
      <c r="G285" t="s">
        <v>28</v>
      </c>
      <c r="H285" s="5">
        <v>355000</v>
      </c>
      <c r="I285" s="5">
        <v>350000</v>
      </c>
      <c r="J285" s="5">
        <v>5000</v>
      </c>
      <c r="K285" s="5">
        <f>Table2[[#This Row],[Advance Amount]]-Table2[[#This Row],[Expense Amount]]-Table2[[#This Row],[Return Amount]]</f>
        <v>0</v>
      </c>
      <c r="L285" s="5" t="str">
        <f>IF(Table2[[#This Row],[Outstanding]]=0,"Settled",IF(Table2[[#This Row],[Outstanding]]&gt;0,"Outstanding"))</f>
        <v>Settled</v>
      </c>
      <c r="M285" s="5" t="str">
        <f>IF(Table2[[#This Row],[Advance Amount]]=Table2[[#This Row],[Expense Amount]]+Table2[[#This Row],[Return Amount]]+Table2[[#This Row],[Outstanding]],"Ok","Check")</f>
        <v>Ok</v>
      </c>
      <c r="N285" s="11">
        <f>IF(Table2[[#This Row],[Status]]="Settled",0,$Q$2-Table2[[#This Row],[Date]])</f>
        <v>0</v>
      </c>
      <c r="O285" s="5" t="str">
        <f>IF(Table2[[#This Row],[Age Days]]&lt;=7,"Normal",IF(Table2[[#This Row],[Age Days]]&lt;=14,"Perlu Dipantau",IF(Table2[[#This Row],[Age Days]]&lt;=30,"Perlu Ditindaklanjuti","Overdue")))</f>
        <v>Normal</v>
      </c>
    </row>
    <row r="286" spans="1:15" x14ac:dyDescent="0.3">
      <c r="A286" t="s">
        <v>370</v>
      </c>
      <c r="B286" s="3">
        <v>46094</v>
      </c>
      <c r="C286" t="s">
        <v>29</v>
      </c>
      <c r="D286" t="s">
        <v>30</v>
      </c>
      <c r="E286" t="s">
        <v>13</v>
      </c>
      <c r="F286" t="s">
        <v>20</v>
      </c>
      <c r="G286" t="s">
        <v>28</v>
      </c>
      <c r="H286" s="5">
        <v>130000</v>
      </c>
      <c r="I286" s="5">
        <v>100000</v>
      </c>
      <c r="J286" s="5">
        <v>30000</v>
      </c>
      <c r="K286" s="5">
        <f>Table2[[#This Row],[Advance Amount]]-Table2[[#This Row],[Expense Amount]]-Table2[[#This Row],[Return Amount]]</f>
        <v>0</v>
      </c>
      <c r="L286" s="5" t="str">
        <f>IF(Table2[[#This Row],[Outstanding]]=0,"Settled",IF(Table2[[#This Row],[Outstanding]]&gt;0,"Outstanding"))</f>
        <v>Settled</v>
      </c>
      <c r="M286" s="5" t="str">
        <f>IF(Table2[[#This Row],[Advance Amount]]=Table2[[#This Row],[Expense Amount]]+Table2[[#This Row],[Return Amount]]+Table2[[#This Row],[Outstanding]],"Ok","Check")</f>
        <v>Ok</v>
      </c>
      <c r="N286" s="11">
        <f>IF(Table2[[#This Row],[Status]]="Settled",0,$Q$2-Table2[[#This Row],[Date]])</f>
        <v>0</v>
      </c>
      <c r="O286" s="5" t="str">
        <f>IF(Table2[[#This Row],[Age Days]]&lt;=7,"Normal",IF(Table2[[#This Row],[Age Days]]&lt;=14,"Perlu Dipantau",IF(Table2[[#This Row],[Age Days]]&lt;=30,"Perlu Ditindaklanjuti","Overdue")))</f>
        <v>Normal</v>
      </c>
    </row>
    <row r="287" spans="1:15" x14ac:dyDescent="0.3">
      <c r="A287" t="s">
        <v>371</v>
      </c>
      <c r="B287" s="3">
        <v>46094</v>
      </c>
      <c r="C287" t="s">
        <v>62</v>
      </c>
      <c r="D287" t="s">
        <v>63</v>
      </c>
      <c r="E287" t="s">
        <v>52</v>
      </c>
      <c r="F287" t="s">
        <v>14</v>
      </c>
      <c r="G287" t="s">
        <v>28</v>
      </c>
      <c r="H287" s="5">
        <v>405000</v>
      </c>
      <c r="I287" s="5">
        <v>300000</v>
      </c>
      <c r="J287" s="5">
        <v>105000</v>
      </c>
      <c r="K287" s="5">
        <f>Table2[[#This Row],[Advance Amount]]-Table2[[#This Row],[Expense Amount]]-Table2[[#This Row],[Return Amount]]</f>
        <v>0</v>
      </c>
      <c r="L287" s="5" t="str">
        <f>IF(Table2[[#This Row],[Outstanding]]=0,"Settled",IF(Table2[[#This Row],[Outstanding]]&gt;0,"Outstanding"))</f>
        <v>Settled</v>
      </c>
      <c r="M287" s="5" t="str">
        <f>IF(Table2[[#This Row],[Advance Amount]]=Table2[[#This Row],[Expense Amount]]+Table2[[#This Row],[Return Amount]]+Table2[[#This Row],[Outstanding]],"Ok","Check")</f>
        <v>Ok</v>
      </c>
      <c r="N287" s="11">
        <f>IF(Table2[[#This Row],[Status]]="Settled",0,$Q$2-Table2[[#This Row],[Date]])</f>
        <v>0</v>
      </c>
      <c r="O287" s="5" t="str">
        <f>IF(Table2[[#This Row],[Age Days]]&lt;=7,"Normal",IF(Table2[[#This Row],[Age Days]]&lt;=14,"Perlu Dipantau",IF(Table2[[#This Row],[Age Days]]&lt;=30,"Perlu Ditindaklanjuti","Overdue")))</f>
        <v>Normal</v>
      </c>
    </row>
    <row r="288" spans="1:15" x14ac:dyDescent="0.3">
      <c r="A288" t="s">
        <v>372</v>
      </c>
      <c r="B288" s="3">
        <v>46094</v>
      </c>
      <c r="C288" t="s">
        <v>68</v>
      </c>
      <c r="D288" t="s">
        <v>69</v>
      </c>
      <c r="E288" t="s">
        <v>27</v>
      </c>
      <c r="F288" t="s">
        <v>20</v>
      </c>
      <c r="G288" t="s">
        <v>15</v>
      </c>
      <c r="H288" s="5">
        <v>2150000</v>
      </c>
      <c r="I288" s="5">
        <v>0</v>
      </c>
      <c r="J288" s="5">
        <v>0</v>
      </c>
      <c r="K288" s="5">
        <f>Table2[[#This Row],[Advance Amount]]-Table2[[#This Row],[Expense Amount]]-Table2[[#This Row],[Return Amount]]</f>
        <v>2150000</v>
      </c>
      <c r="L288" s="5" t="str">
        <f>IF(Table2[[#This Row],[Outstanding]]=0,"Settled",IF(Table2[[#This Row],[Outstanding]]&gt;0,"Outstanding"))</f>
        <v>Outstanding</v>
      </c>
      <c r="M288" s="5" t="str">
        <f>IF(Table2[[#This Row],[Advance Amount]]=Table2[[#This Row],[Expense Amount]]+Table2[[#This Row],[Return Amount]]+Table2[[#This Row],[Outstanding]],"Ok","Check")</f>
        <v>Ok</v>
      </c>
      <c r="N288" s="11">
        <f>IF(Table2[[#This Row],[Status]]="Settled",0,$Q$2-Table2[[#This Row],[Date]])</f>
        <v>171</v>
      </c>
      <c r="O288" s="5" t="str">
        <f>IF(Table2[[#This Row],[Age Days]]&lt;=7,"Normal",IF(Table2[[#This Row],[Age Days]]&lt;=14,"Perlu Dipantau",IF(Table2[[#This Row],[Age Days]]&lt;=30,"Perlu Ditindaklanjuti","Overdue")))</f>
        <v>Overdue</v>
      </c>
    </row>
    <row r="289" spans="1:15" x14ac:dyDescent="0.3">
      <c r="A289" t="s">
        <v>373</v>
      </c>
      <c r="B289" s="3">
        <v>46094</v>
      </c>
      <c r="C289" t="s">
        <v>50</v>
      </c>
      <c r="D289" t="s">
        <v>51</v>
      </c>
      <c r="E289" t="s">
        <v>52</v>
      </c>
      <c r="F289" t="s">
        <v>20</v>
      </c>
      <c r="G289" t="s">
        <v>28</v>
      </c>
      <c r="H289" s="5">
        <v>280000</v>
      </c>
      <c r="I289" s="5">
        <v>275000</v>
      </c>
      <c r="J289" s="5">
        <v>5000</v>
      </c>
      <c r="K289" s="5">
        <f>Table2[[#This Row],[Advance Amount]]-Table2[[#This Row],[Expense Amount]]-Table2[[#This Row],[Return Amount]]</f>
        <v>0</v>
      </c>
      <c r="L289" s="5" t="str">
        <f>IF(Table2[[#This Row],[Outstanding]]=0,"Settled",IF(Table2[[#This Row],[Outstanding]]&gt;0,"Outstanding"))</f>
        <v>Settled</v>
      </c>
      <c r="M289" s="5" t="str">
        <f>IF(Table2[[#This Row],[Advance Amount]]=Table2[[#This Row],[Expense Amount]]+Table2[[#This Row],[Return Amount]]+Table2[[#This Row],[Outstanding]],"Ok","Check")</f>
        <v>Ok</v>
      </c>
      <c r="N289" s="11">
        <f>IF(Table2[[#This Row],[Status]]="Settled",0,$Q$2-Table2[[#This Row],[Date]])</f>
        <v>0</v>
      </c>
      <c r="O289" s="5" t="str">
        <f>IF(Table2[[#This Row],[Age Days]]&lt;=7,"Normal",IF(Table2[[#This Row],[Age Days]]&lt;=14,"Perlu Dipantau",IF(Table2[[#This Row],[Age Days]]&lt;=30,"Perlu Ditindaklanjuti","Overdue")))</f>
        <v>Normal</v>
      </c>
    </row>
    <row r="290" spans="1:15" x14ac:dyDescent="0.3">
      <c r="A290" t="s">
        <v>374</v>
      </c>
      <c r="B290" s="3">
        <v>46094</v>
      </c>
      <c r="C290" t="s">
        <v>64</v>
      </c>
      <c r="D290" t="s">
        <v>65</v>
      </c>
      <c r="E290" t="s">
        <v>37</v>
      </c>
      <c r="F290" t="s">
        <v>20</v>
      </c>
      <c r="G290" t="s">
        <v>28</v>
      </c>
      <c r="H290" s="5">
        <v>80000</v>
      </c>
      <c r="I290" s="5">
        <v>75000</v>
      </c>
      <c r="J290" s="5">
        <v>5000</v>
      </c>
      <c r="K290" s="5">
        <f>Table2[[#This Row],[Advance Amount]]-Table2[[#This Row],[Expense Amount]]-Table2[[#This Row],[Return Amount]]</f>
        <v>0</v>
      </c>
      <c r="L290" s="5" t="str">
        <f>IF(Table2[[#This Row],[Outstanding]]=0,"Settled",IF(Table2[[#This Row],[Outstanding]]&gt;0,"Outstanding"))</f>
        <v>Settled</v>
      </c>
      <c r="M290" s="5" t="str">
        <f>IF(Table2[[#This Row],[Advance Amount]]=Table2[[#This Row],[Expense Amount]]+Table2[[#This Row],[Return Amount]]+Table2[[#This Row],[Outstanding]],"Ok","Check")</f>
        <v>Ok</v>
      </c>
      <c r="N290" s="11">
        <f>IF(Table2[[#This Row],[Status]]="Settled",0,$Q$2-Table2[[#This Row],[Date]])</f>
        <v>0</v>
      </c>
      <c r="O290" s="5" t="str">
        <f>IF(Table2[[#This Row],[Age Days]]&lt;=7,"Normal",IF(Table2[[#This Row],[Age Days]]&lt;=14,"Perlu Dipantau",IF(Table2[[#This Row],[Age Days]]&lt;=30,"Perlu Ditindaklanjuti","Overdue")))</f>
        <v>Normal</v>
      </c>
    </row>
    <row r="291" spans="1:15" x14ac:dyDescent="0.3">
      <c r="A291" t="s">
        <v>375</v>
      </c>
      <c r="B291" s="3">
        <v>46094</v>
      </c>
      <c r="C291" t="s">
        <v>22</v>
      </c>
      <c r="D291" t="s">
        <v>23</v>
      </c>
      <c r="E291" t="s">
        <v>24</v>
      </c>
      <c r="F291" t="s">
        <v>14</v>
      </c>
      <c r="G291" t="s">
        <v>15</v>
      </c>
      <c r="H291" s="5">
        <v>3900000</v>
      </c>
      <c r="I291" s="5">
        <v>2900000</v>
      </c>
      <c r="J291" s="5">
        <v>1000000</v>
      </c>
      <c r="K291" s="5">
        <f>Table2[[#This Row],[Advance Amount]]-Table2[[#This Row],[Expense Amount]]-Table2[[#This Row],[Return Amount]]</f>
        <v>0</v>
      </c>
      <c r="L291" s="5" t="str">
        <f>IF(Table2[[#This Row],[Outstanding]]=0,"Settled",IF(Table2[[#This Row],[Outstanding]]&gt;0,"Outstanding"))</f>
        <v>Settled</v>
      </c>
      <c r="M291" s="5" t="str">
        <f>IF(Table2[[#This Row],[Advance Amount]]=Table2[[#This Row],[Expense Amount]]+Table2[[#This Row],[Return Amount]]+Table2[[#This Row],[Outstanding]],"Ok","Check")</f>
        <v>Ok</v>
      </c>
      <c r="N291" s="11">
        <f>IF(Table2[[#This Row],[Status]]="Settled",0,$Q$2-Table2[[#This Row],[Date]])</f>
        <v>0</v>
      </c>
      <c r="O291" s="5" t="str">
        <f>IF(Table2[[#This Row],[Age Days]]&lt;=7,"Normal",IF(Table2[[#This Row],[Age Days]]&lt;=14,"Perlu Dipantau",IF(Table2[[#This Row],[Age Days]]&lt;=30,"Perlu Ditindaklanjuti","Overdue")))</f>
        <v>Normal</v>
      </c>
    </row>
    <row r="292" spans="1:15" x14ac:dyDescent="0.3">
      <c r="A292" t="s">
        <v>376</v>
      </c>
      <c r="B292" s="3">
        <v>46095</v>
      </c>
      <c r="C292" t="s">
        <v>48</v>
      </c>
      <c r="D292" t="s">
        <v>49</v>
      </c>
      <c r="E292" t="s">
        <v>19</v>
      </c>
      <c r="F292" t="s">
        <v>14</v>
      </c>
      <c r="G292" t="s">
        <v>34</v>
      </c>
      <c r="H292" s="5">
        <v>450000</v>
      </c>
      <c r="I292" s="5">
        <v>0</v>
      </c>
      <c r="J292" s="5">
        <v>0</v>
      </c>
      <c r="K292" s="5">
        <f>Table2[[#This Row],[Advance Amount]]-Table2[[#This Row],[Expense Amount]]-Table2[[#This Row],[Return Amount]]</f>
        <v>450000</v>
      </c>
      <c r="L292" s="5" t="str">
        <f>IF(Table2[[#This Row],[Outstanding]]=0,"Settled",IF(Table2[[#This Row],[Outstanding]]&gt;0,"Outstanding"))</f>
        <v>Outstanding</v>
      </c>
      <c r="M292" s="5" t="str">
        <f>IF(Table2[[#This Row],[Advance Amount]]=Table2[[#This Row],[Expense Amount]]+Table2[[#This Row],[Return Amount]]+Table2[[#This Row],[Outstanding]],"Ok","Check")</f>
        <v>Ok</v>
      </c>
      <c r="N292" s="11">
        <f>IF(Table2[[#This Row],[Status]]="Settled",0,$Q$2-Table2[[#This Row],[Date]])</f>
        <v>170</v>
      </c>
      <c r="O292" s="5" t="str">
        <f>IF(Table2[[#This Row],[Age Days]]&lt;=7,"Normal",IF(Table2[[#This Row],[Age Days]]&lt;=14,"Perlu Dipantau",IF(Table2[[#This Row],[Age Days]]&lt;=30,"Perlu Ditindaklanjuti","Overdue")))</f>
        <v>Overdue</v>
      </c>
    </row>
    <row r="293" spans="1:15" x14ac:dyDescent="0.3">
      <c r="A293" t="s">
        <v>377</v>
      </c>
      <c r="B293" s="3">
        <v>46095</v>
      </c>
      <c r="C293" t="s">
        <v>68</v>
      </c>
      <c r="D293" t="s">
        <v>69</v>
      </c>
      <c r="E293" t="s">
        <v>27</v>
      </c>
      <c r="F293" t="s">
        <v>20</v>
      </c>
      <c r="G293" t="s">
        <v>15</v>
      </c>
      <c r="H293" s="5">
        <v>2725000</v>
      </c>
      <c r="I293" s="5">
        <v>2450000</v>
      </c>
      <c r="J293" s="5">
        <v>275000</v>
      </c>
      <c r="K293" s="5">
        <f>Table2[[#This Row],[Advance Amount]]-Table2[[#This Row],[Expense Amount]]-Table2[[#This Row],[Return Amount]]</f>
        <v>0</v>
      </c>
      <c r="L293" s="5" t="str">
        <f>IF(Table2[[#This Row],[Outstanding]]=0,"Settled",IF(Table2[[#This Row],[Outstanding]]&gt;0,"Outstanding"))</f>
        <v>Settled</v>
      </c>
      <c r="M293" s="5" t="str">
        <f>IF(Table2[[#This Row],[Advance Amount]]=Table2[[#This Row],[Expense Amount]]+Table2[[#This Row],[Return Amount]]+Table2[[#This Row],[Outstanding]],"Ok","Check")</f>
        <v>Ok</v>
      </c>
      <c r="N293" s="11">
        <f>IF(Table2[[#This Row],[Status]]="Settled",0,$Q$2-Table2[[#This Row],[Date]])</f>
        <v>0</v>
      </c>
      <c r="O293" s="5" t="str">
        <f>IF(Table2[[#This Row],[Age Days]]&lt;=7,"Normal",IF(Table2[[#This Row],[Age Days]]&lt;=14,"Perlu Dipantau",IF(Table2[[#This Row],[Age Days]]&lt;=30,"Perlu Ditindaklanjuti","Overdue")))</f>
        <v>Normal</v>
      </c>
    </row>
    <row r="294" spans="1:15" x14ac:dyDescent="0.3">
      <c r="A294" t="s">
        <v>378</v>
      </c>
      <c r="B294" s="3">
        <v>46095</v>
      </c>
      <c r="C294" t="s">
        <v>68</v>
      </c>
      <c r="D294" t="s">
        <v>69</v>
      </c>
      <c r="E294" t="s">
        <v>27</v>
      </c>
      <c r="F294" t="s">
        <v>14</v>
      </c>
      <c r="G294" t="s">
        <v>31</v>
      </c>
      <c r="H294" s="5">
        <v>975000</v>
      </c>
      <c r="I294" s="5">
        <v>875000</v>
      </c>
      <c r="J294" s="5">
        <v>100000</v>
      </c>
      <c r="K294" s="5">
        <f>Table2[[#This Row],[Advance Amount]]-Table2[[#This Row],[Expense Amount]]-Table2[[#This Row],[Return Amount]]</f>
        <v>0</v>
      </c>
      <c r="L294" s="5" t="str">
        <f>IF(Table2[[#This Row],[Outstanding]]=0,"Settled",IF(Table2[[#This Row],[Outstanding]]&gt;0,"Outstanding"))</f>
        <v>Settled</v>
      </c>
      <c r="M294" s="5" t="str">
        <f>IF(Table2[[#This Row],[Advance Amount]]=Table2[[#This Row],[Expense Amount]]+Table2[[#This Row],[Return Amount]]+Table2[[#This Row],[Outstanding]],"Ok","Check")</f>
        <v>Ok</v>
      </c>
      <c r="N294" s="11">
        <f>IF(Table2[[#This Row],[Status]]="Settled",0,$Q$2-Table2[[#This Row],[Date]])</f>
        <v>0</v>
      </c>
      <c r="O294" s="5" t="str">
        <f>IF(Table2[[#This Row],[Age Days]]&lt;=7,"Normal",IF(Table2[[#This Row],[Age Days]]&lt;=14,"Perlu Dipantau",IF(Table2[[#This Row],[Age Days]]&lt;=30,"Perlu Ditindaklanjuti","Overdue")))</f>
        <v>Normal</v>
      </c>
    </row>
    <row r="295" spans="1:15" x14ac:dyDescent="0.3">
      <c r="A295" t="s">
        <v>379</v>
      </c>
      <c r="B295" s="3">
        <v>46095</v>
      </c>
      <c r="C295" t="s">
        <v>22</v>
      </c>
      <c r="D295" t="s">
        <v>23</v>
      </c>
      <c r="E295" t="s">
        <v>24</v>
      </c>
      <c r="F295" t="s">
        <v>20</v>
      </c>
      <c r="G295" t="s">
        <v>34</v>
      </c>
      <c r="H295" s="5">
        <v>150000</v>
      </c>
      <c r="I295" s="5">
        <v>150000</v>
      </c>
      <c r="J295" s="5">
        <v>0</v>
      </c>
      <c r="K295" s="5">
        <f>Table2[[#This Row],[Advance Amount]]-Table2[[#This Row],[Expense Amount]]-Table2[[#This Row],[Return Amount]]</f>
        <v>0</v>
      </c>
      <c r="L295" s="5" t="str">
        <f>IF(Table2[[#This Row],[Outstanding]]=0,"Settled",IF(Table2[[#This Row],[Outstanding]]&gt;0,"Outstanding"))</f>
        <v>Settled</v>
      </c>
      <c r="M295" s="5" t="str">
        <f>IF(Table2[[#This Row],[Advance Amount]]=Table2[[#This Row],[Expense Amount]]+Table2[[#This Row],[Return Amount]]+Table2[[#This Row],[Outstanding]],"Ok","Check")</f>
        <v>Ok</v>
      </c>
      <c r="N295" s="11">
        <f>IF(Table2[[#This Row],[Status]]="Settled",0,$Q$2-Table2[[#This Row],[Date]])</f>
        <v>0</v>
      </c>
      <c r="O295" s="5" t="str">
        <f>IF(Table2[[#This Row],[Age Days]]&lt;=7,"Normal",IF(Table2[[#This Row],[Age Days]]&lt;=14,"Perlu Dipantau",IF(Table2[[#This Row],[Age Days]]&lt;=30,"Perlu Ditindaklanjuti","Overdue")))</f>
        <v>Normal</v>
      </c>
    </row>
    <row r="296" spans="1:15" x14ac:dyDescent="0.3">
      <c r="A296" t="s">
        <v>380</v>
      </c>
      <c r="B296" s="3">
        <v>46096</v>
      </c>
      <c r="C296" t="s">
        <v>29</v>
      </c>
      <c r="D296" t="s">
        <v>30</v>
      </c>
      <c r="E296" t="s">
        <v>13</v>
      </c>
      <c r="F296" t="s">
        <v>20</v>
      </c>
      <c r="G296" t="s">
        <v>57</v>
      </c>
      <c r="H296" s="5">
        <v>255000</v>
      </c>
      <c r="I296" s="5">
        <v>0</v>
      </c>
      <c r="J296" s="5">
        <v>0</v>
      </c>
      <c r="K296" s="5">
        <f>Table2[[#This Row],[Advance Amount]]-Table2[[#This Row],[Expense Amount]]-Table2[[#This Row],[Return Amount]]</f>
        <v>255000</v>
      </c>
      <c r="L296" s="5" t="str">
        <f>IF(Table2[[#This Row],[Outstanding]]=0,"Settled",IF(Table2[[#This Row],[Outstanding]]&gt;0,"Outstanding"))</f>
        <v>Outstanding</v>
      </c>
      <c r="M296" s="5" t="str">
        <f>IF(Table2[[#This Row],[Advance Amount]]=Table2[[#This Row],[Expense Amount]]+Table2[[#This Row],[Return Amount]]+Table2[[#This Row],[Outstanding]],"Ok","Check")</f>
        <v>Ok</v>
      </c>
      <c r="N296" s="11">
        <f>IF(Table2[[#This Row],[Status]]="Settled",0,$Q$2-Table2[[#This Row],[Date]])</f>
        <v>169</v>
      </c>
      <c r="O296" s="5" t="str">
        <f>IF(Table2[[#This Row],[Age Days]]&lt;=7,"Normal",IF(Table2[[#This Row],[Age Days]]&lt;=14,"Perlu Dipantau",IF(Table2[[#This Row],[Age Days]]&lt;=30,"Perlu Ditindaklanjuti","Overdue")))</f>
        <v>Overdue</v>
      </c>
    </row>
    <row r="297" spans="1:15" x14ac:dyDescent="0.3">
      <c r="A297" t="s">
        <v>381</v>
      </c>
      <c r="B297" s="3">
        <v>46096</v>
      </c>
      <c r="C297" t="s">
        <v>32</v>
      </c>
      <c r="D297" t="s">
        <v>33</v>
      </c>
      <c r="E297" t="s">
        <v>27</v>
      </c>
      <c r="F297" t="s">
        <v>14</v>
      </c>
      <c r="G297" t="s">
        <v>40</v>
      </c>
      <c r="H297" s="5">
        <v>325000</v>
      </c>
      <c r="I297" s="5">
        <v>0</v>
      </c>
      <c r="J297" s="5">
        <v>0</v>
      </c>
      <c r="K297" s="5">
        <f>Table2[[#This Row],[Advance Amount]]-Table2[[#This Row],[Expense Amount]]-Table2[[#This Row],[Return Amount]]</f>
        <v>325000</v>
      </c>
      <c r="L297" s="5" t="str">
        <f>IF(Table2[[#This Row],[Outstanding]]=0,"Settled",IF(Table2[[#This Row],[Outstanding]]&gt;0,"Outstanding"))</f>
        <v>Outstanding</v>
      </c>
      <c r="M297" s="5" t="str">
        <f>IF(Table2[[#This Row],[Advance Amount]]=Table2[[#This Row],[Expense Amount]]+Table2[[#This Row],[Return Amount]]+Table2[[#This Row],[Outstanding]],"Ok","Check")</f>
        <v>Ok</v>
      </c>
      <c r="N297" s="11">
        <f>IF(Table2[[#This Row],[Status]]="Settled",0,$Q$2-Table2[[#This Row],[Date]])</f>
        <v>169</v>
      </c>
      <c r="O297" s="5" t="str">
        <f>IF(Table2[[#This Row],[Age Days]]&lt;=7,"Normal",IF(Table2[[#This Row],[Age Days]]&lt;=14,"Perlu Dipantau",IF(Table2[[#This Row],[Age Days]]&lt;=30,"Perlu Ditindaklanjuti","Overdue")))</f>
        <v>Overdue</v>
      </c>
    </row>
    <row r="298" spans="1:15" x14ac:dyDescent="0.3">
      <c r="A298" t="s">
        <v>382</v>
      </c>
      <c r="B298" s="3">
        <v>46096</v>
      </c>
      <c r="C298" t="s">
        <v>62</v>
      </c>
      <c r="D298" t="s">
        <v>63</v>
      </c>
      <c r="E298" t="s">
        <v>52</v>
      </c>
      <c r="F298" t="s">
        <v>20</v>
      </c>
      <c r="G298" t="s">
        <v>28</v>
      </c>
      <c r="H298" s="5">
        <v>430000</v>
      </c>
      <c r="I298" s="5">
        <v>0</v>
      </c>
      <c r="J298" s="5">
        <v>0</v>
      </c>
      <c r="K298" s="5">
        <f>Table2[[#This Row],[Advance Amount]]-Table2[[#This Row],[Expense Amount]]-Table2[[#This Row],[Return Amount]]</f>
        <v>430000</v>
      </c>
      <c r="L298" s="5" t="str">
        <f>IF(Table2[[#This Row],[Outstanding]]=0,"Settled",IF(Table2[[#This Row],[Outstanding]]&gt;0,"Outstanding"))</f>
        <v>Outstanding</v>
      </c>
      <c r="M298" s="5" t="str">
        <f>IF(Table2[[#This Row],[Advance Amount]]=Table2[[#This Row],[Expense Amount]]+Table2[[#This Row],[Return Amount]]+Table2[[#This Row],[Outstanding]],"Ok","Check")</f>
        <v>Ok</v>
      </c>
      <c r="N298" s="11">
        <f>IF(Table2[[#This Row],[Status]]="Settled",0,$Q$2-Table2[[#This Row],[Date]])</f>
        <v>169</v>
      </c>
      <c r="O298" s="5" t="str">
        <f>IF(Table2[[#This Row],[Age Days]]&lt;=7,"Normal",IF(Table2[[#This Row],[Age Days]]&lt;=14,"Perlu Dipantau",IF(Table2[[#This Row],[Age Days]]&lt;=30,"Perlu Ditindaklanjuti","Overdue")))</f>
        <v>Overdue</v>
      </c>
    </row>
    <row r="299" spans="1:15" x14ac:dyDescent="0.3">
      <c r="A299" t="s">
        <v>383</v>
      </c>
      <c r="B299" s="3">
        <v>46097</v>
      </c>
      <c r="C299" t="s">
        <v>22</v>
      </c>
      <c r="D299" t="s">
        <v>23</v>
      </c>
      <c r="E299" t="s">
        <v>24</v>
      </c>
      <c r="F299" t="s">
        <v>14</v>
      </c>
      <c r="G299" t="s">
        <v>57</v>
      </c>
      <c r="H299" s="5">
        <v>480000</v>
      </c>
      <c r="I299" s="5">
        <v>0</v>
      </c>
      <c r="J299" s="5">
        <v>0</v>
      </c>
      <c r="K299" s="5">
        <f>Table2[[#This Row],[Advance Amount]]-Table2[[#This Row],[Expense Amount]]-Table2[[#This Row],[Return Amount]]</f>
        <v>480000</v>
      </c>
      <c r="L299" s="5" t="str">
        <f>IF(Table2[[#This Row],[Outstanding]]=0,"Settled",IF(Table2[[#This Row],[Outstanding]]&gt;0,"Outstanding"))</f>
        <v>Outstanding</v>
      </c>
      <c r="M299" s="5" t="str">
        <f>IF(Table2[[#This Row],[Advance Amount]]=Table2[[#This Row],[Expense Amount]]+Table2[[#This Row],[Return Amount]]+Table2[[#This Row],[Outstanding]],"Ok","Check")</f>
        <v>Ok</v>
      </c>
      <c r="N299" s="11">
        <f>IF(Table2[[#This Row],[Status]]="Settled",0,$Q$2-Table2[[#This Row],[Date]])</f>
        <v>168</v>
      </c>
      <c r="O299" s="5" t="str">
        <f>IF(Table2[[#This Row],[Age Days]]&lt;=7,"Normal",IF(Table2[[#This Row],[Age Days]]&lt;=14,"Perlu Dipantau",IF(Table2[[#This Row],[Age Days]]&lt;=30,"Perlu Ditindaklanjuti","Overdue")))</f>
        <v>Overdue</v>
      </c>
    </row>
    <row r="300" spans="1:15" x14ac:dyDescent="0.3">
      <c r="A300" t="s">
        <v>384</v>
      </c>
      <c r="B300" s="3">
        <v>46098</v>
      </c>
      <c r="C300" t="s">
        <v>46</v>
      </c>
      <c r="D300" t="s">
        <v>47</v>
      </c>
      <c r="E300" t="s">
        <v>37</v>
      </c>
      <c r="F300" t="s">
        <v>14</v>
      </c>
      <c r="G300" t="s">
        <v>40</v>
      </c>
      <c r="H300" s="5">
        <v>425000</v>
      </c>
      <c r="I300" s="5">
        <v>400000</v>
      </c>
      <c r="J300" s="5">
        <v>25000</v>
      </c>
      <c r="K300" s="5">
        <f>Table2[[#This Row],[Advance Amount]]-Table2[[#This Row],[Expense Amount]]-Table2[[#This Row],[Return Amount]]</f>
        <v>0</v>
      </c>
      <c r="L300" s="5" t="str">
        <f>IF(Table2[[#This Row],[Outstanding]]=0,"Settled",IF(Table2[[#This Row],[Outstanding]]&gt;0,"Outstanding"))</f>
        <v>Settled</v>
      </c>
      <c r="M300" s="5" t="str">
        <f>IF(Table2[[#This Row],[Advance Amount]]=Table2[[#This Row],[Expense Amount]]+Table2[[#This Row],[Return Amount]]+Table2[[#This Row],[Outstanding]],"Ok","Check")</f>
        <v>Ok</v>
      </c>
      <c r="N300" s="11">
        <f>IF(Table2[[#This Row],[Status]]="Settled",0,$Q$2-Table2[[#This Row],[Date]])</f>
        <v>0</v>
      </c>
      <c r="O300" s="5" t="str">
        <f>IF(Table2[[#This Row],[Age Days]]&lt;=7,"Normal",IF(Table2[[#This Row],[Age Days]]&lt;=14,"Perlu Dipantau",IF(Table2[[#This Row],[Age Days]]&lt;=30,"Perlu Ditindaklanjuti","Overdue")))</f>
        <v>Normal</v>
      </c>
    </row>
    <row r="301" spans="1:15" x14ac:dyDescent="0.3">
      <c r="A301" t="s">
        <v>385</v>
      </c>
      <c r="B301" s="3">
        <v>46098</v>
      </c>
      <c r="C301" t="s">
        <v>29</v>
      </c>
      <c r="D301" t="s">
        <v>30</v>
      </c>
      <c r="E301" t="s">
        <v>13</v>
      </c>
      <c r="F301" t="s">
        <v>14</v>
      </c>
      <c r="G301" t="s">
        <v>34</v>
      </c>
      <c r="H301" s="5">
        <v>450000</v>
      </c>
      <c r="I301" s="5">
        <v>350000</v>
      </c>
      <c r="J301" s="5">
        <v>100000</v>
      </c>
      <c r="K301" s="5">
        <f>Table2[[#This Row],[Advance Amount]]-Table2[[#This Row],[Expense Amount]]-Table2[[#This Row],[Return Amount]]</f>
        <v>0</v>
      </c>
      <c r="L301" s="5" t="str">
        <f>IF(Table2[[#This Row],[Outstanding]]=0,"Settled",IF(Table2[[#This Row],[Outstanding]]&gt;0,"Outstanding"))</f>
        <v>Settled</v>
      </c>
      <c r="M301" s="5" t="str">
        <f>IF(Table2[[#This Row],[Advance Amount]]=Table2[[#This Row],[Expense Amount]]+Table2[[#This Row],[Return Amount]]+Table2[[#This Row],[Outstanding]],"Ok","Check")</f>
        <v>Ok</v>
      </c>
      <c r="N301" s="11">
        <f>IF(Table2[[#This Row],[Status]]="Settled",0,$Q$2-Table2[[#This Row],[Date]])</f>
        <v>0</v>
      </c>
      <c r="O301" s="5" t="str">
        <f>IF(Table2[[#This Row],[Age Days]]&lt;=7,"Normal",IF(Table2[[#This Row],[Age Days]]&lt;=14,"Perlu Dipantau",IF(Table2[[#This Row],[Age Days]]&lt;=30,"Perlu Ditindaklanjuti","Overdue")))</f>
        <v>Normal</v>
      </c>
    </row>
    <row r="302" spans="1:15" x14ac:dyDescent="0.3">
      <c r="A302" t="s">
        <v>386</v>
      </c>
      <c r="B302" s="3">
        <v>46098</v>
      </c>
      <c r="C302" t="s">
        <v>41</v>
      </c>
      <c r="D302" t="s">
        <v>42</v>
      </c>
      <c r="E302" t="s">
        <v>43</v>
      </c>
      <c r="F302" t="s">
        <v>20</v>
      </c>
      <c r="G302" t="s">
        <v>15</v>
      </c>
      <c r="H302" s="5">
        <v>2050000</v>
      </c>
      <c r="I302" s="5">
        <v>1750000</v>
      </c>
      <c r="J302" s="5">
        <v>300000</v>
      </c>
      <c r="K302" s="5">
        <f>Table2[[#This Row],[Advance Amount]]-Table2[[#This Row],[Expense Amount]]-Table2[[#This Row],[Return Amount]]</f>
        <v>0</v>
      </c>
      <c r="L302" s="5" t="str">
        <f>IF(Table2[[#This Row],[Outstanding]]=0,"Settled",IF(Table2[[#This Row],[Outstanding]]&gt;0,"Outstanding"))</f>
        <v>Settled</v>
      </c>
      <c r="M302" s="5" t="str">
        <f>IF(Table2[[#This Row],[Advance Amount]]=Table2[[#This Row],[Expense Amount]]+Table2[[#This Row],[Return Amount]]+Table2[[#This Row],[Outstanding]],"Ok","Check")</f>
        <v>Ok</v>
      </c>
      <c r="N302" s="11">
        <f>IF(Table2[[#This Row],[Status]]="Settled",0,$Q$2-Table2[[#This Row],[Date]])</f>
        <v>0</v>
      </c>
      <c r="O302" s="5" t="str">
        <f>IF(Table2[[#This Row],[Age Days]]&lt;=7,"Normal",IF(Table2[[#This Row],[Age Days]]&lt;=14,"Perlu Dipantau",IF(Table2[[#This Row],[Age Days]]&lt;=30,"Perlu Ditindaklanjuti","Overdue")))</f>
        <v>Normal</v>
      </c>
    </row>
    <row r="303" spans="1:15" x14ac:dyDescent="0.3">
      <c r="A303" t="s">
        <v>387</v>
      </c>
      <c r="B303" s="3">
        <v>46098</v>
      </c>
      <c r="C303" t="s">
        <v>38</v>
      </c>
      <c r="D303" t="s">
        <v>39</v>
      </c>
      <c r="E303" t="s">
        <v>24</v>
      </c>
      <c r="F303" t="s">
        <v>14</v>
      </c>
      <c r="G303" t="s">
        <v>15</v>
      </c>
      <c r="H303" s="5">
        <v>2150000</v>
      </c>
      <c r="I303" s="5">
        <v>1575000</v>
      </c>
      <c r="J303" s="5">
        <v>575000</v>
      </c>
      <c r="K303" s="5">
        <f>Table2[[#This Row],[Advance Amount]]-Table2[[#This Row],[Expense Amount]]-Table2[[#This Row],[Return Amount]]</f>
        <v>0</v>
      </c>
      <c r="L303" s="5" t="str">
        <f>IF(Table2[[#This Row],[Outstanding]]=0,"Settled",IF(Table2[[#This Row],[Outstanding]]&gt;0,"Outstanding"))</f>
        <v>Settled</v>
      </c>
      <c r="M303" s="5" t="str">
        <f>IF(Table2[[#This Row],[Advance Amount]]=Table2[[#This Row],[Expense Amount]]+Table2[[#This Row],[Return Amount]]+Table2[[#This Row],[Outstanding]],"Ok","Check")</f>
        <v>Ok</v>
      </c>
      <c r="N303" s="11">
        <f>IF(Table2[[#This Row],[Status]]="Settled",0,$Q$2-Table2[[#This Row],[Date]])</f>
        <v>0</v>
      </c>
      <c r="O303" s="5" t="str">
        <f>IF(Table2[[#This Row],[Age Days]]&lt;=7,"Normal",IF(Table2[[#This Row],[Age Days]]&lt;=14,"Perlu Dipantau",IF(Table2[[#This Row],[Age Days]]&lt;=30,"Perlu Ditindaklanjuti","Overdue")))</f>
        <v>Normal</v>
      </c>
    </row>
    <row r="304" spans="1:15" x14ac:dyDescent="0.3">
      <c r="A304" t="s">
        <v>388</v>
      </c>
      <c r="B304" s="3">
        <v>46098</v>
      </c>
      <c r="C304" t="s">
        <v>50</v>
      </c>
      <c r="D304" t="s">
        <v>51</v>
      </c>
      <c r="E304" t="s">
        <v>52</v>
      </c>
      <c r="F304" t="s">
        <v>14</v>
      </c>
      <c r="G304" t="s">
        <v>40</v>
      </c>
      <c r="H304" s="5">
        <v>575000</v>
      </c>
      <c r="I304" s="5">
        <v>0</v>
      </c>
      <c r="J304" s="5">
        <v>0</v>
      </c>
      <c r="K304" s="5">
        <f>Table2[[#This Row],[Advance Amount]]-Table2[[#This Row],[Expense Amount]]-Table2[[#This Row],[Return Amount]]</f>
        <v>575000</v>
      </c>
      <c r="L304" s="5" t="str">
        <f>IF(Table2[[#This Row],[Outstanding]]=0,"Settled",IF(Table2[[#This Row],[Outstanding]]&gt;0,"Outstanding"))</f>
        <v>Outstanding</v>
      </c>
      <c r="M304" s="5" t="str">
        <f>IF(Table2[[#This Row],[Advance Amount]]=Table2[[#This Row],[Expense Amount]]+Table2[[#This Row],[Return Amount]]+Table2[[#This Row],[Outstanding]],"Ok","Check")</f>
        <v>Ok</v>
      </c>
      <c r="N304" s="11">
        <f>IF(Table2[[#This Row],[Status]]="Settled",0,$Q$2-Table2[[#This Row],[Date]])</f>
        <v>167</v>
      </c>
      <c r="O304" s="5" t="str">
        <f>IF(Table2[[#This Row],[Age Days]]&lt;=7,"Normal",IF(Table2[[#This Row],[Age Days]]&lt;=14,"Perlu Dipantau",IF(Table2[[#This Row],[Age Days]]&lt;=30,"Perlu Ditindaklanjuti","Overdue")))</f>
        <v>Overdue</v>
      </c>
    </row>
    <row r="305" spans="1:15" x14ac:dyDescent="0.3">
      <c r="A305" t="s">
        <v>389</v>
      </c>
      <c r="B305" s="3">
        <v>46098</v>
      </c>
      <c r="C305" t="s">
        <v>22</v>
      </c>
      <c r="D305" t="s">
        <v>23</v>
      </c>
      <c r="E305" t="s">
        <v>24</v>
      </c>
      <c r="F305" t="s">
        <v>20</v>
      </c>
      <c r="G305" t="s">
        <v>28</v>
      </c>
      <c r="H305" s="5">
        <v>155000</v>
      </c>
      <c r="I305" s="5">
        <v>150000</v>
      </c>
      <c r="J305" s="5">
        <v>5000</v>
      </c>
      <c r="K305" s="5">
        <f>Table2[[#This Row],[Advance Amount]]-Table2[[#This Row],[Expense Amount]]-Table2[[#This Row],[Return Amount]]</f>
        <v>0</v>
      </c>
      <c r="L305" s="5" t="str">
        <f>IF(Table2[[#This Row],[Outstanding]]=0,"Settled",IF(Table2[[#This Row],[Outstanding]]&gt;0,"Outstanding"))</f>
        <v>Settled</v>
      </c>
      <c r="M305" s="5" t="str">
        <f>IF(Table2[[#This Row],[Advance Amount]]=Table2[[#This Row],[Expense Amount]]+Table2[[#This Row],[Return Amount]]+Table2[[#This Row],[Outstanding]],"Ok","Check")</f>
        <v>Ok</v>
      </c>
      <c r="N305" s="11">
        <f>IF(Table2[[#This Row],[Status]]="Settled",0,$Q$2-Table2[[#This Row],[Date]])</f>
        <v>0</v>
      </c>
      <c r="O305" s="5" t="str">
        <f>IF(Table2[[#This Row],[Age Days]]&lt;=7,"Normal",IF(Table2[[#This Row],[Age Days]]&lt;=14,"Perlu Dipantau",IF(Table2[[#This Row],[Age Days]]&lt;=30,"Perlu Ditindaklanjuti","Overdue")))</f>
        <v>Normal</v>
      </c>
    </row>
    <row r="306" spans="1:15" x14ac:dyDescent="0.3">
      <c r="A306" t="s">
        <v>390</v>
      </c>
      <c r="B306" s="3">
        <v>46099</v>
      </c>
      <c r="C306" t="s">
        <v>46</v>
      </c>
      <c r="D306" t="s">
        <v>47</v>
      </c>
      <c r="E306" t="s">
        <v>37</v>
      </c>
      <c r="F306" t="s">
        <v>14</v>
      </c>
      <c r="G306" t="s">
        <v>28</v>
      </c>
      <c r="H306" s="5">
        <v>405000</v>
      </c>
      <c r="I306" s="5">
        <v>325000</v>
      </c>
      <c r="J306" s="5">
        <v>80000</v>
      </c>
      <c r="K306" s="5">
        <f>Table2[[#This Row],[Advance Amount]]-Table2[[#This Row],[Expense Amount]]-Table2[[#This Row],[Return Amount]]</f>
        <v>0</v>
      </c>
      <c r="L306" s="5" t="str">
        <f>IF(Table2[[#This Row],[Outstanding]]=0,"Settled",IF(Table2[[#This Row],[Outstanding]]&gt;0,"Outstanding"))</f>
        <v>Settled</v>
      </c>
      <c r="M306" s="5" t="str">
        <f>IF(Table2[[#This Row],[Advance Amount]]=Table2[[#This Row],[Expense Amount]]+Table2[[#This Row],[Return Amount]]+Table2[[#This Row],[Outstanding]],"Ok","Check")</f>
        <v>Ok</v>
      </c>
      <c r="N306" s="11">
        <f>IF(Table2[[#This Row],[Status]]="Settled",0,$Q$2-Table2[[#This Row],[Date]])</f>
        <v>0</v>
      </c>
      <c r="O306" s="5" t="str">
        <f>IF(Table2[[#This Row],[Age Days]]&lt;=7,"Normal",IF(Table2[[#This Row],[Age Days]]&lt;=14,"Perlu Dipantau",IF(Table2[[#This Row],[Age Days]]&lt;=30,"Perlu Ditindaklanjuti","Overdue")))</f>
        <v>Normal</v>
      </c>
    </row>
    <row r="307" spans="1:15" x14ac:dyDescent="0.3">
      <c r="A307" t="s">
        <v>391</v>
      </c>
      <c r="B307" s="3">
        <v>46099</v>
      </c>
      <c r="C307" t="s">
        <v>29</v>
      </c>
      <c r="D307" t="s">
        <v>30</v>
      </c>
      <c r="E307" t="s">
        <v>13</v>
      </c>
      <c r="F307" t="s">
        <v>14</v>
      </c>
      <c r="G307" t="s">
        <v>15</v>
      </c>
      <c r="H307" s="5">
        <v>1150000</v>
      </c>
      <c r="I307" s="5">
        <v>850000</v>
      </c>
      <c r="J307" s="5">
        <v>300000</v>
      </c>
      <c r="K307" s="5">
        <f>Table2[[#This Row],[Advance Amount]]-Table2[[#This Row],[Expense Amount]]-Table2[[#This Row],[Return Amount]]</f>
        <v>0</v>
      </c>
      <c r="L307" s="5" t="str">
        <f>IF(Table2[[#This Row],[Outstanding]]=0,"Settled",IF(Table2[[#This Row],[Outstanding]]&gt;0,"Outstanding"))</f>
        <v>Settled</v>
      </c>
      <c r="M307" s="5" t="str">
        <f>IF(Table2[[#This Row],[Advance Amount]]=Table2[[#This Row],[Expense Amount]]+Table2[[#This Row],[Return Amount]]+Table2[[#This Row],[Outstanding]],"Ok","Check")</f>
        <v>Ok</v>
      </c>
      <c r="N307" s="11">
        <f>IF(Table2[[#This Row],[Status]]="Settled",0,$Q$2-Table2[[#This Row],[Date]])</f>
        <v>0</v>
      </c>
      <c r="O307" s="5" t="str">
        <f>IF(Table2[[#This Row],[Age Days]]&lt;=7,"Normal",IF(Table2[[#This Row],[Age Days]]&lt;=14,"Perlu Dipantau",IF(Table2[[#This Row],[Age Days]]&lt;=30,"Perlu Ditindaklanjuti","Overdue")))</f>
        <v>Normal</v>
      </c>
    </row>
    <row r="308" spans="1:15" x14ac:dyDescent="0.3">
      <c r="A308" t="s">
        <v>392</v>
      </c>
      <c r="B308" s="3">
        <v>46099</v>
      </c>
      <c r="C308" t="s">
        <v>32</v>
      </c>
      <c r="D308" t="s">
        <v>33</v>
      </c>
      <c r="E308" t="s">
        <v>27</v>
      </c>
      <c r="F308" t="s">
        <v>20</v>
      </c>
      <c r="G308" t="s">
        <v>34</v>
      </c>
      <c r="H308" s="5">
        <v>450000</v>
      </c>
      <c r="I308" s="5">
        <v>0</v>
      </c>
      <c r="J308" s="5">
        <v>0</v>
      </c>
      <c r="K308" s="5">
        <f>Table2[[#This Row],[Advance Amount]]-Table2[[#This Row],[Expense Amount]]-Table2[[#This Row],[Return Amount]]</f>
        <v>450000</v>
      </c>
      <c r="L308" s="5" t="str">
        <f>IF(Table2[[#This Row],[Outstanding]]=0,"Settled",IF(Table2[[#This Row],[Outstanding]]&gt;0,"Outstanding"))</f>
        <v>Outstanding</v>
      </c>
      <c r="M308" s="5" t="str">
        <f>IF(Table2[[#This Row],[Advance Amount]]=Table2[[#This Row],[Expense Amount]]+Table2[[#This Row],[Return Amount]]+Table2[[#This Row],[Outstanding]],"Ok","Check")</f>
        <v>Ok</v>
      </c>
      <c r="N308" s="11">
        <f>IF(Table2[[#This Row],[Status]]="Settled",0,$Q$2-Table2[[#This Row],[Date]])</f>
        <v>166</v>
      </c>
      <c r="O308" s="5" t="str">
        <f>IF(Table2[[#This Row],[Age Days]]&lt;=7,"Normal",IF(Table2[[#This Row],[Age Days]]&lt;=14,"Perlu Dipantau",IF(Table2[[#This Row],[Age Days]]&lt;=30,"Perlu Ditindaklanjuti","Overdue")))</f>
        <v>Overdue</v>
      </c>
    </row>
    <row r="309" spans="1:15" x14ac:dyDescent="0.3">
      <c r="A309" t="s">
        <v>393</v>
      </c>
      <c r="B309" s="3">
        <v>46099</v>
      </c>
      <c r="C309" t="s">
        <v>32</v>
      </c>
      <c r="D309" t="s">
        <v>33</v>
      </c>
      <c r="E309" t="s">
        <v>27</v>
      </c>
      <c r="F309" t="s">
        <v>20</v>
      </c>
      <c r="G309" t="s">
        <v>57</v>
      </c>
      <c r="H309" s="5">
        <v>180000</v>
      </c>
      <c r="I309" s="5">
        <v>125000</v>
      </c>
      <c r="J309" s="5">
        <v>55000</v>
      </c>
      <c r="K309" s="5">
        <f>Table2[[#This Row],[Advance Amount]]-Table2[[#This Row],[Expense Amount]]-Table2[[#This Row],[Return Amount]]</f>
        <v>0</v>
      </c>
      <c r="L309" s="5" t="str">
        <f>IF(Table2[[#This Row],[Outstanding]]=0,"Settled",IF(Table2[[#This Row],[Outstanding]]&gt;0,"Outstanding"))</f>
        <v>Settled</v>
      </c>
      <c r="M309" s="5" t="str">
        <f>IF(Table2[[#This Row],[Advance Amount]]=Table2[[#This Row],[Expense Amount]]+Table2[[#This Row],[Return Amount]]+Table2[[#This Row],[Outstanding]],"Ok","Check")</f>
        <v>Ok</v>
      </c>
      <c r="N309" s="11">
        <f>IF(Table2[[#This Row],[Status]]="Settled",0,$Q$2-Table2[[#This Row],[Date]])</f>
        <v>0</v>
      </c>
      <c r="O309" s="5" t="str">
        <f>IF(Table2[[#This Row],[Age Days]]&lt;=7,"Normal",IF(Table2[[#This Row],[Age Days]]&lt;=14,"Perlu Dipantau",IF(Table2[[#This Row],[Age Days]]&lt;=30,"Perlu Ditindaklanjuti","Overdue")))</f>
        <v>Normal</v>
      </c>
    </row>
    <row r="310" spans="1:15" x14ac:dyDescent="0.3">
      <c r="A310" t="s">
        <v>394</v>
      </c>
      <c r="B310" s="3">
        <v>46099</v>
      </c>
      <c r="C310" t="s">
        <v>41</v>
      </c>
      <c r="D310" t="s">
        <v>42</v>
      </c>
      <c r="E310" t="s">
        <v>43</v>
      </c>
      <c r="F310" t="s">
        <v>14</v>
      </c>
      <c r="G310" t="s">
        <v>34</v>
      </c>
      <c r="H310" s="5">
        <v>175000</v>
      </c>
      <c r="I310" s="5">
        <v>0</v>
      </c>
      <c r="J310" s="5">
        <v>0</v>
      </c>
      <c r="K310" s="5">
        <f>Table2[[#This Row],[Advance Amount]]-Table2[[#This Row],[Expense Amount]]-Table2[[#This Row],[Return Amount]]</f>
        <v>175000</v>
      </c>
      <c r="L310" s="5" t="str">
        <f>IF(Table2[[#This Row],[Outstanding]]=0,"Settled",IF(Table2[[#This Row],[Outstanding]]&gt;0,"Outstanding"))</f>
        <v>Outstanding</v>
      </c>
      <c r="M310" s="5" t="str">
        <f>IF(Table2[[#This Row],[Advance Amount]]=Table2[[#This Row],[Expense Amount]]+Table2[[#This Row],[Return Amount]]+Table2[[#This Row],[Outstanding]],"Ok","Check")</f>
        <v>Ok</v>
      </c>
      <c r="N310" s="11">
        <f>IF(Table2[[#This Row],[Status]]="Settled",0,$Q$2-Table2[[#This Row],[Date]])</f>
        <v>166</v>
      </c>
      <c r="O310" s="5" t="str">
        <f>IF(Table2[[#This Row],[Age Days]]&lt;=7,"Normal",IF(Table2[[#This Row],[Age Days]]&lt;=14,"Perlu Dipantau",IF(Table2[[#This Row],[Age Days]]&lt;=30,"Perlu Ditindaklanjuti","Overdue")))</f>
        <v>Overdue</v>
      </c>
    </row>
    <row r="311" spans="1:15" x14ac:dyDescent="0.3">
      <c r="A311" t="s">
        <v>395</v>
      </c>
      <c r="B311" s="3">
        <v>46099</v>
      </c>
      <c r="C311" t="s">
        <v>59</v>
      </c>
      <c r="D311" t="s">
        <v>60</v>
      </c>
      <c r="E311" t="s">
        <v>19</v>
      </c>
      <c r="F311" t="s">
        <v>20</v>
      </c>
      <c r="G311" t="s">
        <v>34</v>
      </c>
      <c r="H311" s="5">
        <v>425000</v>
      </c>
      <c r="I311" s="5">
        <v>300000</v>
      </c>
      <c r="J311" s="5">
        <v>125000</v>
      </c>
      <c r="K311" s="5">
        <f>Table2[[#This Row],[Advance Amount]]-Table2[[#This Row],[Expense Amount]]-Table2[[#This Row],[Return Amount]]</f>
        <v>0</v>
      </c>
      <c r="L311" s="5" t="str">
        <f>IF(Table2[[#This Row],[Outstanding]]=0,"Settled",IF(Table2[[#This Row],[Outstanding]]&gt;0,"Outstanding"))</f>
        <v>Settled</v>
      </c>
      <c r="M311" s="5" t="str">
        <f>IF(Table2[[#This Row],[Advance Amount]]=Table2[[#This Row],[Expense Amount]]+Table2[[#This Row],[Return Amount]]+Table2[[#This Row],[Outstanding]],"Ok","Check")</f>
        <v>Ok</v>
      </c>
      <c r="N311" s="11">
        <f>IF(Table2[[#This Row],[Status]]="Settled",0,$Q$2-Table2[[#This Row],[Date]])</f>
        <v>0</v>
      </c>
      <c r="O311" s="5" t="str">
        <f>IF(Table2[[#This Row],[Age Days]]&lt;=7,"Normal",IF(Table2[[#This Row],[Age Days]]&lt;=14,"Perlu Dipantau",IF(Table2[[#This Row],[Age Days]]&lt;=30,"Perlu Ditindaklanjuti","Overdue")))</f>
        <v>Normal</v>
      </c>
    </row>
    <row r="312" spans="1:15" x14ac:dyDescent="0.3">
      <c r="A312" t="s">
        <v>396</v>
      </c>
      <c r="B312" s="3">
        <v>46100</v>
      </c>
      <c r="C312" t="s">
        <v>35</v>
      </c>
      <c r="D312" t="s">
        <v>36</v>
      </c>
      <c r="E312" t="s">
        <v>37</v>
      </c>
      <c r="F312" t="s">
        <v>20</v>
      </c>
      <c r="G312" t="s">
        <v>57</v>
      </c>
      <c r="H312" s="5">
        <v>105000</v>
      </c>
      <c r="I312" s="5">
        <v>0</v>
      </c>
      <c r="J312" s="5">
        <v>0</v>
      </c>
      <c r="K312" s="5">
        <f>Table2[[#This Row],[Advance Amount]]-Table2[[#This Row],[Expense Amount]]-Table2[[#This Row],[Return Amount]]</f>
        <v>105000</v>
      </c>
      <c r="L312" s="5" t="str">
        <f>IF(Table2[[#This Row],[Outstanding]]=0,"Settled",IF(Table2[[#This Row],[Outstanding]]&gt;0,"Outstanding"))</f>
        <v>Outstanding</v>
      </c>
      <c r="M312" s="5" t="str">
        <f>IF(Table2[[#This Row],[Advance Amount]]=Table2[[#This Row],[Expense Amount]]+Table2[[#This Row],[Return Amount]]+Table2[[#This Row],[Outstanding]],"Ok","Check")</f>
        <v>Ok</v>
      </c>
      <c r="N312" s="11">
        <f>IF(Table2[[#This Row],[Status]]="Settled",0,$Q$2-Table2[[#This Row],[Date]])</f>
        <v>165</v>
      </c>
      <c r="O312" s="5" t="str">
        <f>IF(Table2[[#This Row],[Age Days]]&lt;=7,"Normal",IF(Table2[[#This Row],[Age Days]]&lt;=14,"Perlu Dipantau",IF(Table2[[#This Row],[Age Days]]&lt;=30,"Perlu Ditindaklanjuti","Overdue")))</f>
        <v>Overdue</v>
      </c>
    </row>
    <row r="313" spans="1:15" x14ac:dyDescent="0.3">
      <c r="A313" t="s">
        <v>397</v>
      </c>
      <c r="B313" s="3">
        <v>46100</v>
      </c>
      <c r="C313" t="s">
        <v>17</v>
      </c>
      <c r="D313" t="s">
        <v>18</v>
      </c>
      <c r="E313" t="s">
        <v>19</v>
      </c>
      <c r="F313" t="s">
        <v>20</v>
      </c>
      <c r="G313" t="s">
        <v>40</v>
      </c>
      <c r="H313" s="5">
        <v>325000</v>
      </c>
      <c r="I313" s="5">
        <v>275000</v>
      </c>
      <c r="J313" s="5">
        <v>50000</v>
      </c>
      <c r="K313" s="5">
        <f>Table2[[#This Row],[Advance Amount]]-Table2[[#This Row],[Expense Amount]]-Table2[[#This Row],[Return Amount]]</f>
        <v>0</v>
      </c>
      <c r="L313" s="5" t="str">
        <f>IF(Table2[[#This Row],[Outstanding]]=0,"Settled",IF(Table2[[#This Row],[Outstanding]]&gt;0,"Outstanding"))</f>
        <v>Settled</v>
      </c>
      <c r="M313" s="5" t="str">
        <f>IF(Table2[[#This Row],[Advance Amount]]=Table2[[#This Row],[Expense Amount]]+Table2[[#This Row],[Return Amount]]+Table2[[#This Row],[Outstanding]],"Ok","Check")</f>
        <v>Ok</v>
      </c>
      <c r="N313" s="11">
        <f>IF(Table2[[#This Row],[Status]]="Settled",0,$Q$2-Table2[[#This Row],[Date]])</f>
        <v>0</v>
      </c>
      <c r="O313" s="5" t="str">
        <f>IF(Table2[[#This Row],[Age Days]]&lt;=7,"Normal",IF(Table2[[#This Row],[Age Days]]&lt;=14,"Perlu Dipantau",IF(Table2[[#This Row],[Age Days]]&lt;=30,"Perlu Ditindaklanjuti","Overdue")))</f>
        <v>Normal</v>
      </c>
    </row>
    <row r="314" spans="1:15" x14ac:dyDescent="0.3">
      <c r="A314" t="s">
        <v>398</v>
      </c>
      <c r="B314" s="3">
        <v>46100</v>
      </c>
      <c r="C314" t="s">
        <v>64</v>
      </c>
      <c r="D314" t="s">
        <v>65</v>
      </c>
      <c r="E314" t="s">
        <v>37</v>
      </c>
      <c r="F314" t="s">
        <v>20</v>
      </c>
      <c r="G314" t="s">
        <v>61</v>
      </c>
      <c r="H314" s="5">
        <v>275000</v>
      </c>
      <c r="I314" s="5">
        <v>250000</v>
      </c>
      <c r="J314" s="5">
        <v>25000</v>
      </c>
      <c r="K314" s="5">
        <f>Table2[[#This Row],[Advance Amount]]-Table2[[#This Row],[Expense Amount]]-Table2[[#This Row],[Return Amount]]</f>
        <v>0</v>
      </c>
      <c r="L314" s="5" t="str">
        <f>IF(Table2[[#This Row],[Outstanding]]=0,"Settled",IF(Table2[[#This Row],[Outstanding]]&gt;0,"Outstanding"))</f>
        <v>Settled</v>
      </c>
      <c r="M314" s="5" t="str">
        <f>IF(Table2[[#This Row],[Advance Amount]]=Table2[[#This Row],[Expense Amount]]+Table2[[#This Row],[Return Amount]]+Table2[[#This Row],[Outstanding]],"Ok","Check")</f>
        <v>Ok</v>
      </c>
      <c r="N314" s="11">
        <f>IF(Table2[[#This Row],[Status]]="Settled",0,$Q$2-Table2[[#This Row],[Date]])</f>
        <v>0</v>
      </c>
      <c r="O314" s="5" t="str">
        <f>IF(Table2[[#This Row],[Age Days]]&lt;=7,"Normal",IF(Table2[[#This Row],[Age Days]]&lt;=14,"Perlu Dipantau",IF(Table2[[#This Row],[Age Days]]&lt;=30,"Perlu Ditindaklanjuti","Overdue")))</f>
        <v>Normal</v>
      </c>
    </row>
    <row r="315" spans="1:15" x14ac:dyDescent="0.3">
      <c r="A315" t="s">
        <v>399</v>
      </c>
      <c r="B315" s="3">
        <v>46100</v>
      </c>
      <c r="C315" t="s">
        <v>53</v>
      </c>
      <c r="D315" t="s">
        <v>54</v>
      </c>
      <c r="E315" t="s">
        <v>43</v>
      </c>
      <c r="F315" t="s">
        <v>20</v>
      </c>
      <c r="G315" t="s">
        <v>58</v>
      </c>
      <c r="H315" s="5">
        <v>1025000</v>
      </c>
      <c r="I315" s="5">
        <v>925000</v>
      </c>
      <c r="J315" s="5">
        <v>100000</v>
      </c>
      <c r="K315" s="5">
        <f>Table2[[#This Row],[Advance Amount]]-Table2[[#This Row],[Expense Amount]]-Table2[[#This Row],[Return Amount]]</f>
        <v>0</v>
      </c>
      <c r="L315" s="5" t="str">
        <f>IF(Table2[[#This Row],[Outstanding]]=0,"Settled",IF(Table2[[#This Row],[Outstanding]]&gt;0,"Outstanding"))</f>
        <v>Settled</v>
      </c>
      <c r="M315" s="5" t="str">
        <f>IF(Table2[[#This Row],[Advance Amount]]=Table2[[#This Row],[Expense Amount]]+Table2[[#This Row],[Return Amount]]+Table2[[#This Row],[Outstanding]],"Ok","Check")</f>
        <v>Ok</v>
      </c>
      <c r="N315" s="11">
        <f>IF(Table2[[#This Row],[Status]]="Settled",0,$Q$2-Table2[[#This Row],[Date]])</f>
        <v>0</v>
      </c>
      <c r="O315" s="5" t="str">
        <f>IF(Table2[[#This Row],[Age Days]]&lt;=7,"Normal",IF(Table2[[#This Row],[Age Days]]&lt;=14,"Perlu Dipantau",IF(Table2[[#This Row],[Age Days]]&lt;=30,"Perlu Ditindaklanjuti","Overdue")))</f>
        <v>Normal</v>
      </c>
    </row>
    <row r="316" spans="1:15" x14ac:dyDescent="0.3">
      <c r="A316" t="s">
        <v>400</v>
      </c>
      <c r="B316" s="3">
        <v>46100</v>
      </c>
      <c r="C316" t="s">
        <v>59</v>
      </c>
      <c r="D316" t="s">
        <v>60</v>
      </c>
      <c r="E316" t="s">
        <v>19</v>
      </c>
      <c r="F316" t="s">
        <v>20</v>
      </c>
      <c r="G316" t="s">
        <v>61</v>
      </c>
      <c r="H316" s="5">
        <v>600000</v>
      </c>
      <c r="I316" s="5">
        <v>0</v>
      </c>
      <c r="J316" s="5">
        <v>0</v>
      </c>
      <c r="K316" s="5">
        <f>Table2[[#This Row],[Advance Amount]]-Table2[[#This Row],[Expense Amount]]-Table2[[#This Row],[Return Amount]]</f>
        <v>600000</v>
      </c>
      <c r="L316" s="5" t="str">
        <f>IF(Table2[[#This Row],[Outstanding]]=0,"Settled",IF(Table2[[#This Row],[Outstanding]]&gt;0,"Outstanding"))</f>
        <v>Outstanding</v>
      </c>
      <c r="M316" s="5" t="str">
        <f>IF(Table2[[#This Row],[Advance Amount]]=Table2[[#This Row],[Expense Amount]]+Table2[[#This Row],[Return Amount]]+Table2[[#This Row],[Outstanding]],"Ok","Check")</f>
        <v>Ok</v>
      </c>
      <c r="N316" s="11">
        <f>IF(Table2[[#This Row],[Status]]="Settled",0,$Q$2-Table2[[#This Row],[Date]])</f>
        <v>165</v>
      </c>
      <c r="O316" s="5" t="str">
        <f>IF(Table2[[#This Row],[Age Days]]&lt;=7,"Normal",IF(Table2[[#This Row],[Age Days]]&lt;=14,"Perlu Dipantau",IF(Table2[[#This Row],[Age Days]]&lt;=30,"Perlu Ditindaklanjuti","Overdue")))</f>
        <v>Overdue</v>
      </c>
    </row>
    <row r="317" spans="1:15" x14ac:dyDescent="0.3">
      <c r="A317" t="s">
        <v>401</v>
      </c>
      <c r="B317" s="3">
        <v>46101</v>
      </c>
      <c r="C317" t="s">
        <v>48</v>
      </c>
      <c r="D317" t="s">
        <v>49</v>
      </c>
      <c r="E317" t="s">
        <v>19</v>
      </c>
      <c r="F317" t="s">
        <v>14</v>
      </c>
      <c r="G317" t="s">
        <v>28</v>
      </c>
      <c r="H317" s="5">
        <v>305000</v>
      </c>
      <c r="I317" s="5">
        <v>250000</v>
      </c>
      <c r="J317" s="5">
        <v>55000</v>
      </c>
      <c r="K317" s="5">
        <f>Table2[[#This Row],[Advance Amount]]-Table2[[#This Row],[Expense Amount]]-Table2[[#This Row],[Return Amount]]</f>
        <v>0</v>
      </c>
      <c r="L317" s="5" t="str">
        <f>IF(Table2[[#This Row],[Outstanding]]=0,"Settled",IF(Table2[[#This Row],[Outstanding]]&gt;0,"Outstanding"))</f>
        <v>Settled</v>
      </c>
      <c r="M317" s="5" t="str">
        <f>IF(Table2[[#This Row],[Advance Amount]]=Table2[[#This Row],[Expense Amount]]+Table2[[#This Row],[Return Amount]]+Table2[[#This Row],[Outstanding]],"Ok","Check")</f>
        <v>Ok</v>
      </c>
      <c r="N317" s="11">
        <f>IF(Table2[[#This Row],[Status]]="Settled",0,$Q$2-Table2[[#This Row],[Date]])</f>
        <v>0</v>
      </c>
      <c r="O317" s="5" t="str">
        <f>IF(Table2[[#This Row],[Age Days]]&lt;=7,"Normal",IF(Table2[[#This Row],[Age Days]]&lt;=14,"Perlu Dipantau",IF(Table2[[#This Row],[Age Days]]&lt;=30,"Perlu Ditindaklanjuti","Overdue")))</f>
        <v>Normal</v>
      </c>
    </row>
    <row r="318" spans="1:15" x14ac:dyDescent="0.3">
      <c r="A318" t="s">
        <v>402</v>
      </c>
      <c r="B318" s="3">
        <v>46101</v>
      </c>
      <c r="C318" t="s">
        <v>59</v>
      </c>
      <c r="D318" t="s">
        <v>60</v>
      </c>
      <c r="E318" t="s">
        <v>19</v>
      </c>
      <c r="F318" t="s">
        <v>20</v>
      </c>
      <c r="G318" t="s">
        <v>57</v>
      </c>
      <c r="H318" s="5">
        <v>205000</v>
      </c>
      <c r="I318" s="5">
        <v>150000</v>
      </c>
      <c r="J318" s="5">
        <v>55000</v>
      </c>
      <c r="K318" s="5">
        <f>Table2[[#This Row],[Advance Amount]]-Table2[[#This Row],[Expense Amount]]-Table2[[#This Row],[Return Amount]]</f>
        <v>0</v>
      </c>
      <c r="L318" s="5" t="str">
        <f>IF(Table2[[#This Row],[Outstanding]]=0,"Settled",IF(Table2[[#This Row],[Outstanding]]&gt;0,"Outstanding"))</f>
        <v>Settled</v>
      </c>
      <c r="M318" s="5" t="str">
        <f>IF(Table2[[#This Row],[Advance Amount]]=Table2[[#This Row],[Expense Amount]]+Table2[[#This Row],[Return Amount]]+Table2[[#This Row],[Outstanding]],"Ok","Check")</f>
        <v>Ok</v>
      </c>
      <c r="N318" s="11">
        <f>IF(Table2[[#This Row],[Status]]="Settled",0,$Q$2-Table2[[#This Row],[Date]])</f>
        <v>0</v>
      </c>
      <c r="O318" s="5" t="str">
        <f>IF(Table2[[#This Row],[Age Days]]&lt;=7,"Normal",IF(Table2[[#This Row],[Age Days]]&lt;=14,"Perlu Dipantau",IF(Table2[[#This Row],[Age Days]]&lt;=30,"Perlu Ditindaklanjuti","Overdue")))</f>
        <v>Normal</v>
      </c>
    </row>
    <row r="319" spans="1:15" x14ac:dyDescent="0.3">
      <c r="A319" t="s">
        <v>403</v>
      </c>
      <c r="B319" s="3">
        <v>46102</v>
      </c>
      <c r="C319" t="s">
        <v>29</v>
      </c>
      <c r="D319" t="s">
        <v>30</v>
      </c>
      <c r="E319" t="s">
        <v>13</v>
      </c>
      <c r="F319" t="s">
        <v>14</v>
      </c>
      <c r="G319" t="s">
        <v>40</v>
      </c>
      <c r="H319" s="5">
        <v>625000</v>
      </c>
      <c r="I319" s="5">
        <v>475000</v>
      </c>
      <c r="J319" s="5">
        <v>150000</v>
      </c>
      <c r="K319" s="5">
        <f>Table2[[#This Row],[Advance Amount]]-Table2[[#This Row],[Expense Amount]]-Table2[[#This Row],[Return Amount]]</f>
        <v>0</v>
      </c>
      <c r="L319" s="5" t="str">
        <f>IF(Table2[[#This Row],[Outstanding]]=0,"Settled",IF(Table2[[#This Row],[Outstanding]]&gt;0,"Outstanding"))</f>
        <v>Settled</v>
      </c>
      <c r="M319" s="5" t="str">
        <f>IF(Table2[[#This Row],[Advance Amount]]=Table2[[#This Row],[Expense Amount]]+Table2[[#This Row],[Return Amount]]+Table2[[#This Row],[Outstanding]],"Ok","Check")</f>
        <v>Ok</v>
      </c>
      <c r="N319" s="11">
        <f>IF(Table2[[#This Row],[Status]]="Settled",0,$Q$2-Table2[[#This Row],[Date]])</f>
        <v>0</v>
      </c>
      <c r="O319" s="5" t="str">
        <f>IF(Table2[[#This Row],[Age Days]]&lt;=7,"Normal",IF(Table2[[#This Row],[Age Days]]&lt;=14,"Perlu Dipantau",IF(Table2[[#This Row],[Age Days]]&lt;=30,"Perlu Ditindaklanjuti","Overdue")))</f>
        <v>Normal</v>
      </c>
    </row>
    <row r="320" spans="1:15" x14ac:dyDescent="0.3">
      <c r="A320" t="s">
        <v>404</v>
      </c>
      <c r="B320" s="3">
        <v>46102</v>
      </c>
      <c r="C320" t="s">
        <v>44</v>
      </c>
      <c r="D320" t="s">
        <v>45</v>
      </c>
      <c r="E320" t="s">
        <v>43</v>
      </c>
      <c r="F320" t="s">
        <v>20</v>
      </c>
      <c r="G320" t="s">
        <v>31</v>
      </c>
      <c r="H320" s="5">
        <v>450000</v>
      </c>
      <c r="I320" s="5">
        <v>325000</v>
      </c>
      <c r="J320" s="5">
        <v>125000</v>
      </c>
      <c r="K320" s="5">
        <f>Table2[[#This Row],[Advance Amount]]-Table2[[#This Row],[Expense Amount]]-Table2[[#This Row],[Return Amount]]</f>
        <v>0</v>
      </c>
      <c r="L320" s="5" t="str">
        <f>IF(Table2[[#This Row],[Outstanding]]=0,"Settled",IF(Table2[[#This Row],[Outstanding]]&gt;0,"Outstanding"))</f>
        <v>Settled</v>
      </c>
      <c r="M320" s="5" t="str">
        <f>IF(Table2[[#This Row],[Advance Amount]]=Table2[[#This Row],[Expense Amount]]+Table2[[#This Row],[Return Amount]]+Table2[[#This Row],[Outstanding]],"Ok","Check")</f>
        <v>Ok</v>
      </c>
      <c r="N320" s="11">
        <f>IF(Table2[[#This Row],[Status]]="Settled",0,$Q$2-Table2[[#This Row],[Date]])</f>
        <v>0</v>
      </c>
      <c r="O320" s="5" t="str">
        <f>IF(Table2[[#This Row],[Age Days]]&lt;=7,"Normal",IF(Table2[[#This Row],[Age Days]]&lt;=14,"Perlu Dipantau",IF(Table2[[#This Row],[Age Days]]&lt;=30,"Perlu Ditindaklanjuti","Overdue")))</f>
        <v>Normal</v>
      </c>
    </row>
    <row r="321" spans="1:15" x14ac:dyDescent="0.3">
      <c r="A321" t="s">
        <v>405</v>
      </c>
      <c r="B321" s="3">
        <v>46102</v>
      </c>
      <c r="C321" t="s">
        <v>44</v>
      </c>
      <c r="D321" t="s">
        <v>45</v>
      </c>
      <c r="E321" t="s">
        <v>43</v>
      </c>
      <c r="F321" t="s">
        <v>14</v>
      </c>
      <c r="G321" t="s">
        <v>57</v>
      </c>
      <c r="H321" s="5">
        <v>380000</v>
      </c>
      <c r="I321" s="5">
        <v>0</v>
      </c>
      <c r="J321" s="5">
        <v>0</v>
      </c>
      <c r="K321" s="5">
        <f>Table2[[#This Row],[Advance Amount]]-Table2[[#This Row],[Expense Amount]]-Table2[[#This Row],[Return Amount]]</f>
        <v>380000</v>
      </c>
      <c r="L321" s="5" t="str">
        <f>IF(Table2[[#This Row],[Outstanding]]=0,"Settled",IF(Table2[[#This Row],[Outstanding]]&gt;0,"Outstanding"))</f>
        <v>Outstanding</v>
      </c>
      <c r="M321" s="5" t="str">
        <f>IF(Table2[[#This Row],[Advance Amount]]=Table2[[#This Row],[Expense Amount]]+Table2[[#This Row],[Return Amount]]+Table2[[#This Row],[Outstanding]],"Ok","Check")</f>
        <v>Ok</v>
      </c>
      <c r="N321" s="11">
        <f>IF(Table2[[#This Row],[Status]]="Settled",0,$Q$2-Table2[[#This Row],[Date]])</f>
        <v>163</v>
      </c>
      <c r="O321" s="5" t="str">
        <f>IF(Table2[[#This Row],[Age Days]]&lt;=7,"Normal",IF(Table2[[#This Row],[Age Days]]&lt;=14,"Perlu Dipantau",IF(Table2[[#This Row],[Age Days]]&lt;=30,"Perlu Ditindaklanjuti","Overdue")))</f>
        <v>Overdue</v>
      </c>
    </row>
    <row r="322" spans="1:15" x14ac:dyDescent="0.3">
      <c r="A322" t="s">
        <v>406</v>
      </c>
      <c r="B322" s="3">
        <v>46102</v>
      </c>
      <c r="C322" t="s">
        <v>17</v>
      </c>
      <c r="D322" t="s">
        <v>18</v>
      </c>
      <c r="E322" t="s">
        <v>19</v>
      </c>
      <c r="F322" t="s">
        <v>20</v>
      </c>
      <c r="G322" t="s">
        <v>15</v>
      </c>
      <c r="H322" s="5">
        <v>1300000</v>
      </c>
      <c r="I322" s="5">
        <v>1000000</v>
      </c>
      <c r="J322" s="5">
        <v>300000</v>
      </c>
      <c r="K322" s="5">
        <f>Table2[[#This Row],[Advance Amount]]-Table2[[#This Row],[Expense Amount]]-Table2[[#This Row],[Return Amount]]</f>
        <v>0</v>
      </c>
      <c r="L322" s="5" t="str">
        <f>IF(Table2[[#This Row],[Outstanding]]=0,"Settled",IF(Table2[[#This Row],[Outstanding]]&gt;0,"Outstanding"))</f>
        <v>Settled</v>
      </c>
      <c r="M322" s="5" t="str">
        <f>IF(Table2[[#This Row],[Advance Amount]]=Table2[[#This Row],[Expense Amount]]+Table2[[#This Row],[Return Amount]]+Table2[[#This Row],[Outstanding]],"Ok","Check")</f>
        <v>Ok</v>
      </c>
      <c r="N322" s="11">
        <f>IF(Table2[[#This Row],[Status]]="Settled",0,$Q$2-Table2[[#This Row],[Date]])</f>
        <v>0</v>
      </c>
      <c r="O322" s="5" t="str">
        <f>IF(Table2[[#This Row],[Age Days]]&lt;=7,"Normal",IF(Table2[[#This Row],[Age Days]]&lt;=14,"Perlu Dipantau",IF(Table2[[#This Row],[Age Days]]&lt;=30,"Perlu Ditindaklanjuti","Overdue")))</f>
        <v>Normal</v>
      </c>
    </row>
    <row r="323" spans="1:15" x14ac:dyDescent="0.3">
      <c r="A323" t="s">
        <v>407</v>
      </c>
      <c r="B323" s="3">
        <v>46103</v>
      </c>
      <c r="C323" t="s">
        <v>46</v>
      </c>
      <c r="D323" t="s">
        <v>47</v>
      </c>
      <c r="E323" t="s">
        <v>37</v>
      </c>
      <c r="F323" t="s">
        <v>20</v>
      </c>
      <c r="G323" t="s">
        <v>34</v>
      </c>
      <c r="H323" s="5">
        <v>300000</v>
      </c>
      <c r="I323" s="5">
        <v>250000</v>
      </c>
      <c r="J323" s="5">
        <v>50000</v>
      </c>
      <c r="K323" s="5">
        <f>Table2[[#This Row],[Advance Amount]]-Table2[[#This Row],[Expense Amount]]-Table2[[#This Row],[Return Amount]]</f>
        <v>0</v>
      </c>
      <c r="L323" s="5" t="str">
        <f>IF(Table2[[#This Row],[Outstanding]]=0,"Settled",IF(Table2[[#This Row],[Outstanding]]&gt;0,"Outstanding"))</f>
        <v>Settled</v>
      </c>
      <c r="M323" s="5" t="str">
        <f>IF(Table2[[#This Row],[Advance Amount]]=Table2[[#This Row],[Expense Amount]]+Table2[[#This Row],[Return Amount]]+Table2[[#This Row],[Outstanding]],"Ok","Check")</f>
        <v>Ok</v>
      </c>
      <c r="N323" s="11">
        <f>IF(Table2[[#This Row],[Status]]="Settled",0,$Q$2-Table2[[#This Row],[Date]])</f>
        <v>0</v>
      </c>
      <c r="O323" s="5" t="str">
        <f>IF(Table2[[#This Row],[Age Days]]&lt;=7,"Normal",IF(Table2[[#This Row],[Age Days]]&lt;=14,"Perlu Dipantau",IF(Table2[[#This Row],[Age Days]]&lt;=30,"Perlu Ditindaklanjuti","Overdue")))</f>
        <v>Normal</v>
      </c>
    </row>
    <row r="324" spans="1:15" x14ac:dyDescent="0.3">
      <c r="A324" t="s">
        <v>408</v>
      </c>
      <c r="B324" s="3">
        <v>46103</v>
      </c>
      <c r="C324" t="s">
        <v>29</v>
      </c>
      <c r="D324" t="s">
        <v>30</v>
      </c>
      <c r="E324" t="s">
        <v>13</v>
      </c>
      <c r="F324" t="s">
        <v>20</v>
      </c>
      <c r="G324" t="s">
        <v>40</v>
      </c>
      <c r="H324" s="5">
        <v>650000</v>
      </c>
      <c r="I324" s="5">
        <v>600000</v>
      </c>
      <c r="J324" s="5">
        <v>50000</v>
      </c>
      <c r="K324" s="5">
        <f>Table2[[#This Row],[Advance Amount]]-Table2[[#This Row],[Expense Amount]]-Table2[[#This Row],[Return Amount]]</f>
        <v>0</v>
      </c>
      <c r="L324" s="5" t="str">
        <f>IF(Table2[[#This Row],[Outstanding]]=0,"Settled",IF(Table2[[#This Row],[Outstanding]]&gt;0,"Outstanding"))</f>
        <v>Settled</v>
      </c>
      <c r="M324" s="5" t="str">
        <f>IF(Table2[[#This Row],[Advance Amount]]=Table2[[#This Row],[Expense Amount]]+Table2[[#This Row],[Return Amount]]+Table2[[#This Row],[Outstanding]],"Ok","Check")</f>
        <v>Ok</v>
      </c>
      <c r="N324" s="11">
        <f>IF(Table2[[#This Row],[Status]]="Settled",0,$Q$2-Table2[[#This Row],[Date]])</f>
        <v>0</v>
      </c>
      <c r="O324" s="5" t="str">
        <f>IF(Table2[[#This Row],[Age Days]]&lt;=7,"Normal",IF(Table2[[#This Row],[Age Days]]&lt;=14,"Perlu Dipantau",IF(Table2[[#This Row],[Age Days]]&lt;=30,"Perlu Ditindaklanjuti","Overdue")))</f>
        <v>Normal</v>
      </c>
    </row>
    <row r="325" spans="1:15" x14ac:dyDescent="0.3">
      <c r="A325" t="s">
        <v>409</v>
      </c>
      <c r="B325" s="3">
        <v>46103</v>
      </c>
      <c r="C325" t="s">
        <v>53</v>
      </c>
      <c r="D325" t="s">
        <v>54</v>
      </c>
      <c r="E325" t="s">
        <v>43</v>
      </c>
      <c r="F325" t="s">
        <v>20</v>
      </c>
      <c r="G325" t="s">
        <v>28</v>
      </c>
      <c r="H325" s="5">
        <v>105000</v>
      </c>
      <c r="I325" s="5">
        <v>0</v>
      </c>
      <c r="J325" s="5">
        <v>0</v>
      </c>
      <c r="K325" s="5">
        <f>Table2[[#This Row],[Advance Amount]]-Table2[[#This Row],[Expense Amount]]-Table2[[#This Row],[Return Amount]]</f>
        <v>105000</v>
      </c>
      <c r="L325" s="5" t="str">
        <f>IF(Table2[[#This Row],[Outstanding]]=0,"Settled",IF(Table2[[#This Row],[Outstanding]]&gt;0,"Outstanding"))</f>
        <v>Outstanding</v>
      </c>
      <c r="M325" s="5" t="str">
        <f>IF(Table2[[#This Row],[Advance Amount]]=Table2[[#This Row],[Expense Amount]]+Table2[[#This Row],[Return Amount]]+Table2[[#This Row],[Outstanding]],"Ok","Check")</f>
        <v>Ok</v>
      </c>
      <c r="N325" s="11">
        <f>IF(Table2[[#This Row],[Status]]="Settled",0,$Q$2-Table2[[#This Row],[Date]])</f>
        <v>162</v>
      </c>
      <c r="O325" s="5" t="str">
        <f>IF(Table2[[#This Row],[Age Days]]&lt;=7,"Normal",IF(Table2[[#This Row],[Age Days]]&lt;=14,"Perlu Dipantau",IF(Table2[[#This Row],[Age Days]]&lt;=30,"Perlu Ditindaklanjuti","Overdue")))</f>
        <v>Overdue</v>
      </c>
    </row>
    <row r="326" spans="1:15" x14ac:dyDescent="0.3">
      <c r="A326" t="s">
        <v>410</v>
      </c>
      <c r="B326" s="3">
        <v>46104</v>
      </c>
      <c r="C326" t="s">
        <v>48</v>
      </c>
      <c r="D326" t="s">
        <v>49</v>
      </c>
      <c r="E326" t="s">
        <v>19</v>
      </c>
      <c r="F326" t="s">
        <v>14</v>
      </c>
      <c r="G326" t="s">
        <v>15</v>
      </c>
      <c r="H326" s="5">
        <v>1225000</v>
      </c>
      <c r="I326" s="5">
        <v>950000</v>
      </c>
      <c r="J326" s="5">
        <v>275000</v>
      </c>
      <c r="K326" s="5">
        <f>Table2[[#This Row],[Advance Amount]]-Table2[[#This Row],[Expense Amount]]-Table2[[#This Row],[Return Amount]]</f>
        <v>0</v>
      </c>
      <c r="L326" s="5" t="str">
        <f>IF(Table2[[#This Row],[Outstanding]]=0,"Settled",IF(Table2[[#This Row],[Outstanding]]&gt;0,"Outstanding"))</f>
        <v>Settled</v>
      </c>
      <c r="M326" s="5" t="str">
        <f>IF(Table2[[#This Row],[Advance Amount]]=Table2[[#This Row],[Expense Amount]]+Table2[[#This Row],[Return Amount]]+Table2[[#This Row],[Outstanding]],"Ok","Check")</f>
        <v>Ok</v>
      </c>
      <c r="N326" s="11">
        <f>IF(Table2[[#This Row],[Status]]="Settled",0,$Q$2-Table2[[#This Row],[Date]])</f>
        <v>0</v>
      </c>
      <c r="O326" s="5" t="str">
        <f>IF(Table2[[#This Row],[Age Days]]&lt;=7,"Normal",IF(Table2[[#This Row],[Age Days]]&lt;=14,"Perlu Dipantau",IF(Table2[[#This Row],[Age Days]]&lt;=30,"Perlu Ditindaklanjuti","Overdue")))</f>
        <v>Normal</v>
      </c>
    </row>
    <row r="327" spans="1:15" x14ac:dyDescent="0.3">
      <c r="A327" t="s">
        <v>411</v>
      </c>
      <c r="B327" s="3">
        <v>46104</v>
      </c>
      <c r="C327" t="s">
        <v>62</v>
      </c>
      <c r="D327" t="s">
        <v>63</v>
      </c>
      <c r="E327" t="s">
        <v>52</v>
      </c>
      <c r="F327" t="s">
        <v>20</v>
      </c>
      <c r="G327" t="s">
        <v>40</v>
      </c>
      <c r="H327" s="5">
        <v>625000</v>
      </c>
      <c r="I327" s="5">
        <v>625000</v>
      </c>
      <c r="J327" s="5">
        <v>0</v>
      </c>
      <c r="K327" s="5">
        <f>Table2[[#This Row],[Advance Amount]]-Table2[[#This Row],[Expense Amount]]-Table2[[#This Row],[Return Amount]]</f>
        <v>0</v>
      </c>
      <c r="L327" s="5" t="str">
        <f>IF(Table2[[#This Row],[Outstanding]]=0,"Settled",IF(Table2[[#This Row],[Outstanding]]&gt;0,"Outstanding"))</f>
        <v>Settled</v>
      </c>
      <c r="M327" s="5" t="str">
        <f>IF(Table2[[#This Row],[Advance Amount]]=Table2[[#This Row],[Expense Amount]]+Table2[[#This Row],[Return Amount]]+Table2[[#This Row],[Outstanding]],"Ok","Check")</f>
        <v>Ok</v>
      </c>
      <c r="N327" s="11">
        <f>IF(Table2[[#This Row],[Status]]="Settled",0,$Q$2-Table2[[#This Row],[Date]])</f>
        <v>0</v>
      </c>
      <c r="O327" s="5" t="str">
        <f>IF(Table2[[#This Row],[Age Days]]&lt;=7,"Normal",IF(Table2[[#This Row],[Age Days]]&lt;=14,"Perlu Dipantau",IF(Table2[[#This Row],[Age Days]]&lt;=30,"Perlu Ditindaklanjuti","Overdue")))</f>
        <v>Normal</v>
      </c>
    </row>
    <row r="328" spans="1:15" x14ac:dyDescent="0.3">
      <c r="A328" t="s">
        <v>412</v>
      </c>
      <c r="B328" s="3">
        <v>46104</v>
      </c>
      <c r="C328" t="s">
        <v>64</v>
      </c>
      <c r="D328" t="s">
        <v>65</v>
      </c>
      <c r="E328" t="s">
        <v>37</v>
      </c>
      <c r="F328" t="s">
        <v>20</v>
      </c>
      <c r="G328" t="s">
        <v>40</v>
      </c>
      <c r="H328" s="5">
        <v>400000</v>
      </c>
      <c r="I328" s="5">
        <v>325000</v>
      </c>
      <c r="J328" s="5">
        <v>75000</v>
      </c>
      <c r="K328" s="5">
        <f>Table2[[#This Row],[Advance Amount]]-Table2[[#This Row],[Expense Amount]]-Table2[[#This Row],[Return Amount]]</f>
        <v>0</v>
      </c>
      <c r="L328" s="5" t="str">
        <f>IF(Table2[[#This Row],[Outstanding]]=0,"Settled",IF(Table2[[#This Row],[Outstanding]]&gt;0,"Outstanding"))</f>
        <v>Settled</v>
      </c>
      <c r="M328" s="5" t="str">
        <f>IF(Table2[[#This Row],[Advance Amount]]=Table2[[#This Row],[Expense Amount]]+Table2[[#This Row],[Return Amount]]+Table2[[#This Row],[Outstanding]],"Ok","Check")</f>
        <v>Ok</v>
      </c>
      <c r="N328" s="11">
        <f>IF(Table2[[#This Row],[Status]]="Settled",0,$Q$2-Table2[[#This Row],[Date]])</f>
        <v>0</v>
      </c>
      <c r="O328" s="5" t="str">
        <f>IF(Table2[[#This Row],[Age Days]]&lt;=7,"Normal",IF(Table2[[#This Row],[Age Days]]&lt;=14,"Perlu Dipantau",IF(Table2[[#This Row],[Age Days]]&lt;=30,"Perlu Ditindaklanjuti","Overdue")))</f>
        <v>Normal</v>
      </c>
    </row>
    <row r="329" spans="1:15" x14ac:dyDescent="0.3">
      <c r="A329" t="s">
        <v>413</v>
      </c>
      <c r="B329" s="3">
        <v>46105</v>
      </c>
      <c r="C329" t="s">
        <v>17</v>
      </c>
      <c r="D329" t="s">
        <v>18</v>
      </c>
      <c r="E329" t="s">
        <v>19</v>
      </c>
      <c r="F329" t="s">
        <v>20</v>
      </c>
      <c r="G329" t="s">
        <v>57</v>
      </c>
      <c r="H329" s="5">
        <v>455000</v>
      </c>
      <c r="I329" s="5">
        <v>325000</v>
      </c>
      <c r="J329" s="5">
        <v>130000</v>
      </c>
      <c r="K329" s="5">
        <f>Table2[[#This Row],[Advance Amount]]-Table2[[#This Row],[Expense Amount]]-Table2[[#This Row],[Return Amount]]</f>
        <v>0</v>
      </c>
      <c r="L329" s="5" t="str">
        <f>IF(Table2[[#This Row],[Outstanding]]=0,"Settled",IF(Table2[[#This Row],[Outstanding]]&gt;0,"Outstanding"))</f>
        <v>Settled</v>
      </c>
      <c r="M329" s="5" t="str">
        <f>IF(Table2[[#This Row],[Advance Amount]]=Table2[[#This Row],[Expense Amount]]+Table2[[#This Row],[Return Amount]]+Table2[[#This Row],[Outstanding]],"Ok","Check")</f>
        <v>Ok</v>
      </c>
      <c r="N329" s="11">
        <f>IF(Table2[[#This Row],[Status]]="Settled",0,$Q$2-Table2[[#This Row],[Date]])</f>
        <v>0</v>
      </c>
      <c r="O329" s="5" t="str">
        <f>IF(Table2[[#This Row],[Age Days]]&lt;=7,"Normal",IF(Table2[[#This Row],[Age Days]]&lt;=14,"Perlu Dipantau",IF(Table2[[#This Row],[Age Days]]&lt;=30,"Perlu Ditindaklanjuti","Overdue")))</f>
        <v>Normal</v>
      </c>
    </row>
    <row r="330" spans="1:15" x14ac:dyDescent="0.3">
      <c r="A330" t="s">
        <v>414</v>
      </c>
      <c r="B330" s="3">
        <v>46105</v>
      </c>
      <c r="C330" t="s">
        <v>59</v>
      </c>
      <c r="D330" t="s">
        <v>60</v>
      </c>
      <c r="E330" t="s">
        <v>19</v>
      </c>
      <c r="F330" t="s">
        <v>20</v>
      </c>
      <c r="G330" t="s">
        <v>58</v>
      </c>
      <c r="H330" s="5">
        <v>525000</v>
      </c>
      <c r="I330" s="5">
        <v>425000</v>
      </c>
      <c r="J330" s="5">
        <v>100000</v>
      </c>
      <c r="K330" s="5">
        <f>Table2[[#This Row],[Advance Amount]]-Table2[[#This Row],[Expense Amount]]-Table2[[#This Row],[Return Amount]]</f>
        <v>0</v>
      </c>
      <c r="L330" s="5" t="str">
        <f>IF(Table2[[#This Row],[Outstanding]]=0,"Settled",IF(Table2[[#This Row],[Outstanding]]&gt;0,"Outstanding"))</f>
        <v>Settled</v>
      </c>
      <c r="M330" s="5" t="str">
        <f>IF(Table2[[#This Row],[Advance Amount]]=Table2[[#This Row],[Expense Amount]]+Table2[[#This Row],[Return Amount]]+Table2[[#This Row],[Outstanding]],"Ok","Check")</f>
        <v>Ok</v>
      </c>
      <c r="N330" s="11">
        <f>IF(Table2[[#This Row],[Status]]="Settled",0,$Q$2-Table2[[#This Row],[Date]])</f>
        <v>0</v>
      </c>
      <c r="O330" s="5" t="str">
        <f>IF(Table2[[#This Row],[Age Days]]&lt;=7,"Normal",IF(Table2[[#This Row],[Age Days]]&lt;=14,"Perlu Dipantau",IF(Table2[[#This Row],[Age Days]]&lt;=30,"Perlu Ditindaklanjuti","Overdue")))</f>
        <v>Normal</v>
      </c>
    </row>
    <row r="331" spans="1:15" x14ac:dyDescent="0.3">
      <c r="A331" t="s">
        <v>415</v>
      </c>
      <c r="B331" s="3">
        <v>46106</v>
      </c>
      <c r="C331" t="s">
        <v>41</v>
      </c>
      <c r="D331" t="s">
        <v>42</v>
      </c>
      <c r="E331" t="s">
        <v>43</v>
      </c>
      <c r="F331" t="s">
        <v>20</v>
      </c>
      <c r="G331" t="s">
        <v>34</v>
      </c>
      <c r="H331" s="5">
        <v>175000</v>
      </c>
      <c r="I331" s="5">
        <v>0</v>
      </c>
      <c r="J331" s="5">
        <v>0</v>
      </c>
      <c r="K331" s="5">
        <f>Table2[[#This Row],[Advance Amount]]-Table2[[#This Row],[Expense Amount]]-Table2[[#This Row],[Return Amount]]</f>
        <v>175000</v>
      </c>
      <c r="L331" s="5" t="str">
        <f>IF(Table2[[#This Row],[Outstanding]]=0,"Settled",IF(Table2[[#This Row],[Outstanding]]&gt;0,"Outstanding"))</f>
        <v>Outstanding</v>
      </c>
      <c r="M331" s="5" t="str">
        <f>IF(Table2[[#This Row],[Advance Amount]]=Table2[[#This Row],[Expense Amount]]+Table2[[#This Row],[Return Amount]]+Table2[[#This Row],[Outstanding]],"Ok","Check")</f>
        <v>Ok</v>
      </c>
      <c r="N331" s="11">
        <f>IF(Table2[[#This Row],[Status]]="Settled",0,$Q$2-Table2[[#This Row],[Date]])</f>
        <v>159</v>
      </c>
      <c r="O331" s="5" t="str">
        <f>IF(Table2[[#This Row],[Age Days]]&lt;=7,"Normal",IF(Table2[[#This Row],[Age Days]]&lt;=14,"Perlu Dipantau",IF(Table2[[#This Row],[Age Days]]&lt;=30,"Perlu Ditindaklanjuti","Overdue")))</f>
        <v>Overdue</v>
      </c>
    </row>
    <row r="332" spans="1:15" x14ac:dyDescent="0.3">
      <c r="A332" t="s">
        <v>416</v>
      </c>
      <c r="B332" s="3">
        <v>46106</v>
      </c>
      <c r="C332" t="s">
        <v>41</v>
      </c>
      <c r="D332" t="s">
        <v>42</v>
      </c>
      <c r="E332" t="s">
        <v>43</v>
      </c>
      <c r="F332" t="s">
        <v>14</v>
      </c>
      <c r="G332" t="s">
        <v>15</v>
      </c>
      <c r="H332" s="5">
        <v>2250000</v>
      </c>
      <c r="I332" s="5">
        <v>0</v>
      </c>
      <c r="J332" s="5">
        <v>0</v>
      </c>
      <c r="K332" s="5">
        <f>Table2[[#This Row],[Advance Amount]]-Table2[[#This Row],[Expense Amount]]-Table2[[#This Row],[Return Amount]]</f>
        <v>2250000</v>
      </c>
      <c r="L332" s="5" t="str">
        <f>IF(Table2[[#This Row],[Outstanding]]=0,"Settled",IF(Table2[[#This Row],[Outstanding]]&gt;0,"Outstanding"))</f>
        <v>Outstanding</v>
      </c>
      <c r="M332" s="5" t="str">
        <f>IF(Table2[[#This Row],[Advance Amount]]=Table2[[#This Row],[Expense Amount]]+Table2[[#This Row],[Return Amount]]+Table2[[#This Row],[Outstanding]],"Ok","Check")</f>
        <v>Ok</v>
      </c>
      <c r="N332" s="11">
        <f>IF(Table2[[#This Row],[Status]]="Settled",0,$Q$2-Table2[[#This Row],[Date]])</f>
        <v>159</v>
      </c>
      <c r="O332" s="5" t="str">
        <f>IF(Table2[[#This Row],[Age Days]]&lt;=7,"Normal",IF(Table2[[#This Row],[Age Days]]&lt;=14,"Perlu Dipantau",IF(Table2[[#This Row],[Age Days]]&lt;=30,"Perlu Ditindaklanjuti","Overdue")))</f>
        <v>Overdue</v>
      </c>
    </row>
    <row r="333" spans="1:15" x14ac:dyDescent="0.3">
      <c r="A333" t="s">
        <v>417</v>
      </c>
      <c r="B333" s="3">
        <v>46106</v>
      </c>
      <c r="C333" t="s">
        <v>35</v>
      </c>
      <c r="D333" t="s">
        <v>36</v>
      </c>
      <c r="E333" t="s">
        <v>37</v>
      </c>
      <c r="F333" t="s">
        <v>20</v>
      </c>
      <c r="G333" t="s">
        <v>34</v>
      </c>
      <c r="H333" s="5">
        <v>250000</v>
      </c>
      <c r="I333" s="5">
        <v>250000</v>
      </c>
      <c r="J333" s="5">
        <v>0</v>
      </c>
      <c r="K333" s="5">
        <f>Table2[[#This Row],[Advance Amount]]-Table2[[#This Row],[Expense Amount]]-Table2[[#This Row],[Return Amount]]</f>
        <v>0</v>
      </c>
      <c r="L333" s="5" t="str">
        <f>IF(Table2[[#This Row],[Outstanding]]=0,"Settled",IF(Table2[[#This Row],[Outstanding]]&gt;0,"Outstanding"))</f>
        <v>Settled</v>
      </c>
      <c r="M333" s="5" t="str">
        <f>IF(Table2[[#This Row],[Advance Amount]]=Table2[[#This Row],[Expense Amount]]+Table2[[#This Row],[Return Amount]]+Table2[[#This Row],[Outstanding]],"Ok","Check")</f>
        <v>Ok</v>
      </c>
      <c r="N333" s="11">
        <f>IF(Table2[[#This Row],[Status]]="Settled",0,$Q$2-Table2[[#This Row],[Date]])</f>
        <v>0</v>
      </c>
      <c r="O333" s="5" t="str">
        <f>IF(Table2[[#This Row],[Age Days]]&lt;=7,"Normal",IF(Table2[[#This Row],[Age Days]]&lt;=14,"Perlu Dipantau",IF(Table2[[#This Row],[Age Days]]&lt;=30,"Perlu Ditindaklanjuti","Overdue")))</f>
        <v>Normal</v>
      </c>
    </row>
    <row r="334" spans="1:15" x14ac:dyDescent="0.3">
      <c r="A334" t="s">
        <v>418</v>
      </c>
      <c r="B334" s="3">
        <v>46106</v>
      </c>
      <c r="C334" t="s">
        <v>38</v>
      </c>
      <c r="D334" t="s">
        <v>39</v>
      </c>
      <c r="E334" t="s">
        <v>24</v>
      </c>
      <c r="F334" t="s">
        <v>14</v>
      </c>
      <c r="G334" t="s">
        <v>40</v>
      </c>
      <c r="H334" s="5">
        <v>200000</v>
      </c>
      <c r="I334" s="5">
        <v>175000</v>
      </c>
      <c r="J334" s="5">
        <v>25000</v>
      </c>
      <c r="K334" s="5">
        <f>Table2[[#This Row],[Advance Amount]]-Table2[[#This Row],[Expense Amount]]-Table2[[#This Row],[Return Amount]]</f>
        <v>0</v>
      </c>
      <c r="L334" s="5" t="str">
        <f>IF(Table2[[#This Row],[Outstanding]]=0,"Settled",IF(Table2[[#This Row],[Outstanding]]&gt;0,"Outstanding"))</f>
        <v>Settled</v>
      </c>
      <c r="M334" s="5" t="str">
        <f>IF(Table2[[#This Row],[Advance Amount]]=Table2[[#This Row],[Expense Amount]]+Table2[[#This Row],[Return Amount]]+Table2[[#This Row],[Outstanding]],"Ok","Check")</f>
        <v>Ok</v>
      </c>
      <c r="N334" s="11">
        <f>IF(Table2[[#This Row],[Status]]="Settled",0,$Q$2-Table2[[#This Row],[Date]])</f>
        <v>0</v>
      </c>
      <c r="O334" s="5" t="str">
        <f>IF(Table2[[#This Row],[Age Days]]&lt;=7,"Normal",IF(Table2[[#This Row],[Age Days]]&lt;=14,"Perlu Dipantau",IF(Table2[[#This Row],[Age Days]]&lt;=30,"Perlu Ditindaklanjuti","Overdue")))</f>
        <v>Normal</v>
      </c>
    </row>
    <row r="335" spans="1:15" x14ac:dyDescent="0.3">
      <c r="A335" t="s">
        <v>419</v>
      </c>
      <c r="B335" s="3">
        <v>46106</v>
      </c>
      <c r="C335" t="s">
        <v>59</v>
      </c>
      <c r="D335" t="s">
        <v>60</v>
      </c>
      <c r="E335" t="s">
        <v>19</v>
      </c>
      <c r="F335" t="s">
        <v>14</v>
      </c>
      <c r="G335" t="s">
        <v>15</v>
      </c>
      <c r="H335" s="5">
        <v>825000</v>
      </c>
      <c r="I335" s="5">
        <v>625000</v>
      </c>
      <c r="J335" s="5">
        <v>200000</v>
      </c>
      <c r="K335" s="5">
        <f>Table2[[#This Row],[Advance Amount]]-Table2[[#This Row],[Expense Amount]]-Table2[[#This Row],[Return Amount]]</f>
        <v>0</v>
      </c>
      <c r="L335" s="5" t="str">
        <f>IF(Table2[[#This Row],[Outstanding]]=0,"Settled",IF(Table2[[#This Row],[Outstanding]]&gt;0,"Outstanding"))</f>
        <v>Settled</v>
      </c>
      <c r="M335" s="5" t="str">
        <f>IF(Table2[[#This Row],[Advance Amount]]=Table2[[#This Row],[Expense Amount]]+Table2[[#This Row],[Return Amount]]+Table2[[#This Row],[Outstanding]],"Ok","Check")</f>
        <v>Ok</v>
      </c>
      <c r="N335" s="11">
        <f>IF(Table2[[#This Row],[Status]]="Settled",0,$Q$2-Table2[[#This Row],[Date]])</f>
        <v>0</v>
      </c>
      <c r="O335" s="5" t="str">
        <f>IF(Table2[[#This Row],[Age Days]]&lt;=7,"Normal",IF(Table2[[#This Row],[Age Days]]&lt;=14,"Perlu Dipantau",IF(Table2[[#This Row],[Age Days]]&lt;=30,"Perlu Ditindaklanjuti","Overdue")))</f>
        <v>Normal</v>
      </c>
    </row>
    <row r="336" spans="1:15" x14ac:dyDescent="0.3">
      <c r="A336" t="s">
        <v>420</v>
      </c>
      <c r="B336" s="3">
        <v>46107</v>
      </c>
      <c r="C336" t="s">
        <v>55</v>
      </c>
      <c r="D336" t="s">
        <v>56</v>
      </c>
      <c r="E336" t="s">
        <v>24</v>
      </c>
      <c r="F336" t="s">
        <v>20</v>
      </c>
      <c r="G336" t="s">
        <v>34</v>
      </c>
      <c r="H336" s="5">
        <v>275000</v>
      </c>
      <c r="I336" s="5">
        <v>250000</v>
      </c>
      <c r="J336" s="5">
        <v>25000</v>
      </c>
      <c r="K336" s="5">
        <f>Table2[[#This Row],[Advance Amount]]-Table2[[#This Row],[Expense Amount]]-Table2[[#This Row],[Return Amount]]</f>
        <v>0</v>
      </c>
      <c r="L336" s="5" t="str">
        <f>IF(Table2[[#This Row],[Outstanding]]=0,"Settled",IF(Table2[[#This Row],[Outstanding]]&gt;0,"Outstanding"))</f>
        <v>Settled</v>
      </c>
      <c r="M336" s="5" t="str">
        <f>IF(Table2[[#This Row],[Advance Amount]]=Table2[[#This Row],[Expense Amount]]+Table2[[#This Row],[Return Amount]]+Table2[[#This Row],[Outstanding]],"Ok","Check")</f>
        <v>Ok</v>
      </c>
      <c r="N336" s="11">
        <f>IF(Table2[[#This Row],[Status]]="Settled",0,$Q$2-Table2[[#This Row],[Date]])</f>
        <v>0</v>
      </c>
      <c r="O336" s="5" t="str">
        <f>IF(Table2[[#This Row],[Age Days]]&lt;=7,"Normal",IF(Table2[[#This Row],[Age Days]]&lt;=14,"Perlu Dipantau",IF(Table2[[#This Row],[Age Days]]&lt;=30,"Perlu Ditindaklanjuti","Overdue")))</f>
        <v>Normal</v>
      </c>
    </row>
    <row r="337" spans="1:15" x14ac:dyDescent="0.3">
      <c r="A337" t="s">
        <v>421</v>
      </c>
      <c r="B337" s="3">
        <v>46107</v>
      </c>
      <c r="C337" t="s">
        <v>38</v>
      </c>
      <c r="D337" t="s">
        <v>39</v>
      </c>
      <c r="E337" t="s">
        <v>24</v>
      </c>
      <c r="F337" t="s">
        <v>20</v>
      </c>
      <c r="G337" t="s">
        <v>28</v>
      </c>
      <c r="H337" s="5">
        <v>180000</v>
      </c>
      <c r="I337" s="5">
        <v>125000</v>
      </c>
      <c r="J337" s="5">
        <v>55000</v>
      </c>
      <c r="K337" s="5">
        <f>Table2[[#This Row],[Advance Amount]]-Table2[[#This Row],[Expense Amount]]-Table2[[#This Row],[Return Amount]]</f>
        <v>0</v>
      </c>
      <c r="L337" s="5" t="str">
        <f>IF(Table2[[#This Row],[Outstanding]]=0,"Settled",IF(Table2[[#This Row],[Outstanding]]&gt;0,"Outstanding"))</f>
        <v>Settled</v>
      </c>
      <c r="M337" s="5" t="str">
        <f>IF(Table2[[#This Row],[Advance Amount]]=Table2[[#This Row],[Expense Amount]]+Table2[[#This Row],[Return Amount]]+Table2[[#This Row],[Outstanding]],"Ok","Check")</f>
        <v>Ok</v>
      </c>
      <c r="N337" s="11">
        <f>IF(Table2[[#This Row],[Status]]="Settled",0,$Q$2-Table2[[#This Row],[Date]])</f>
        <v>0</v>
      </c>
      <c r="O337" s="5" t="str">
        <f>IF(Table2[[#This Row],[Age Days]]&lt;=7,"Normal",IF(Table2[[#This Row],[Age Days]]&lt;=14,"Perlu Dipantau",IF(Table2[[#This Row],[Age Days]]&lt;=30,"Perlu Ditindaklanjuti","Overdue")))</f>
        <v>Normal</v>
      </c>
    </row>
    <row r="338" spans="1:15" x14ac:dyDescent="0.3">
      <c r="A338" t="s">
        <v>422</v>
      </c>
      <c r="B338" s="3">
        <v>46107</v>
      </c>
      <c r="C338" t="s">
        <v>17</v>
      </c>
      <c r="D338" t="s">
        <v>18</v>
      </c>
      <c r="E338" t="s">
        <v>19</v>
      </c>
      <c r="F338" t="s">
        <v>14</v>
      </c>
      <c r="G338" t="s">
        <v>28</v>
      </c>
      <c r="H338" s="5">
        <v>280000</v>
      </c>
      <c r="I338" s="5">
        <v>0</v>
      </c>
      <c r="J338" s="5">
        <v>0</v>
      </c>
      <c r="K338" s="5">
        <f>Table2[[#This Row],[Advance Amount]]-Table2[[#This Row],[Expense Amount]]-Table2[[#This Row],[Return Amount]]</f>
        <v>280000</v>
      </c>
      <c r="L338" s="5" t="str">
        <f>IF(Table2[[#This Row],[Outstanding]]=0,"Settled",IF(Table2[[#This Row],[Outstanding]]&gt;0,"Outstanding"))</f>
        <v>Outstanding</v>
      </c>
      <c r="M338" s="5" t="str">
        <f>IF(Table2[[#This Row],[Advance Amount]]=Table2[[#This Row],[Expense Amount]]+Table2[[#This Row],[Return Amount]]+Table2[[#This Row],[Outstanding]],"Ok","Check")</f>
        <v>Ok</v>
      </c>
      <c r="N338" s="11">
        <f>IF(Table2[[#This Row],[Status]]="Settled",0,$Q$2-Table2[[#This Row],[Date]])</f>
        <v>158</v>
      </c>
      <c r="O338" s="5" t="str">
        <f>IF(Table2[[#This Row],[Age Days]]&lt;=7,"Normal",IF(Table2[[#This Row],[Age Days]]&lt;=14,"Perlu Dipantau",IF(Table2[[#This Row],[Age Days]]&lt;=30,"Perlu Ditindaklanjuti","Overdue")))</f>
        <v>Overdue</v>
      </c>
    </row>
    <row r="339" spans="1:15" x14ac:dyDescent="0.3">
      <c r="A339" t="s">
        <v>423</v>
      </c>
      <c r="B339" s="3">
        <v>46107</v>
      </c>
      <c r="C339" t="s">
        <v>50</v>
      </c>
      <c r="D339" t="s">
        <v>51</v>
      </c>
      <c r="E339" t="s">
        <v>52</v>
      </c>
      <c r="F339" t="s">
        <v>14</v>
      </c>
      <c r="G339" t="s">
        <v>15</v>
      </c>
      <c r="H339" s="5">
        <v>1250000</v>
      </c>
      <c r="I339" s="5">
        <v>1050000</v>
      </c>
      <c r="J339" s="5">
        <v>200000</v>
      </c>
      <c r="K339" s="5">
        <f>Table2[[#This Row],[Advance Amount]]-Table2[[#This Row],[Expense Amount]]-Table2[[#This Row],[Return Amount]]</f>
        <v>0</v>
      </c>
      <c r="L339" s="5" t="str">
        <f>IF(Table2[[#This Row],[Outstanding]]=0,"Settled",IF(Table2[[#This Row],[Outstanding]]&gt;0,"Outstanding"))</f>
        <v>Settled</v>
      </c>
      <c r="M339" s="5" t="str">
        <f>IF(Table2[[#This Row],[Advance Amount]]=Table2[[#This Row],[Expense Amount]]+Table2[[#This Row],[Return Amount]]+Table2[[#This Row],[Outstanding]],"Ok","Check")</f>
        <v>Ok</v>
      </c>
      <c r="N339" s="11">
        <f>IF(Table2[[#This Row],[Status]]="Settled",0,$Q$2-Table2[[#This Row],[Date]])</f>
        <v>0</v>
      </c>
      <c r="O339" s="5" t="str">
        <f>IF(Table2[[#This Row],[Age Days]]&lt;=7,"Normal",IF(Table2[[#This Row],[Age Days]]&lt;=14,"Perlu Dipantau",IF(Table2[[#This Row],[Age Days]]&lt;=30,"Perlu Ditindaklanjuti","Overdue")))</f>
        <v>Normal</v>
      </c>
    </row>
    <row r="340" spans="1:15" x14ac:dyDescent="0.3">
      <c r="A340" t="s">
        <v>424</v>
      </c>
      <c r="B340" s="3">
        <v>46107</v>
      </c>
      <c r="C340" t="s">
        <v>64</v>
      </c>
      <c r="D340" t="s">
        <v>65</v>
      </c>
      <c r="E340" t="s">
        <v>37</v>
      </c>
      <c r="F340" t="s">
        <v>14</v>
      </c>
      <c r="G340" t="s">
        <v>61</v>
      </c>
      <c r="H340" s="5">
        <v>250000</v>
      </c>
      <c r="I340" s="5">
        <v>0</v>
      </c>
      <c r="J340" s="5">
        <v>0</v>
      </c>
      <c r="K340" s="5">
        <f>Table2[[#This Row],[Advance Amount]]-Table2[[#This Row],[Expense Amount]]-Table2[[#This Row],[Return Amount]]</f>
        <v>250000</v>
      </c>
      <c r="L340" s="5" t="str">
        <f>IF(Table2[[#This Row],[Outstanding]]=0,"Settled",IF(Table2[[#This Row],[Outstanding]]&gt;0,"Outstanding"))</f>
        <v>Outstanding</v>
      </c>
      <c r="M340" s="5" t="str">
        <f>IF(Table2[[#This Row],[Advance Amount]]=Table2[[#This Row],[Expense Amount]]+Table2[[#This Row],[Return Amount]]+Table2[[#This Row],[Outstanding]],"Ok","Check")</f>
        <v>Ok</v>
      </c>
      <c r="N340" s="11">
        <f>IF(Table2[[#This Row],[Status]]="Settled",0,$Q$2-Table2[[#This Row],[Date]])</f>
        <v>158</v>
      </c>
      <c r="O340" s="5" t="str">
        <f>IF(Table2[[#This Row],[Age Days]]&lt;=7,"Normal",IF(Table2[[#This Row],[Age Days]]&lt;=14,"Perlu Dipantau",IF(Table2[[#This Row],[Age Days]]&lt;=30,"Perlu Ditindaklanjuti","Overdue")))</f>
        <v>Overdue</v>
      </c>
    </row>
    <row r="341" spans="1:15" x14ac:dyDescent="0.3">
      <c r="A341" t="s">
        <v>425</v>
      </c>
      <c r="B341" s="3">
        <v>46107</v>
      </c>
      <c r="C341" t="s">
        <v>22</v>
      </c>
      <c r="D341" t="s">
        <v>23</v>
      </c>
      <c r="E341" t="s">
        <v>24</v>
      </c>
      <c r="F341" t="s">
        <v>20</v>
      </c>
      <c r="G341" t="s">
        <v>57</v>
      </c>
      <c r="H341" s="5">
        <v>430000</v>
      </c>
      <c r="I341" s="5">
        <v>0</v>
      </c>
      <c r="J341" s="5">
        <v>0</v>
      </c>
      <c r="K341" s="5">
        <f>Table2[[#This Row],[Advance Amount]]-Table2[[#This Row],[Expense Amount]]-Table2[[#This Row],[Return Amount]]</f>
        <v>430000</v>
      </c>
      <c r="L341" s="5" t="str">
        <f>IF(Table2[[#This Row],[Outstanding]]=0,"Settled",IF(Table2[[#This Row],[Outstanding]]&gt;0,"Outstanding"))</f>
        <v>Outstanding</v>
      </c>
      <c r="M341" s="5" t="str">
        <f>IF(Table2[[#This Row],[Advance Amount]]=Table2[[#This Row],[Expense Amount]]+Table2[[#This Row],[Return Amount]]+Table2[[#This Row],[Outstanding]],"Ok","Check")</f>
        <v>Ok</v>
      </c>
      <c r="N341" s="11">
        <f>IF(Table2[[#This Row],[Status]]="Settled",0,$Q$2-Table2[[#This Row],[Date]])</f>
        <v>158</v>
      </c>
      <c r="O341" s="5" t="str">
        <f>IF(Table2[[#This Row],[Age Days]]&lt;=7,"Normal",IF(Table2[[#This Row],[Age Days]]&lt;=14,"Perlu Dipantau",IF(Table2[[#This Row],[Age Days]]&lt;=30,"Perlu Ditindaklanjuti","Overdue")))</f>
        <v>Overdue</v>
      </c>
    </row>
    <row r="342" spans="1:15" x14ac:dyDescent="0.3">
      <c r="A342" t="s">
        <v>426</v>
      </c>
      <c r="B342" s="3">
        <v>46108</v>
      </c>
      <c r="C342" t="s">
        <v>62</v>
      </c>
      <c r="D342" t="s">
        <v>63</v>
      </c>
      <c r="E342" t="s">
        <v>52</v>
      </c>
      <c r="F342" t="s">
        <v>14</v>
      </c>
      <c r="G342" t="s">
        <v>57</v>
      </c>
      <c r="H342" s="5">
        <v>255000</v>
      </c>
      <c r="I342" s="5">
        <v>225000</v>
      </c>
      <c r="J342" s="5">
        <v>30000</v>
      </c>
      <c r="K342" s="5">
        <f>Table2[[#This Row],[Advance Amount]]-Table2[[#This Row],[Expense Amount]]-Table2[[#This Row],[Return Amount]]</f>
        <v>0</v>
      </c>
      <c r="L342" s="5" t="str">
        <f>IF(Table2[[#This Row],[Outstanding]]=0,"Settled",IF(Table2[[#This Row],[Outstanding]]&gt;0,"Outstanding"))</f>
        <v>Settled</v>
      </c>
      <c r="M342" s="5" t="str">
        <f>IF(Table2[[#This Row],[Advance Amount]]=Table2[[#This Row],[Expense Amount]]+Table2[[#This Row],[Return Amount]]+Table2[[#This Row],[Outstanding]],"Ok","Check")</f>
        <v>Ok</v>
      </c>
      <c r="N342" s="11">
        <f>IF(Table2[[#This Row],[Status]]="Settled",0,$Q$2-Table2[[#This Row],[Date]])</f>
        <v>0</v>
      </c>
      <c r="O342" s="5" t="str">
        <f>IF(Table2[[#This Row],[Age Days]]&lt;=7,"Normal",IF(Table2[[#This Row],[Age Days]]&lt;=14,"Perlu Dipantau",IF(Table2[[#This Row],[Age Days]]&lt;=30,"Perlu Ditindaklanjuti","Overdue")))</f>
        <v>Normal</v>
      </c>
    </row>
    <row r="343" spans="1:15" x14ac:dyDescent="0.3">
      <c r="A343" t="s">
        <v>427</v>
      </c>
      <c r="B343" s="3">
        <v>46108</v>
      </c>
      <c r="C343" t="s">
        <v>35</v>
      </c>
      <c r="D343" t="s">
        <v>36</v>
      </c>
      <c r="E343" t="s">
        <v>37</v>
      </c>
      <c r="F343" t="s">
        <v>14</v>
      </c>
      <c r="G343" t="s">
        <v>40</v>
      </c>
      <c r="H343" s="5">
        <v>475000</v>
      </c>
      <c r="I343" s="5">
        <v>425000</v>
      </c>
      <c r="J343" s="5">
        <v>50000</v>
      </c>
      <c r="K343" s="5">
        <f>Table2[[#This Row],[Advance Amount]]-Table2[[#This Row],[Expense Amount]]-Table2[[#This Row],[Return Amount]]</f>
        <v>0</v>
      </c>
      <c r="L343" s="5" t="str">
        <f>IF(Table2[[#This Row],[Outstanding]]=0,"Settled",IF(Table2[[#This Row],[Outstanding]]&gt;0,"Outstanding"))</f>
        <v>Settled</v>
      </c>
      <c r="M343" s="5" t="str">
        <f>IF(Table2[[#This Row],[Advance Amount]]=Table2[[#This Row],[Expense Amount]]+Table2[[#This Row],[Return Amount]]+Table2[[#This Row],[Outstanding]],"Ok","Check")</f>
        <v>Ok</v>
      </c>
      <c r="N343" s="11">
        <f>IF(Table2[[#This Row],[Status]]="Settled",0,$Q$2-Table2[[#This Row],[Date]])</f>
        <v>0</v>
      </c>
      <c r="O343" s="5" t="str">
        <f>IF(Table2[[#This Row],[Age Days]]&lt;=7,"Normal",IF(Table2[[#This Row],[Age Days]]&lt;=14,"Perlu Dipantau",IF(Table2[[#This Row],[Age Days]]&lt;=30,"Perlu Ditindaklanjuti","Overdue")))</f>
        <v>Normal</v>
      </c>
    </row>
    <row r="344" spans="1:15" x14ac:dyDescent="0.3">
      <c r="A344" t="s">
        <v>428</v>
      </c>
      <c r="B344" s="3">
        <v>46108</v>
      </c>
      <c r="C344" t="s">
        <v>35</v>
      </c>
      <c r="D344" t="s">
        <v>36</v>
      </c>
      <c r="E344" t="s">
        <v>37</v>
      </c>
      <c r="F344" t="s">
        <v>20</v>
      </c>
      <c r="G344" t="s">
        <v>31</v>
      </c>
      <c r="H344" s="5">
        <v>1200000</v>
      </c>
      <c r="I344" s="5">
        <v>925000</v>
      </c>
      <c r="J344" s="5">
        <v>275000</v>
      </c>
      <c r="K344" s="5">
        <f>Table2[[#This Row],[Advance Amount]]-Table2[[#This Row],[Expense Amount]]-Table2[[#This Row],[Return Amount]]</f>
        <v>0</v>
      </c>
      <c r="L344" s="5" t="str">
        <f>IF(Table2[[#This Row],[Outstanding]]=0,"Settled",IF(Table2[[#This Row],[Outstanding]]&gt;0,"Outstanding"))</f>
        <v>Settled</v>
      </c>
      <c r="M344" s="5" t="str">
        <f>IF(Table2[[#This Row],[Advance Amount]]=Table2[[#This Row],[Expense Amount]]+Table2[[#This Row],[Return Amount]]+Table2[[#This Row],[Outstanding]],"Ok","Check")</f>
        <v>Ok</v>
      </c>
      <c r="N344" s="11">
        <f>IF(Table2[[#This Row],[Status]]="Settled",0,$Q$2-Table2[[#This Row],[Date]])</f>
        <v>0</v>
      </c>
      <c r="O344" s="5" t="str">
        <f>IF(Table2[[#This Row],[Age Days]]&lt;=7,"Normal",IF(Table2[[#This Row],[Age Days]]&lt;=14,"Perlu Dipantau",IF(Table2[[#This Row],[Age Days]]&lt;=30,"Perlu Ditindaklanjuti","Overdue")))</f>
        <v>Normal</v>
      </c>
    </row>
    <row r="345" spans="1:15" x14ac:dyDescent="0.3">
      <c r="A345" t="s">
        <v>429</v>
      </c>
      <c r="B345" s="3">
        <v>46108</v>
      </c>
      <c r="C345" t="s">
        <v>68</v>
      </c>
      <c r="D345" t="s">
        <v>69</v>
      </c>
      <c r="E345" t="s">
        <v>27</v>
      </c>
      <c r="F345" t="s">
        <v>14</v>
      </c>
      <c r="G345" t="s">
        <v>31</v>
      </c>
      <c r="H345" s="5">
        <v>1300000</v>
      </c>
      <c r="I345" s="5">
        <v>1150000</v>
      </c>
      <c r="J345" s="5">
        <v>150000</v>
      </c>
      <c r="K345" s="5">
        <f>Table2[[#This Row],[Advance Amount]]-Table2[[#This Row],[Expense Amount]]-Table2[[#This Row],[Return Amount]]</f>
        <v>0</v>
      </c>
      <c r="L345" s="5" t="str">
        <f>IF(Table2[[#This Row],[Outstanding]]=0,"Settled",IF(Table2[[#This Row],[Outstanding]]&gt;0,"Outstanding"))</f>
        <v>Settled</v>
      </c>
      <c r="M345" s="5" t="str">
        <f>IF(Table2[[#This Row],[Advance Amount]]=Table2[[#This Row],[Expense Amount]]+Table2[[#This Row],[Return Amount]]+Table2[[#This Row],[Outstanding]],"Ok","Check")</f>
        <v>Ok</v>
      </c>
      <c r="N345" s="11">
        <f>IF(Table2[[#This Row],[Status]]="Settled",0,$Q$2-Table2[[#This Row],[Date]])</f>
        <v>0</v>
      </c>
      <c r="O345" s="5" t="str">
        <f>IF(Table2[[#This Row],[Age Days]]&lt;=7,"Normal",IF(Table2[[#This Row],[Age Days]]&lt;=14,"Perlu Dipantau",IF(Table2[[#This Row],[Age Days]]&lt;=30,"Perlu Ditindaklanjuti","Overdue")))</f>
        <v>Normal</v>
      </c>
    </row>
    <row r="346" spans="1:15" x14ac:dyDescent="0.3">
      <c r="A346" t="s">
        <v>430</v>
      </c>
      <c r="B346" s="3">
        <v>46108</v>
      </c>
      <c r="C346" t="s">
        <v>44</v>
      </c>
      <c r="D346" t="s">
        <v>45</v>
      </c>
      <c r="E346" t="s">
        <v>43</v>
      </c>
      <c r="F346" t="s">
        <v>20</v>
      </c>
      <c r="G346" t="s">
        <v>61</v>
      </c>
      <c r="H346" s="5">
        <v>500000</v>
      </c>
      <c r="I346" s="5">
        <v>0</v>
      </c>
      <c r="J346" s="5">
        <v>0</v>
      </c>
      <c r="K346" s="5">
        <f>Table2[[#This Row],[Advance Amount]]-Table2[[#This Row],[Expense Amount]]-Table2[[#This Row],[Return Amount]]</f>
        <v>500000</v>
      </c>
      <c r="L346" s="5" t="str">
        <f>IF(Table2[[#This Row],[Outstanding]]=0,"Settled",IF(Table2[[#This Row],[Outstanding]]&gt;0,"Outstanding"))</f>
        <v>Outstanding</v>
      </c>
      <c r="M346" s="5" t="str">
        <f>IF(Table2[[#This Row],[Advance Amount]]=Table2[[#This Row],[Expense Amount]]+Table2[[#This Row],[Return Amount]]+Table2[[#This Row],[Outstanding]],"Ok","Check")</f>
        <v>Ok</v>
      </c>
      <c r="N346" s="11">
        <f>IF(Table2[[#This Row],[Status]]="Settled",0,$Q$2-Table2[[#This Row],[Date]])</f>
        <v>157</v>
      </c>
      <c r="O346" s="5" t="str">
        <f>IF(Table2[[#This Row],[Age Days]]&lt;=7,"Normal",IF(Table2[[#This Row],[Age Days]]&lt;=14,"Perlu Dipantau",IF(Table2[[#This Row],[Age Days]]&lt;=30,"Perlu Ditindaklanjuti","Overdue")))</f>
        <v>Overdue</v>
      </c>
    </row>
    <row r="347" spans="1:15" x14ac:dyDescent="0.3">
      <c r="A347" t="s">
        <v>431</v>
      </c>
      <c r="B347" s="3">
        <v>46108</v>
      </c>
      <c r="C347" t="s">
        <v>22</v>
      </c>
      <c r="D347" t="s">
        <v>23</v>
      </c>
      <c r="E347" t="s">
        <v>24</v>
      </c>
      <c r="F347" t="s">
        <v>20</v>
      </c>
      <c r="G347" t="s">
        <v>34</v>
      </c>
      <c r="H347" s="5">
        <v>250000</v>
      </c>
      <c r="I347" s="5">
        <v>0</v>
      </c>
      <c r="J347" s="5">
        <v>0</v>
      </c>
      <c r="K347" s="5">
        <f>Table2[[#This Row],[Advance Amount]]-Table2[[#This Row],[Expense Amount]]-Table2[[#This Row],[Return Amount]]</f>
        <v>250000</v>
      </c>
      <c r="L347" s="5" t="str">
        <f>IF(Table2[[#This Row],[Outstanding]]=0,"Settled",IF(Table2[[#This Row],[Outstanding]]&gt;0,"Outstanding"))</f>
        <v>Outstanding</v>
      </c>
      <c r="M347" s="5" t="str">
        <f>IF(Table2[[#This Row],[Advance Amount]]=Table2[[#This Row],[Expense Amount]]+Table2[[#This Row],[Return Amount]]+Table2[[#This Row],[Outstanding]],"Ok","Check")</f>
        <v>Ok</v>
      </c>
      <c r="N347" s="11">
        <f>IF(Table2[[#This Row],[Status]]="Settled",0,$Q$2-Table2[[#This Row],[Date]])</f>
        <v>157</v>
      </c>
      <c r="O347" s="5" t="str">
        <f>IF(Table2[[#This Row],[Age Days]]&lt;=7,"Normal",IF(Table2[[#This Row],[Age Days]]&lt;=14,"Perlu Dipantau",IF(Table2[[#This Row],[Age Days]]&lt;=30,"Perlu Ditindaklanjuti","Overdue")))</f>
        <v>Overdue</v>
      </c>
    </row>
    <row r="348" spans="1:15" x14ac:dyDescent="0.3">
      <c r="A348" t="s">
        <v>432</v>
      </c>
      <c r="B348" s="3">
        <v>46108</v>
      </c>
      <c r="C348" t="s">
        <v>59</v>
      </c>
      <c r="D348" t="s">
        <v>60</v>
      </c>
      <c r="E348" t="s">
        <v>19</v>
      </c>
      <c r="F348" t="s">
        <v>20</v>
      </c>
      <c r="G348" t="s">
        <v>57</v>
      </c>
      <c r="H348" s="5">
        <v>105000</v>
      </c>
      <c r="I348" s="5">
        <v>100000</v>
      </c>
      <c r="J348" s="5">
        <v>5000</v>
      </c>
      <c r="K348" s="5">
        <f>Table2[[#This Row],[Advance Amount]]-Table2[[#This Row],[Expense Amount]]-Table2[[#This Row],[Return Amount]]</f>
        <v>0</v>
      </c>
      <c r="L348" s="5" t="str">
        <f>IF(Table2[[#This Row],[Outstanding]]=0,"Settled",IF(Table2[[#This Row],[Outstanding]]&gt;0,"Outstanding"))</f>
        <v>Settled</v>
      </c>
      <c r="M348" s="5" t="str">
        <f>IF(Table2[[#This Row],[Advance Amount]]=Table2[[#This Row],[Expense Amount]]+Table2[[#This Row],[Return Amount]]+Table2[[#This Row],[Outstanding]],"Ok","Check")</f>
        <v>Ok</v>
      </c>
      <c r="N348" s="11">
        <f>IF(Table2[[#This Row],[Status]]="Settled",0,$Q$2-Table2[[#This Row],[Date]])</f>
        <v>0</v>
      </c>
      <c r="O348" s="5" t="str">
        <f>IF(Table2[[#This Row],[Age Days]]&lt;=7,"Normal",IF(Table2[[#This Row],[Age Days]]&lt;=14,"Perlu Dipantau",IF(Table2[[#This Row],[Age Days]]&lt;=30,"Perlu Ditindaklanjuti","Overdue")))</f>
        <v>Normal</v>
      </c>
    </row>
    <row r="349" spans="1:15" x14ac:dyDescent="0.3">
      <c r="A349" t="s">
        <v>433</v>
      </c>
      <c r="B349" s="3">
        <v>46109</v>
      </c>
      <c r="C349" t="s">
        <v>41</v>
      </c>
      <c r="D349" t="s">
        <v>42</v>
      </c>
      <c r="E349" t="s">
        <v>43</v>
      </c>
      <c r="F349" t="s">
        <v>14</v>
      </c>
      <c r="G349" t="s">
        <v>40</v>
      </c>
      <c r="H349" s="5">
        <v>500000</v>
      </c>
      <c r="I349" s="5">
        <v>0</v>
      </c>
      <c r="J349" s="5">
        <v>0</v>
      </c>
      <c r="K349" s="5">
        <f>Table2[[#This Row],[Advance Amount]]-Table2[[#This Row],[Expense Amount]]-Table2[[#This Row],[Return Amount]]</f>
        <v>500000</v>
      </c>
      <c r="L349" s="5" t="str">
        <f>IF(Table2[[#This Row],[Outstanding]]=0,"Settled",IF(Table2[[#This Row],[Outstanding]]&gt;0,"Outstanding"))</f>
        <v>Outstanding</v>
      </c>
      <c r="M349" s="5" t="str">
        <f>IF(Table2[[#This Row],[Advance Amount]]=Table2[[#This Row],[Expense Amount]]+Table2[[#This Row],[Return Amount]]+Table2[[#This Row],[Outstanding]],"Ok","Check")</f>
        <v>Ok</v>
      </c>
      <c r="N349" s="11">
        <f>IF(Table2[[#This Row],[Status]]="Settled",0,$Q$2-Table2[[#This Row],[Date]])</f>
        <v>156</v>
      </c>
      <c r="O349" s="5" t="str">
        <f>IF(Table2[[#This Row],[Age Days]]&lt;=7,"Normal",IF(Table2[[#This Row],[Age Days]]&lt;=14,"Perlu Dipantau",IF(Table2[[#This Row],[Age Days]]&lt;=30,"Perlu Ditindaklanjuti","Overdue")))</f>
        <v>Overdue</v>
      </c>
    </row>
    <row r="350" spans="1:15" x14ac:dyDescent="0.3">
      <c r="A350" t="s">
        <v>434</v>
      </c>
      <c r="B350" s="3">
        <v>46109</v>
      </c>
      <c r="C350" t="s">
        <v>11</v>
      </c>
      <c r="D350" t="s">
        <v>12</v>
      </c>
      <c r="E350" t="s">
        <v>13</v>
      </c>
      <c r="F350" t="s">
        <v>20</v>
      </c>
      <c r="G350" t="s">
        <v>34</v>
      </c>
      <c r="H350" s="5">
        <v>450000</v>
      </c>
      <c r="I350" s="5">
        <v>400000</v>
      </c>
      <c r="J350" s="5">
        <v>50000</v>
      </c>
      <c r="K350" s="5">
        <f>Table2[[#This Row],[Advance Amount]]-Table2[[#This Row],[Expense Amount]]-Table2[[#This Row],[Return Amount]]</f>
        <v>0</v>
      </c>
      <c r="L350" s="5" t="str">
        <f>IF(Table2[[#This Row],[Outstanding]]=0,"Settled",IF(Table2[[#This Row],[Outstanding]]&gt;0,"Outstanding"))</f>
        <v>Settled</v>
      </c>
      <c r="M350" s="5" t="str">
        <f>IF(Table2[[#This Row],[Advance Amount]]=Table2[[#This Row],[Expense Amount]]+Table2[[#This Row],[Return Amount]]+Table2[[#This Row],[Outstanding]],"Ok","Check")</f>
        <v>Ok</v>
      </c>
      <c r="N350" s="11">
        <f>IF(Table2[[#This Row],[Status]]="Settled",0,$Q$2-Table2[[#This Row],[Date]])</f>
        <v>0</v>
      </c>
      <c r="O350" s="5" t="str">
        <f>IF(Table2[[#This Row],[Age Days]]&lt;=7,"Normal",IF(Table2[[#This Row],[Age Days]]&lt;=14,"Perlu Dipantau",IF(Table2[[#This Row],[Age Days]]&lt;=30,"Perlu Ditindaklanjuti","Overdue")))</f>
        <v>Normal</v>
      </c>
    </row>
    <row r="351" spans="1:15" x14ac:dyDescent="0.3">
      <c r="A351" t="s">
        <v>435</v>
      </c>
      <c r="B351" s="3">
        <v>46109</v>
      </c>
      <c r="C351" t="s">
        <v>17</v>
      </c>
      <c r="D351" t="s">
        <v>18</v>
      </c>
      <c r="E351" t="s">
        <v>19</v>
      </c>
      <c r="F351" t="s">
        <v>20</v>
      </c>
      <c r="G351" t="s">
        <v>61</v>
      </c>
      <c r="H351" s="5">
        <v>675000</v>
      </c>
      <c r="I351" s="5">
        <v>650000</v>
      </c>
      <c r="J351" s="5">
        <v>25000</v>
      </c>
      <c r="K351" s="5">
        <f>Table2[[#This Row],[Advance Amount]]-Table2[[#This Row],[Expense Amount]]-Table2[[#This Row],[Return Amount]]</f>
        <v>0</v>
      </c>
      <c r="L351" s="5" t="str">
        <f>IF(Table2[[#This Row],[Outstanding]]=0,"Settled",IF(Table2[[#This Row],[Outstanding]]&gt;0,"Outstanding"))</f>
        <v>Settled</v>
      </c>
      <c r="M351" s="5" t="str">
        <f>IF(Table2[[#This Row],[Advance Amount]]=Table2[[#This Row],[Expense Amount]]+Table2[[#This Row],[Return Amount]]+Table2[[#This Row],[Outstanding]],"Ok","Check")</f>
        <v>Ok</v>
      </c>
      <c r="N351" s="11">
        <f>IF(Table2[[#This Row],[Status]]="Settled",0,$Q$2-Table2[[#This Row],[Date]])</f>
        <v>0</v>
      </c>
      <c r="O351" s="5" t="str">
        <f>IF(Table2[[#This Row],[Age Days]]&lt;=7,"Normal",IF(Table2[[#This Row],[Age Days]]&lt;=14,"Perlu Dipantau",IF(Table2[[#This Row],[Age Days]]&lt;=30,"Perlu Ditindaklanjuti","Overdue")))</f>
        <v>Normal</v>
      </c>
    </row>
    <row r="352" spans="1:15" x14ac:dyDescent="0.3">
      <c r="A352" t="s">
        <v>436</v>
      </c>
      <c r="B352" s="3">
        <v>46109</v>
      </c>
      <c r="C352" t="s">
        <v>25</v>
      </c>
      <c r="D352" t="s">
        <v>26</v>
      </c>
      <c r="E352" t="s">
        <v>27</v>
      </c>
      <c r="F352" t="s">
        <v>14</v>
      </c>
      <c r="G352" t="s">
        <v>31</v>
      </c>
      <c r="H352" s="5">
        <v>1175000</v>
      </c>
      <c r="I352" s="5">
        <v>0</v>
      </c>
      <c r="J352" s="5">
        <v>0</v>
      </c>
      <c r="K352" s="5">
        <f>Table2[[#This Row],[Advance Amount]]-Table2[[#This Row],[Expense Amount]]-Table2[[#This Row],[Return Amount]]</f>
        <v>1175000</v>
      </c>
      <c r="L352" s="5" t="str">
        <f>IF(Table2[[#This Row],[Outstanding]]=0,"Settled",IF(Table2[[#This Row],[Outstanding]]&gt;0,"Outstanding"))</f>
        <v>Outstanding</v>
      </c>
      <c r="M352" s="5" t="str">
        <f>IF(Table2[[#This Row],[Advance Amount]]=Table2[[#This Row],[Expense Amount]]+Table2[[#This Row],[Return Amount]]+Table2[[#This Row],[Outstanding]],"Ok","Check")</f>
        <v>Ok</v>
      </c>
      <c r="N352" s="11">
        <f>IF(Table2[[#This Row],[Status]]="Settled",0,$Q$2-Table2[[#This Row],[Date]])</f>
        <v>156</v>
      </c>
      <c r="O352" s="5" t="str">
        <f>IF(Table2[[#This Row],[Age Days]]&lt;=7,"Normal",IF(Table2[[#This Row],[Age Days]]&lt;=14,"Perlu Dipantau",IF(Table2[[#This Row],[Age Days]]&lt;=30,"Perlu Ditindaklanjuti","Overdue")))</f>
        <v>Overdue</v>
      </c>
    </row>
    <row r="353" spans="1:15" x14ac:dyDescent="0.3">
      <c r="A353" t="s">
        <v>437</v>
      </c>
      <c r="B353" s="3">
        <v>46110</v>
      </c>
      <c r="C353" t="s">
        <v>17</v>
      </c>
      <c r="D353" t="s">
        <v>18</v>
      </c>
      <c r="E353" t="s">
        <v>19</v>
      </c>
      <c r="F353" t="s">
        <v>20</v>
      </c>
      <c r="G353" t="s">
        <v>57</v>
      </c>
      <c r="H353" s="5">
        <v>405000</v>
      </c>
      <c r="I353" s="5">
        <v>0</v>
      </c>
      <c r="J353" s="5">
        <v>0</v>
      </c>
      <c r="K353" s="5">
        <f>Table2[[#This Row],[Advance Amount]]-Table2[[#This Row],[Expense Amount]]-Table2[[#This Row],[Return Amount]]</f>
        <v>405000</v>
      </c>
      <c r="L353" s="5" t="str">
        <f>IF(Table2[[#This Row],[Outstanding]]=0,"Settled",IF(Table2[[#This Row],[Outstanding]]&gt;0,"Outstanding"))</f>
        <v>Outstanding</v>
      </c>
      <c r="M353" s="5" t="str">
        <f>IF(Table2[[#This Row],[Advance Amount]]=Table2[[#This Row],[Expense Amount]]+Table2[[#This Row],[Return Amount]]+Table2[[#This Row],[Outstanding]],"Ok","Check")</f>
        <v>Ok</v>
      </c>
      <c r="N353" s="11">
        <f>IF(Table2[[#This Row],[Status]]="Settled",0,$Q$2-Table2[[#This Row],[Date]])</f>
        <v>155</v>
      </c>
      <c r="O353" s="5" t="str">
        <f>IF(Table2[[#This Row],[Age Days]]&lt;=7,"Normal",IF(Table2[[#This Row],[Age Days]]&lt;=14,"Perlu Dipantau",IF(Table2[[#This Row],[Age Days]]&lt;=30,"Perlu Ditindaklanjuti","Overdue")))</f>
        <v>Overdue</v>
      </c>
    </row>
    <row r="354" spans="1:15" x14ac:dyDescent="0.3">
      <c r="A354" t="s">
        <v>438</v>
      </c>
      <c r="B354" s="3">
        <v>46111</v>
      </c>
      <c r="C354" t="s">
        <v>29</v>
      </c>
      <c r="D354" t="s">
        <v>30</v>
      </c>
      <c r="E354" t="s">
        <v>13</v>
      </c>
      <c r="F354" t="s">
        <v>20</v>
      </c>
      <c r="G354" t="s">
        <v>28</v>
      </c>
      <c r="H354" s="5">
        <v>130000</v>
      </c>
      <c r="I354" s="5">
        <v>0</v>
      </c>
      <c r="J354" s="5">
        <v>0</v>
      </c>
      <c r="K354" s="5">
        <f>Table2[[#This Row],[Advance Amount]]-Table2[[#This Row],[Expense Amount]]-Table2[[#This Row],[Return Amount]]</f>
        <v>130000</v>
      </c>
      <c r="L354" s="5" t="str">
        <f>IF(Table2[[#This Row],[Outstanding]]=0,"Settled",IF(Table2[[#This Row],[Outstanding]]&gt;0,"Outstanding"))</f>
        <v>Outstanding</v>
      </c>
      <c r="M354" s="5" t="str">
        <f>IF(Table2[[#This Row],[Advance Amount]]=Table2[[#This Row],[Expense Amount]]+Table2[[#This Row],[Return Amount]]+Table2[[#This Row],[Outstanding]],"Ok","Check")</f>
        <v>Ok</v>
      </c>
      <c r="N354" s="11">
        <f>IF(Table2[[#This Row],[Status]]="Settled",0,$Q$2-Table2[[#This Row],[Date]])</f>
        <v>154</v>
      </c>
      <c r="O354" s="5" t="str">
        <f>IF(Table2[[#This Row],[Age Days]]&lt;=7,"Normal",IF(Table2[[#This Row],[Age Days]]&lt;=14,"Perlu Dipantau",IF(Table2[[#This Row],[Age Days]]&lt;=30,"Perlu Ditindaklanjuti","Overdue")))</f>
        <v>Overdue</v>
      </c>
    </row>
    <row r="355" spans="1:15" x14ac:dyDescent="0.3">
      <c r="A355" t="s">
        <v>439</v>
      </c>
      <c r="B355" s="3">
        <v>46111</v>
      </c>
      <c r="C355" t="s">
        <v>32</v>
      </c>
      <c r="D355" t="s">
        <v>33</v>
      </c>
      <c r="E355" t="s">
        <v>27</v>
      </c>
      <c r="F355" t="s">
        <v>20</v>
      </c>
      <c r="G355" t="s">
        <v>61</v>
      </c>
      <c r="H355" s="5">
        <v>650000</v>
      </c>
      <c r="I355" s="5">
        <v>525000</v>
      </c>
      <c r="J355" s="5">
        <v>125000</v>
      </c>
      <c r="K355" s="5">
        <f>Table2[[#This Row],[Advance Amount]]-Table2[[#This Row],[Expense Amount]]-Table2[[#This Row],[Return Amount]]</f>
        <v>0</v>
      </c>
      <c r="L355" s="5" t="str">
        <f>IF(Table2[[#This Row],[Outstanding]]=0,"Settled",IF(Table2[[#This Row],[Outstanding]]&gt;0,"Outstanding"))</f>
        <v>Settled</v>
      </c>
      <c r="M355" s="5" t="str">
        <f>IF(Table2[[#This Row],[Advance Amount]]=Table2[[#This Row],[Expense Amount]]+Table2[[#This Row],[Return Amount]]+Table2[[#This Row],[Outstanding]],"Ok","Check")</f>
        <v>Ok</v>
      </c>
      <c r="N355" s="11">
        <f>IF(Table2[[#This Row],[Status]]="Settled",0,$Q$2-Table2[[#This Row],[Date]])</f>
        <v>0</v>
      </c>
      <c r="O355" s="5" t="str">
        <f>IF(Table2[[#This Row],[Age Days]]&lt;=7,"Normal",IF(Table2[[#This Row],[Age Days]]&lt;=14,"Perlu Dipantau",IF(Table2[[#This Row],[Age Days]]&lt;=30,"Perlu Ditindaklanjuti","Overdue")))</f>
        <v>Normal</v>
      </c>
    </row>
    <row r="356" spans="1:15" x14ac:dyDescent="0.3">
      <c r="A356" t="s">
        <v>440</v>
      </c>
      <c r="B356" s="3">
        <v>46111</v>
      </c>
      <c r="C356" t="s">
        <v>41</v>
      </c>
      <c r="D356" t="s">
        <v>42</v>
      </c>
      <c r="E356" t="s">
        <v>43</v>
      </c>
      <c r="F356" t="s">
        <v>20</v>
      </c>
      <c r="G356" t="s">
        <v>58</v>
      </c>
      <c r="H356" s="5">
        <v>650000</v>
      </c>
      <c r="I356" s="5">
        <v>0</v>
      </c>
      <c r="J356" s="5">
        <v>0</v>
      </c>
      <c r="K356" s="5">
        <f>Table2[[#This Row],[Advance Amount]]-Table2[[#This Row],[Expense Amount]]-Table2[[#This Row],[Return Amount]]</f>
        <v>650000</v>
      </c>
      <c r="L356" s="5" t="str">
        <f>IF(Table2[[#This Row],[Outstanding]]=0,"Settled",IF(Table2[[#This Row],[Outstanding]]&gt;0,"Outstanding"))</f>
        <v>Outstanding</v>
      </c>
      <c r="M356" s="5" t="str">
        <f>IF(Table2[[#This Row],[Advance Amount]]=Table2[[#This Row],[Expense Amount]]+Table2[[#This Row],[Return Amount]]+Table2[[#This Row],[Outstanding]],"Ok","Check")</f>
        <v>Ok</v>
      </c>
      <c r="N356" s="11">
        <f>IF(Table2[[#This Row],[Status]]="Settled",0,$Q$2-Table2[[#This Row],[Date]])</f>
        <v>154</v>
      </c>
      <c r="O356" s="5" t="str">
        <f>IF(Table2[[#This Row],[Age Days]]&lt;=7,"Normal",IF(Table2[[#This Row],[Age Days]]&lt;=14,"Perlu Dipantau",IF(Table2[[#This Row],[Age Days]]&lt;=30,"Perlu Ditindaklanjuti","Overdue")))</f>
        <v>Overdue</v>
      </c>
    </row>
    <row r="357" spans="1:15" x14ac:dyDescent="0.3">
      <c r="A357" t="s">
        <v>441</v>
      </c>
      <c r="B357" s="3">
        <v>46111</v>
      </c>
      <c r="C357" t="s">
        <v>50</v>
      </c>
      <c r="D357" t="s">
        <v>51</v>
      </c>
      <c r="E357" t="s">
        <v>52</v>
      </c>
      <c r="F357" t="s">
        <v>20</v>
      </c>
      <c r="G357" t="s">
        <v>15</v>
      </c>
      <c r="H357" s="5">
        <v>500000</v>
      </c>
      <c r="I357" s="5">
        <v>400000</v>
      </c>
      <c r="J357" s="5">
        <v>100000</v>
      </c>
      <c r="K357" s="5">
        <f>Table2[[#This Row],[Advance Amount]]-Table2[[#This Row],[Expense Amount]]-Table2[[#This Row],[Return Amount]]</f>
        <v>0</v>
      </c>
      <c r="L357" s="5" t="str">
        <f>IF(Table2[[#This Row],[Outstanding]]=0,"Settled",IF(Table2[[#This Row],[Outstanding]]&gt;0,"Outstanding"))</f>
        <v>Settled</v>
      </c>
      <c r="M357" s="5" t="str">
        <f>IF(Table2[[#This Row],[Advance Amount]]=Table2[[#This Row],[Expense Amount]]+Table2[[#This Row],[Return Amount]]+Table2[[#This Row],[Outstanding]],"Ok","Check")</f>
        <v>Ok</v>
      </c>
      <c r="N357" s="11">
        <f>IF(Table2[[#This Row],[Status]]="Settled",0,$Q$2-Table2[[#This Row],[Date]])</f>
        <v>0</v>
      </c>
      <c r="O357" s="5" t="str">
        <f>IF(Table2[[#This Row],[Age Days]]&lt;=7,"Normal",IF(Table2[[#This Row],[Age Days]]&lt;=14,"Perlu Dipantau",IF(Table2[[#This Row],[Age Days]]&lt;=30,"Perlu Ditindaklanjuti","Overdue")))</f>
        <v>Normal</v>
      </c>
    </row>
    <row r="358" spans="1:15" x14ac:dyDescent="0.3">
      <c r="A358" t="s">
        <v>442</v>
      </c>
      <c r="B358" s="3">
        <v>46111</v>
      </c>
      <c r="C358" t="s">
        <v>64</v>
      </c>
      <c r="D358" t="s">
        <v>65</v>
      </c>
      <c r="E358" t="s">
        <v>37</v>
      </c>
      <c r="F358" t="s">
        <v>14</v>
      </c>
      <c r="G358" t="s">
        <v>40</v>
      </c>
      <c r="H358" s="5">
        <v>425000</v>
      </c>
      <c r="I358" s="5">
        <v>400000</v>
      </c>
      <c r="J358" s="5">
        <v>25000</v>
      </c>
      <c r="K358" s="5">
        <f>Table2[[#This Row],[Advance Amount]]-Table2[[#This Row],[Expense Amount]]-Table2[[#This Row],[Return Amount]]</f>
        <v>0</v>
      </c>
      <c r="L358" s="5" t="str">
        <f>IF(Table2[[#This Row],[Outstanding]]=0,"Settled",IF(Table2[[#This Row],[Outstanding]]&gt;0,"Outstanding"))</f>
        <v>Settled</v>
      </c>
      <c r="M358" s="5" t="str">
        <f>IF(Table2[[#This Row],[Advance Amount]]=Table2[[#This Row],[Expense Amount]]+Table2[[#This Row],[Return Amount]]+Table2[[#This Row],[Outstanding]],"Ok","Check")</f>
        <v>Ok</v>
      </c>
      <c r="N358" s="11">
        <f>IF(Table2[[#This Row],[Status]]="Settled",0,$Q$2-Table2[[#This Row],[Date]])</f>
        <v>0</v>
      </c>
      <c r="O358" s="5" t="str">
        <f>IF(Table2[[#This Row],[Age Days]]&lt;=7,"Normal",IF(Table2[[#This Row],[Age Days]]&lt;=14,"Perlu Dipantau",IF(Table2[[#This Row],[Age Days]]&lt;=30,"Perlu Ditindaklanjuti","Overdue")))</f>
        <v>Normal</v>
      </c>
    </row>
    <row r="359" spans="1:15" x14ac:dyDescent="0.3">
      <c r="A359" t="s">
        <v>443</v>
      </c>
      <c r="B359" s="3">
        <v>46111</v>
      </c>
      <c r="C359" t="s">
        <v>25</v>
      </c>
      <c r="D359" t="s">
        <v>26</v>
      </c>
      <c r="E359" t="s">
        <v>27</v>
      </c>
      <c r="F359" t="s">
        <v>14</v>
      </c>
      <c r="G359" t="s">
        <v>57</v>
      </c>
      <c r="H359" s="5">
        <v>355000</v>
      </c>
      <c r="I359" s="5">
        <v>275000</v>
      </c>
      <c r="J359" s="5">
        <v>80000</v>
      </c>
      <c r="K359" s="5">
        <f>Table2[[#This Row],[Advance Amount]]-Table2[[#This Row],[Expense Amount]]-Table2[[#This Row],[Return Amount]]</f>
        <v>0</v>
      </c>
      <c r="L359" s="5" t="str">
        <f>IF(Table2[[#This Row],[Outstanding]]=0,"Settled",IF(Table2[[#This Row],[Outstanding]]&gt;0,"Outstanding"))</f>
        <v>Settled</v>
      </c>
      <c r="M359" s="5" t="str">
        <f>IF(Table2[[#This Row],[Advance Amount]]=Table2[[#This Row],[Expense Amount]]+Table2[[#This Row],[Return Amount]]+Table2[[#This Row],[Outstanding]],"Ok","Check")</f>
        <v>Ok</v>
      </c>
      <c r="N359" s="11">
        <f>IF(Table2[[#This Row],[Status]]="Settled",0,$Q$2-Table2[[#This Row],[Date]])</f>
        <v>0</v>
      </c>
      <c r="O359" s="5" t="str">
        <f>IF(Table2[[#This Row],[Age Days]]&lt;=7,"Normal",IF(Table2[[#This Row],[Age Days]]&lt;=14,"Perlu Dipantau",IF(Table2[[#This Row],[Age Days]]&lt;=30,"Perlu Ditindaklanjuti","Overdue")))</f>
        <v>Normal</v>
      </c>
    </row>
    <row r="360" spans="1:15" x14ac:dyDescent="0.3">
      <c r="A360" t="s">
        <v>444</v>
      </c>
      <c r="B360" s="3">
        <v>46112</v>
      </c>
      <c r="C360" t="s">
        <v>32</v>
      </c>
      <c r="D360" t="s">
        <v>33</v>
      </c>
      <c r="E360" t="s">
        <v>27</v>
      </c>
      <c r="F360" t="s">
        <v>20</v>
      </c>
      <c r="G360" t="s">
        <v>15</v>
      </c>
      <c r="H360" s="5">
        <v>3550000</v>
      </c>
      <c r="I360" s="5">
        <v>0</v>
      </c>
      <c r="J360" s="5">
        <v>0</v>
      </c>
      <c r="K360" s="5">
        <f>Table2[[#This Row],[Advance Amount]]-Table2[[#This Row],[Expense Amount]]-Table2[[#This Row],[Return Amount]]</f>
        <v>3550000</v>
      </c>
      <c r="L360" s="5" t="str">
        <f>IF(Table2[[#This Row],[Outstanding]]=0,"Settled",IF(Table2[[#This Row],[Outstanding]]&gt;0,"Outstanding"))</f>
        <v>Outstanding</v>
      </c>
      <c r="M360" s="5" t="str">
        <f>IF(Table2[[#This Row],[Advance Amount]]=Table2[[#This Row],[Expense Amount]]+Table2[[#This Row],[Return Amount]]+Table2[[#This Row],[Outstanding]],"Ok","Check")</f>
        <v>Ok</v>
      </c>
      <c r="N360" s="11">
        <f>IF(Table2[[#This Row],[Status]]="Settled",0,$Q$2-Table2[[#This Row],[Date]])</f>
        <v>153</v>
      </c>
      <c r="O360" s="5" t="str">
        <f>IF(Table2[[#This Row],[Age Days]]&lt;=7,"Normal",IF(Table2[[#This Row],[Age Days]]&lt;=14,"Perlu Dipantau",IF(Table2[[#This Row],[Age Days]]&lt;=30,"Perlu Ditindaklanjuti","Overdue")))</f>
        <v>Overdue</v>
      </c>
    </row>
    <row r="361" spans="1:15" x14ac:dyDescent="0.3">
      <c r="A361" t="s">
        <v>445</v>
      </c>
      <c r="B361" s="3">
        <v>46112</v>
      </c>
      <c r="C361" t="s">
        <v>11</v>
      </c>
      <c r="D361" t="s">
        <v>12</v>
      </c>
      <c r="E361" t="s">
        <v>13</v>
      </c>
      <c r="F361" t="s">
        <v>20</v>
      </c>
      <c r="G361" t="s">
        <v>28</v>
      </c>
      <c r="H361" s="5">
        <v>80000</v>
      </c>
      <c r="I361" s="5">
        <v>75000</v>
      </c>
      <c r="J361" s="5">
        <v>5000</v>
      </c>
      <c r="K361" s="5">
        <f>Table2[[#This Row],[Advance Amount]]-Table2[[#This Row],[Expense Amount]]-Table2[[#This Row],[Return Amount]]</f>
        <v>0</v>
      </c>
      <c r="L361" s="5" t="str">
        <f>IF(Table2[[#This Row],[Outstanding]]=0,"Settled",IF(Table2[[#This Row],[Outstanding]]&gt;0,"Outstanding"))</f>
        <v>Settled</v>
      </c>
      <c r="M361" s="5" t="str">
        <f>IF(Table2[[#This Row],[Advance Amount]]=Table2[[#This Row],[Expense Amount]]+Table2[[#This Row],[Return Amount]]+Table2[[#This Row],[Outstanding]],"Ok","Check")</f>
        <v>Ok</v>
      </c>
      <c r="N361" s="11">
        <f>IF(Table2[[#This Row],[Status]]="Settled",0,$Q$2-Table2[[#This Row],[Date]])</f>
        <v>0</v>
      </c>
      <c r="O361" s="5" t="str">
        <f>IF(Table2[[#This Row],[Age Days]]&lt;=7,"Normal",IF(Table2[[#This Row],[Age Days]]&lt;=14,"Perlu Dipantau",IF(Table2[[#This Row],[Age Days]]&lt;=30,"Perlu Ditindaklanjuti","Overdue")))</f>
        <v>Normal</v>
      </c>
    </row>
    <row r="362" spans="1:15" x14ac:dyDescent="0.3">
      <c r="A362" t="s">
        <v>446</v>
      </c>
      <c r="B362" s="3">
        <v>46112</v>
      </c>
      <c r="C362" t="s">
        <v>35</v>
      </c>
      <c r="D362" t="s">
        <v>36</v>
      </c>
      <c r="E362" t="s">
        <v>37</v>
      </c>
      <c r="F362" t="s">
        <v>14</v>
      </c>
      <c r="G362" t="s">
        <v>34</v>
      </c>
      <c r="H362" s="5">
        <v>325000</v>
      </c>
      <c r="I362" s="5">
        <v>0</v>
      </c>
      <c r="J362" s="5">
        <v>0</v>
      </c>
      <c r="K362" s="5">
        <f>Table2[[#This Row],[Advance Amount]]-Table2[[#This Row],[Expense Amount]]-Table2[[#This Row],[Return Amount]]</f>
        <v>325000</v>
      </c>
      <c r="L362" s="5" t="str">
        <f>IF(Table2[[#This Row],[Outstanding]]=0,"Settled",IF(Table2[[#This Row],[Outstanding]]&gt;0,"Outstanding"))</f>
        <v>Outstanding</v>
      </c>
      <c r="M362" s="5" t="str">
        <f>IF(Table2[[#This Row],[Advance Amount]]=Table2[[#This Row],[Expense Amount]]+Table2[[#This Row],[Return Amount]]+Table2[[#This Row],[Outstanding]],"Ok","Check")</f>
        <v>Ok</v>
      </c>
      <c r="N362" s="11">
        <f>IF(Table2[[#This Row],[Status]]="Settled",0,$Q$2-Table2[[#This Row],[Date]])</f>
        <v>153</v>
      </c>
      <c r="O362" s="5" t="str">
        <f>IF(Table2[[#This Row],[Age Days]]&lt;=7,"Normal",IF(Table2[[#This Row],[Age Days]]&lt;=14,"Perlu Dipantau",IF(Table2[[#This Row],[Age Days]]&lt;=30,"Perlu Ditindaklanjuti","Overdue")))</f>
        <v>Overdue</v>
      </c>
    </row>
    <row r="363" spans="1:15" x14ac:dyDescent="0.3">
      <c r="A363" t="s">
        <v>447</v>
      </c>
      <c r="B363" s="3">
        <v>46112</v>
      </c>
      <c r="C363" t="s">
        <v>64</v>
      </c>
      <c r="D363" t="s">
        <v>65</v>
      </c>
      <c r="E363" t="s">
        <v>37</v>
      </c>
      <c r="F363" t="s">
        <v>14</v>
      </c>
      <c r="G363" t="s">
        <v>31</v>
      </c>
      <c r="H363" s="5">
        <v>1500000</v>
      </c>
      <c r="I363" s="5">
        <v>1375000</v>
      </c>
      <c r="J363" s="5">
        <v>125000</v>
      </c>
      <c r="K363" s="5">
        <f>Table2[[#This Row],[Advance Amount]]-Table2[[#This Row],[Expense Amount]]-Table2[[#This Row],[Return Amount]]</f>
        <v>0</v>
      </c>
      <c r="L363" s="5" t="str">
        <f>IF(Table2[[#This Row],[Outstanding]]=0,"Settled",IF(Table2[[#This Row],[Outstanding]]&gt;0,"Outstanding"))</f>
        <v>Settled</v>
      </c>
      <c r="M363" s="5" t="str">
        <f>IF(Table2[[#This Row],[Advance Amount]]=Table2[[#This Row],[Expense Amount]]+Table2[[#This Row],[Return Amount]]+Table2[[#This Row],[Outstanding]],"Ok","Check")</f>
        <v>Ok</v>
      </c>
      <c r="N363" s="11">
        <f>IF(Table2[[#This Row],[Status]]="Settled",0,$Q$2-Table2[[#This Row],[Date]])</f>
        <v>0</v>
      </c>
      <c r="O363" s="5" t="str">
        <f>IF(Table2[[#This Row],[Age Days]]&lt;=7,"Normal",IF(Table2[[#This Row],[Age Days]]&lt;=14,"Perlu Dipantau",IF(Table2[[#This Row],[Age Days]]&lt;=30,"Perlu Ditindaklanjuti","Overdue")))</f>
        <v>Normal</v>
      </c>
    </row>
    <row r="364" spans="1:15" x14ac:dyDescent="0.3">
      <c r="A364" t="s">
        <v>448</v>
      </c>
      <c r="B364" s="3">
        <v>46113</v>
      </c>
      <c r="C364" t="s">
        <v>35</v>
      </c>
      <c r="D364" t="s">
        <v>36</v>
      </c>
      <c r="E364" t="s">
        <v>37</v>
      </c>
      <c r="F364" t="s">
        <v>20</v>
      </c>
      <c r="G364" t="s">
        <v>34</v>
      </c>
      <c r="H364" s="5">
        <v>400000</v>
      </c>
      <c r="I364" s="5">
        <v>375000</v>
      </c>
      <c r="J364" s="5">
        <v>25000</v>
      </c>
      <c r="K364" s="5">
        <f>Table2[[#This Row],[Advance Amount]]-Table2[[#This Row],[Expense Amount]]-Table2[[#This Row],[Return Amount]]</f>
        <v>0</v>
      </c>
      <c r="L364" s="5" t="str">
        <f>IF(Table2[[#This Row],[Outstanding]]=0,"Settled",IF(Table2[[#This Row],[Outstanding]]&gt;0,"Outstanding"))</f>
        <v>Settled</v>
      </c>
      <c r="M364" s="5" t="str">
        <f>IF(Table2[[#This Row],[Advance Amount]]=Table2[[#This Row],[Expense Amount]]+Table2[[#This Row],[Return Amount]]+Table2[[#This Row],[Outstanding]],"Ok","Check")</f>
        <v>Ok</v>
      </c>
      <c r="N364" s="11">
        <f>IF(Table2[[#This Row],[Status]]="Settled",0,$Q$2-Table2[[#This Row],[Date]])</f>
        <v>0</v>
      </c>
      <c r="O364" s="5" t="str">
        <f>IF(Table2[[#This Row],[Age Days]]&lt;=7,"Normal",IF(Table2[[#This Row],[Age Days]]&lt;=14,"Perlu Dipantau",IF(Table2[[#This Row],[Age Days]]&lt;=30,"Perlu Ditindaklanjuti","Overdue")))</f>
        <v>Normal</v>
      </c>
    </row>
    <row r="365" spans="1:15" x14ac:dyDescent="0.3">
      <c r="A365" t="s">
        <v>449</v>
      </c>
      <c r="B365" s="3">
        <v>46114</v>
      </c>
      <c r="C365" t="s">
        <v>55</v>
      </c>
      <c r="D365" t="s">
        <v>56</v>
      </c>
      <c r="E365" t="s">
        <v>24</v>
      </c>
      <c r="F365" t="s">
        <v>20</v>
      </c>
      <c r="G365" t="s">
        <v>61</v>
      </c>
      <c r="H365" s="5">
        <v>525000</v>
      </c>
      <c r="I365" s="5">
        <v>0</v>
      </c>
      <c r="J365" s="5">
        <v>0</v>
      </c>
      <c r="K365" s="5">
        <f>Table2[[#This Row],[Advance Amount]]-Table2[[#This Row],[Expense Amount]]-Table2[[#This Row],[Return Amount]]</f>
        <v>525000</v>
      </c>
      <c r="L365" s="5" t="str">
        <f>IF(Table2[[#This Row],[Outstanding]]=0,"Settled",IF(Table2[[#This Row],[Outstanding]]&gt;0,"Outstanding"))</f>
        <v>Outstanding</v>
      </c>
      <c r="M365" s="5" t="str">
        <f>IF(Table2[[#This Row],[Advance Amount]]=Table2[[#This Row],[Expense Amount]]+Table2[[#This Row],[Return Amount]]+Table2[[#This Row],[Outstanding]],"Ok","Check")</f>
        <v>Ok</v>
      </c>
      <c r="N365" s="11">
        <f>IF(Table2[[#This Row],[Status]]="Settled",0,$Q$2-Table2[[#This Row],[Date]])</f>
        <v>151</v>
      </c>
      <c r="O365" s="5" t="str">
        <f>IF(Table2[[#This Row],[Age Days]]&lt;=7,"Normal",IF(Table2[[#This Row],[Age Days]]&lt;=14,"Perlu Dipantau",IF(Table2[[#This Row],[Age Days]]&lt;=30,"Perlu Ditindaklanjuti","Overdue")))</f>
        <v>Overdue</v>
      </c>
    </row>
    <row r="366" spans="1:15" x14ac:dyDescent="0.3">
      <c r="A366" t="s">
        <v>450</v>
      </c>
      <c r="B366" s="3">
        <v>46114</v>
      </c>
      <c r="C366" t="s">
        <v>62</v>
      </c>
      <c r="D366" t="s">
        <v>63</v>
      </c>
      <c r="E366" t="s">
        <v>52</v>
      </c>
      <c r="F366" t="s">
        <v>14</v>
      </c>
      <c r="G366" t="s">
        <v>28</v>
      </c>
      <c r="H366" s="5">
        <v>230000</v>
      </c>
      <c r="I366" s="5">
        <v>0</v>
      </c>
      <c r="J366" s="5">
        <v>0</v>
      </c>
      <c r="K366" s="5">
        <f>Table2[[#This Row],[Advance Amount]]-Table2[[#This Row],[Expense Amount]]-Table2[[#This Row],[Return Amount]]</f>
        <v>230000</v>
      </c>
      <c r="L366" s="5" t="str">
        <f>IF(Table2[[#This Row],[Outstanding]]=0,"Settled",IF(Table2[[#This Row],[Outstanding]]&gt;0,"Outstanding"))</f>
        <v>Outstanding</v>
      </c>
      <c r="M366" s="5" t="str">
        <f>IF(Table2[[#This Row],[Advance Amount]]=Table2[[#This Row],[Expense Amount]]+Table2[[#This Row],[Return Amount]]+Table2[[#This Row],[Outstanding]],"Ok","Check")</f>
        <v>Ok</v>
      </c>
      <c r="N366" s="11">
        <f>IF(Table2[[#This Row],[Status]]="Settled",0,$Q$2-Table2[[#This Row],[Date]])</f>
        <v>151</v>
      </c>
      <c r="O366" s="5" t="str">
        <f>IF(Table2[[#This Row],[Age Days]]&lt;=7,"Normal",IF(Table2[[#This Row],[Age Days]]&lt;=14,"Perlu Dipantau",IF(Table2[[#This Row],[Age Days]]&lt;=30,"Perlu Ditindaklanjuti","Overdue")))</f>
        <v>Overdue</v>
      </c>
    </row>
    <row r="367" spans="1:15" x14ac:dyDescent="0.3">
      <c r="A367" t="s">
        <v>451</v>
      </c>
      <c r="B367" s="3">
        <v>46114</v>
      </c>
      <c r="C367" t="s">
        <v>17</v>
      </c>
      <c r="D367" t="s">
        <v>18</v>
      </c>
      <c r="E367" t="s">
        <v>19</v>
      </c>
      <c r="F367" t="s">
        <v>20</v>
      </c>
      <c r="G367" t="s">
        <v>28</v>
      </c>
      <c r="H367" s="5">
        <v>155000</v>
      </c>
      <c r="I367" s="5">
        <v>125000</v>
      </c>
      <c r="J367" s="5">
        <v>30000</v>
      </c>
      <c r="K367" s="5">
        <f>Table2[[#This Row],[Advance Amount]]-Table2[[#This Row],[Expense Amount]]-Table2[[#This Row],[Return Amount]]</f>
        <v>0</v>
      </c>
      <c r="L367" s="5" t="str">
        <f>IF(Table2[[#This Row],[Outstanding]]=0,"Settled",IF(Table2[[#This Row],[Outstanding]]&gt;0,"Outstanding"))</f>
        <v>Settled</v>
      </c>
      <c r="M367" s="5" t="str">
        <f>IF(Table2[[#This Row],[Advance Amount]]=Table2[[#This Row],[Expense Amount]]+Table2[[#This Row],[Return Amount]]+Table2[[#This Row],[Outstanding]],"Ok","Check")</f>
        <v>Ok</v>
      </c>
      <c r="N367" s="11">
        <f>IF(Table2[[#This Row],[Status]]="Settled",0,$Q$2-Table2[[#This Row],[Date]])</f>
        <v>0</v>
      </c>
      <c r="O367" s="5" t="str">
        <f>IF(Table2[[#This Row],[Age Days]]&lt;=7,"Normal",IF(Table2[[#This Row],[Age Days]]&lt;=14,"Perlu Dipantau",IF(Table2[[#This Row],[Age Days]]&lt;=30,"Perlu Ditindaklanjuti","Overdue")))</f>
        <v>Normal</v>
      </c>
    </row>
    <row r="368" spans="1:15" x14ac:dyDescent="0.3">
      <c r="A368" t="s">
        <v>452</v>
      </c>
      <c r="B368" s="3">
        <v>46114</v>
      </c>
      <c r="C368" t="s">
        <v>25</v>
      </c>
      <c r="D368" t="s">
        <v>26</v>
      </c>
      <c r="E368" t="s">
        <v>27</v>
      </c>
      <c r="F368" t="s">
        <v>14</v>
      </c>
      <c r="G368" t="s">
        <v>61</v>
      </c>
      <c r="H368" s="5">
        <v>175000</v>
      </c>
      <c r="I368" s="5">
        <v>150000</v>
      </c>
      <c r="J368" s="5">
        <v>25000</v>
      </c>
      <c r="K368" s="5">
        <f>Table2[[#This Row],[Advance Amount]]-Table2[[#This Row],[Expense Amount]]-Table2[[#This Row],[Return Amount]]</f>
        <v>0</v>
      </c>
      <c r="L368" s="5" t="str">
        <f>IF(Table2[[#This Row],[Outstanding]]=0,"Settled",IF(Table2[[#This Row],[Outstanding]]&gt;0,"Outstanding"))</f>
        <v>Settled</v>
      </c>
      <c r="M368" s="5" t="str">
        <f>IF(Table2[[#This Row],[Advance Amount]]=Table2[[#This Row],[Expense Amount]]+Table2[[#This Row],[Return Amount]]+Table2[[#This Row],[Outstanding]],"Ok","Check")</f>
        <v>Ok</v>
      </c>
      <c r="N368" s="11">
        <f>IF(Table2[[#This Row],[Status]]="Settled",0,$Q$2-Table2[[#This Row],[Date]])</f>
        <v>0</v>
      </c>
      <c r="O368" s="5" t="str">
        <f>IF(Table2[[#This Row],[Age Days]]&lt;=7,"Normal",IF(Table2[[#This Row],[Age Days]]&lt;=14,"Perlu Dipantau",IF(Table2[[#This Row],[Age Days]]&lt;=30,"Perlu Ditindaklanjuti","Overdue")))</f>
        <v>Normal</v>
      </c>
    </row>
    <row r="369" spans="1:15" x14ac:dyDescent="0.3">
      <c r="A369" t="s">
        <v>453</v>
      </c>
      <c r="B369" s="3">
        <v>46115</v>
      </c>
      <c r="C369" t="s">
        <v>38</v>
      </c>
      <c r="D369" t="s">
        <v>39</v>
      </c>
      <c r="E369" t="s">
        <v>24</v>
      </c>
      <c r="F369" t="s">
        <v>14</v>
      </c>
      <c r="G369" t="s">
        <v>28</v>
      </c>
      <c r="H369" s="5">
        <v>205000</v>
      </c>
      <c r="I369" s="5">
        <v>175000</v>
      </c>
      <c r="J369" s="5">
        <v>30000</v>
      </c>
      <c r="K369" s="5">
        <f>Table2[[#This Row],[Advance Amount]]-Table2[[#This Row],[Expense Amount]]-Table2[[#This Row],[Return Amount]]</f>
        <v>0</v>
      </c>
      <c r="L369" s="5" t="str">
        <f>IF(Table2[[#This Row],[Outstanding]]=0,"Settled",IF(Table2[[#This Row],[Outstanding]]&gt;0,"Outstanding"))</f>
        <v>Settled</v>
      </c>
      <c r="M369" s="5" t="str">
        <f>IF(Table2[[#This Row],[Advance Amount]]=Table2[[#This Row],[Expense Amount]]+Table2[[#This Row],[Return Amount]]+Table2[[#This Row],[Outstanding]],"Ok","Check")</f>
        <v>Ok</v>
      </c>
      <c r="N369" s="11">
        <f>IF(Table2[[#This Row],[Status]]="Settled",0,$Q$2-Table2[[#This Row],[Date]])</f>
        <v>0</v>
      </c>
      <c r="O369" s="5" t="str">
        <f>IF(Table2[[#This Row],[Age Days]]&lt;=7,"Normal",IF(Table2[[#This Row],[Age Days]]&lt;=14,"Perlu Dipantau",IF(Table2[[#This Row],[Age Days]]&lt;=30,"Perlu Ditindaklanjuti","Overdue")))</f>
        <v>Normal</v>
      </c>
    </row>
    <row r="370" spans="1:15" x14ac:dyDescent="0.3">
      <c r="A370" t="s">
        <v>454</v>
      </c>
      <c r="B370" s="3">
        <v>46115</v>
      </c>
      <c r="C370" t="s">
        <v>17</v>
      </c>
      <c r="D370" t="s">
        <v>18</v>
      </c>
      <c r="E370" t="s">
        <v>19</v>
      </c>
      <c r="F370" t="s">
        <v>20</v>
      </c>
      <c r="G370" t="s">
        <v>15</v>
      </c>
      <c r="H370" s="5">
        <v>750000</v>
      </c>
      <c r="I370" s="5">
        <v>650000</v>
      </c>
      <c r="J370" s="5">
        <v>100000</v>
      </c>
      <c r="K370" s="5">
        <f>Table2[[#This Row],[Advance Amount]]-Table2[[#This Row],[Expense Amount]]-Table2[[#This Row],[Return Amount]]</f>
        <v>0</v>
      </c>
      <c r="L370" s="5" t="str">
        <f>IF(Table2[[#This Row],[Outstanding]]=0,"Settled",IF(Table2[[#This Row],[Outstanding]]&gt;0,"Outstanding"))</f>
        <v>Settled</v>
      </c>
      <c r="M370" s="5" t="str">
        <f>IF(Table2[[#This Row],[Advance Amount]]=Table2[[#This Row],[Expense Amount]]+Table2[[#This Row],[Return Amount]]+Table2[[#This Row],[Outstanding]],"Ok","Check")</f>
        <v>Ok</v>
      </c>
      <c r="N370" s="11">
        <f>IF(Table2[[#This Row],[Status]]="Settled",0,$Q$2-Table2[[#This Row],[Date]])</f>
        <v>0</v>
      </c>
      <c r="O370" s="5" t="str">
        <f>IF(Table2[[#This Row],[Age Days]]&lt;=7,"Normal",IF(Table2[[#This Row],[Age Days]]&lt;=14,"Perlu Dipantau",IF(Table2[[#This Row],[Age Days]]&lt;=30,"Perlu Ditindaklanjuti","Overdue")))</f>
        <v>Normal</v>
      </c>
    </row>
    <row r="371" spans="1:15" x14ac:dyDescent="0.3">
      <c r="A371" t="s">
        <v>455</v>
      </c>
      <c r="B371" s="3">
        <v>46116</v>
      </c>
      <c r="C371" t="s">
        <v>46</v>
      </c>
      <c r="D371" t="s">
        <v>47</v>
      </c>
      <c r="E371" t="s">
        <v>37</v>
      </c>
      <c r="F371" t="s">
        <v>20</v>
      </c>
      <c r="G371" t="s">
        <v>28</v>
      </c>
      <c r="H371" s="5">
        <v>330000</v>
      </c>
      <c r="I371" s="5">
        <v>325000</v>
      </c>
      <c r="J371" s="5">
        <v>5000</v>
      </c>
      <c r="K371" s="5">
        <f>Table2[[#This Row],[Advance Amount]]-Table2[[#This Row],[Expense Amount]]-Table2[[#This Row],[Return Amount]]</f>
        <v>0</v>
      </c>
      <c r="L371" s="5" t="str">
        <f>IF(Table2[[#This Row],[Outstanding]]=0,"Settled",IF(Table2[[#This Row],[Outstanding]]&gt;0,"Outstanding"))</f>
        <v>Settled</v>
      </c>
      <c r="M371" s="5" t="str">
        <f>IF(Table2[[#This Row],[Advance Amount]]=Table2[[#This Row],[Expense Amount]]+Table2[[#This Row],[Return Amount]]+Table2[[#This Row],[Outstanding]],"Ok","Check")</f>
        <v>Ok</v>
      </c>
      <c r="N371" s="11">
        <f>IF(Table2[[#This Row],[Status]]="Settled",0,$Q$2-Table2[[#This Row],[Date]])</f>
        <v>0</v>
      </c>
      <c r="O371" s="5" t="str">
        <f>IF(Table2[[#This Row],[Age Days]]&lt;=7,"Normal",IF(Table2[[#This Row],[Age Days]]&lt;=14,"Perlu Dipantau",IF(Table2[[#This Row],[Age Days]]&lt;=30,"Perlu Ditindaklanjuti","Overdue")))</f>
        <v>Normal</v>
      </c>
    </row>
    <row r="372" spans="1:15" x14ac:dyDescent="0.3">
      <c r="A372" t="s">
        <v>456</v>
      </c>
      <c r="B372" s="3">
        <v>46117</v>
      </c>
      <c r="C372" t="s">
        <v>29</v>
      </c>
      <c r="D372" t="s">
        <v>30</v>
      </c>
      <c r="E372" t="s">
        <v>13</v>
      </c>
      <c r="F372" t="s">
        <v>14</v>
      </c>
      <c r="G372" t="s">
        <v>34</v>
      </c>
      <c r="H372" s="5">
        <v>50000</v>
      </c>
      <c r="I372" s="5">
        <v>50000</v>
      </c>
      <c r="J372" s="5">
        <v>0</v>
      </c>
      <c r="K372" s="5">
        <f>Table2[[#This Row],[Advance Amount]]-Table2[[#This Row],[Expense Amount]]-Table2[[#This Row],[Return Amount]]</f>
        <v>0</v>
      </c>
      <c r="L372" s="5" t="str">
        <f>IF(Table2[[#This Row],[Outstanding]]=0,"Settled",IF(Table2[[#This Row],[Outstanding]]&gt;0,"Outstanding"))</f>
        <v>Settled</v>
      </c>
      <c r="M372" s="5" t="str">
        <f>IF(Table2[[#This Row],[Advance Amount]]=Table2[[#This Row],[Expense Amount]]+Table2[[#This Row],[Return Amount]]+Table2[[#This Row],[Outstanding]],"Ok","Check")</f>
        <v>Ok</v>
      </c>
      <c r="N372" s="11">
        <f>IF(Table2[[#This Row],[Status]]="Settled",0,$Q$2-Table2[[#This Row],[Date]])</f>
        <v>0</v>
      </c>
      <c r="O372" s="5" t="str">
        <f>IF(Table2[[#This Row],[Age Days]]&lt;=7,"Normal",IF(Table2[[#This Row],[Age Days]]&lt;=14,"Perlu Dipantau",IF(Table2[[#This Row],[Age Days]]&lt;=30,"Perlu Ditindaklanjuti","Overdue")))</f>
        <v>Normal</v>
      </c>
    </row>
    <row r="373" spans="1:15" x14ac:dyDescent="0.3">
      <c r="A373" t="s">
        <v>457</v>
      </c>
      <c r="B373" s="3">
        <v>46117</v>
      </c>
      <c r="C373" t="s">
        <v>32</v>
      </c>
      <c r="D373" t="s">
        <v>33</v>
      </c>
      <c r="E373" t="s">
        <v>27</v>
      </c>
      <c r="F373" t="s">
        <v>20</v>
      </c>
      <c r="G373" t="s">
        <v>58</v>
      </c>
      <c r="H373" s="5">
        <v>275000</v>
      </c>
      <c r="I373" s="5">
        <v>0</v>
      </c>
      <c r="J373" s="5">
        <v>0</v>
      </c>
      <c r="K373" s="5">
        <f>Table2[[#This Row],[Advance Amount]]-Table2[[#This Row],[Expense Amount]]-Table2[[#This Row],[Return Amount]]</f>
        <v>275000</v>
      </c>
      <c r="L373" s="5" t="str">
        <f>IF(Table2[[#This Row],[Outstanding]]=0,"Settled",IF(Table2[[#This Row],[Outstanding]]&gt;0,"Outstanding"))</f>
        <v>Outstanding</v>
      </c>
      <c r="M373" s="5" t="str">
        <f>IF(Table2[[#This Row],[Advance Amount]]=Table2[[#This Row],[Expense Amount]]+Table2[[#This Row],[Return Amount]]+Table2[[#This Row],[Outstanding]],"Ok","Check")</f>
        <v>Ok</v>
      </c>
      <c r="N373" s="11">
        <f>IF(Table2[[#This Row],[Status]]="Settled",0,$Q$2-Table2[[#This Row],[Date]])</f>
        <v>148</v>
      </c>
      <c r="O373" s="5" t="str">
        <f>IF(Table2[[#This Row],[Age Days]]&lt;=7,"Normal",IF(Table2[[#This Row],[Age Days]]&lt;=14,"Perlu Dipantau",IF(Table2[[#This Row],[Age Days]]&lt;=30,"Perlu Ditindaklanjuti","Overdue")))</f>
        <v>Overdue</v>
      </c>
    </row>
    <row r="374" spans="1:15" x14ac:dyDescent="0.3">
      <c r="A374" t="s">
        <v>458</v>
      </c>
      <c r="B374" s="3">
        <v>46117</v>
      </c>
      <c r="C374" t="s">
        <v>62</v>
      </c>
      <c r="D374" t="s">
        <v>63</v>
      </c>
      <c r="E374" t="s">
        <v>52</v>
      </c>
      <c r="F374" t="s">
        <v>14</v>
      </c>
      <c r="G374" t="s">
        <v>57</v>
      </c>
      <c r="H374" s="5">
        <v>105000</v>
      </c>
      <c r="I374" s="5">
        <v>0</v>
      </c>
      <c r="J374" s="5">
        <v>0</v>
      </c>
      <c r="K374" s="5">
        <f>Table2[[#This Row],[Advance Amount]]-Table2[[#This Row],[Expense Amount]]-Table2[[#This Row],[Return Amount]]</f>
        <v>105000</v>
      </c>
      <c r="L374" s="5" t="str">
        <f>IF(Table2[[#This Row],[Outstanding]]=0,"Settled",IF(Table2[[#This Row],[Outstanding]]&gt;0,"Outstanding"))</f>
        <v>Outstanding</v>
      </c>
      <c r="M374" s="5" t="str">
        <f>IF(Table2[[#This Row],[Advance Amount]]=Table2[[#This Row],[Expense Amount]]+Table2[[#This Row],[Return Amount]]+Table2[[#This Row],[Outstanding]],"Ok","Check")</f>
        <v>Ok</v>
      </c>
      <c r="N374" s="11">
        <f>IF(Table2[[#This Row],[Status]]="Settled",0,$Q$2-Table2[[#This Row],[Date]])</f>
        <v>148</v>
      </c>
      <c r="O374" s="5" t="str">
        <f>IF(Table2[[#This Row],[Age Days]]&lt;=7,"Normal",IF(Table2[[#This Row],[Age Days]]&lt;=14,"Perlu Dipantau",IF(Table2[[#This Row],[Age Days]]&lt;=30,"Perlu Ditindaklanjuti","Overdue")))</f>
        <v>Overdue</v>
      </c>
    </row>
    <row r="375" spans="1:15" x14ac:dyDescent="0.3">
      <c r="A375" t="s">
        <v>459</v>
      </c>
      <c r="B375" s="3">
        <v>46117</v>
      </c>
      <c r="C375" t="s">
        <v>44</v>
      </c>
      <c r="D375" t="s">
        <v>45</v>
      </c>
      <c r="E375" t="s">
        <v>43</v>
      </c>
      <c r="F375" t="s">
        <v>20</v>
      </c>
      <c r="G375" t="s">
        <v>15</v>
      </c>
      <c r="H375" s="5">
        <v>3375000</v>
      </c>
      <c r="I375" s="5">
        <v>2600000</v>
      </c>
      <c r="J375" s="5">
        <v>775000</v>
      </c>
      <c r="K375" s="5">
        <f>Table2[[#This Row],[Advance Amount]]-Table2[[#This Row],[Expense Amount]]-Table2[[#This Row],[Return Amount]]</f>
        <v>0</v>
      </c>
      <c r="L375" s="5" t="str">
        <f>IF(Table2[[#This Row],[Outstanding]]=0,"Settled",IF(Table2[[#This Row],[Outstanding]]&gt;0,"Outstanding"))</f>
        <v>Settled</v>
      </c>
      <c r="M375" s="5" t="str">
        <f>IF(Table2[[#This Row],[Advance Amount]]=Table2[[#This Row],[Expense Amount]]+Table2[[#This Row],[Return Amount]]+Table2[[#This Row],[Outstanding]],"Ok","Check")</f>
        <v>Ok</v>
      </c>
      <c r="N375" s="11">
        <f>IF(Table2[[#This Row],[Status]]="Settled",0,$Q$2-Table2[[#This Row],[Date]])</f>
        <v>0</v>
      </c>
      <c r="O375" s="5" t="str">
        <f>IF(Table2[[#This Row],[Age Days]]&lt;=7,"Normal",IF(Table2[[#This Row],[Age Days]]&lt;=14,"Perlu Dipantau",IF(Table2[[#This Row],[Age Days]]&lt;=30,"Perlu Ditindaklanjuti","Overdue")))</f>
        <v>Normal</v>
      </c>
    </row>
    <row r="376" spans="1:15" x14ac:dyDescent="0.3">
      <c r="A376" t="s">
        <v>460</v>
      </c>
      <c r="B376" s="3">
        <v>46117</v>
      </c>
      <c r="C376" t="s">
        <v>17</v>
      </c>
      <c r="D376" t="s">
        <v>18</v>
      </c>
      <c r="E376" t="s">
        <v>19</v>
      </c>
      <c r="F376" t="s">
        <v>20</v>
      </c>
      <c r="G376" t="s">
        <v>34</v>
      </c>
      <c r="H376" s="5">
        <v>450000</v>
      </c>
      <c r="I376" s="5">
        <v>0</v>
      </c>
      <c r="J376" s="5">
        <v>0</v>
      </c>
      <c r="K376" s="5">
        <f>Table2[[#This Row],[Advance Amount]]-Table2[[#This Row],[Expense Amount]]-Table2[[#This Row],[Return Amount]]</f>
        <v>450000</v>
      </c>
      <c r="L376" s="5" t="str">
        <f>IF(Table2[[#This Row],[Outstanding]]=0,"Settled",IF(Table2[[#This Row],[Outstanding]]&gt;0,"Outstanding"))</f>
        <v>Outstanding</v>
      </c>
      <c r="M376" s="5" t="str">
        <f>IF(Table2[[#This Row],[Advance Amount]]=Table2[[#This Row],[Expense Amount]]+Table2[[#This Row],[Return Amount]]+Table2[[#This Row],[Outstanding]],"Ok","Check")</f>
        <v>Ok</v>
      </c>
      <c r="N376" s="11">
        <f>IF(Table2[[#This Row],[Status]]="Settled",0,$Q$2-Table2[[#This Row],[Date]])</f>
        <v>148</v>
      </c>
      <c r="O376" s="5" t="str">
        <f>IF(Table2[[#This Row],[Age Days]]&lt;=7,"Normal",IF(Table2[[#This Row],[Age Days]]&lt;=14,"Perlu Dipantau",IF(Table2[[#This Row],[Age Days]]&lt;=30,"Perlu Ditindaklanjuti","Overdue")))</f>
        <v>Overdue</v>
      </c>
    </row>
    <row r="377" spans="1:15" x14ac:dyDescent="0.3">
      <c r="A377" t="s">
        <v>461</v>
      </c>
      <c r="B377" s="3">
        <v>46117</v>
      </c>
      <c r="C377" t="s">
        <v>66</v>
      </c>
      <c r="D377" t="s">
        <v>67</v>
      </c>
      <c r="E377" t="s">
        <v>13</v>
      </c>
      <c r="F377" t="s">
        <v>20</v>
      </c>
      <c r="G377" t="s">
        <v>28</v>
      </c>
      <c r="H377" s="5">
        <v>380000</v>
      </c>
      <c r="I377" s="5">
        <v>350000</v>
      </c>
      <c r="J377" s="5">
        <v>30000</v>
      </c>
      <c r="K377" s="5">
        <f>Table2[[#This Row],[Advance Amount]]-Table2[[#This Row],[Expense Amount]]-Table2[[#This Row],[Return Amount]]</f>
        <v>0</v>
      </c>
      <c r="L377" s="5" t="str">
        <f>IF(Table2[[#This Row],[Outstanding]]=0,"Settled",IF(Table2[[#This Row],[Outstanding]]&gt;0,"Outstanding"))</f>
        <v>Settled</v>
      </c>
      <c r="M377" s="5" t="str">
        <f>IF(Table2[[#This Row],[Advance Amount]]=Table2[[#This Row],[Expense Amount]]+Table2[[#This Row],[Return Amount]]+Table2[[#This Row],[Outstanding]],"Ok","Check")</f>
        <v>Ok</v>
      </c>
      <c r="N377" s="11">
        <f>IF(Table2[[#This Row],[Status]]="Settled",0,$Q$2-Table2[[#This Row],[Date]])</f>
        <v>0</v>
      </c>
      <c r="O377" s="5" t="str">
        <f>IF(Table2[[#This Row],[Age Days]]&lt;=7,"Normal",IF(Table2[[#This Row],[Age Days]]&lt;=14,"Perlu Dipantau",IF(Table2[[#This Row],[Age Days]]&lt;=30,"Perlu Ditindaklanjuti","Overdue")))</f>
        <v>Normal</v>
      </c>
    </row>
    <row r="378" spans="1:15" x14ac:dyDescent="0.3">
      <c r="A378" t="s">
        <v>462</v>
      </c>
      <c r="B378" s="3">
        <v>46118</v>
      </c>
      <c r="C378" t="s">
        <v>50</v>
      </c>
      <c r="D378" t="s">
        <v>51</v>
      </c>
      <c r="E378" t="s">
        <v>52</v>
      </c>
      <c r="F378" t="s">
        <v>14</v>
      </c>
      <c r="G378" t="s">
        <v>40</v>
      </c>
      <c r="H378" s="5">
        <v>525000</v>
      </c>
      <c r="I378" s="5">
        <v>425000</v>
      </c>
      <c r="J378" s="5">
        <v>100000</v>
      </c>
      <c r="K378" s="5">
        <f>Table2[[#This Row],[Advance Amount]]-Table2[[#This Row],[Expense Amount]]-Table2[[#This Row],[Return Amount]]</f>
        <v>0</v>
      </c>
      <c r="L378" s="5" t="str">
        <f>IF(Table2[[#This Row],[Outstanding]]=0,"Settled",IF(Table2[[#This Row],[Outstanding]]&gt;0,"Outstanding"))</f>
        <v>Settled</v>
      </c>
      <c r="M378" s="5" t="str">
        <f>IF(Table2[[#This Row],[Advance Amount]]=Table2[[#This Row],[Expense Amount]]+Table2[[#This Row],[Return Amount]]+Table2[[#This Row],[Outstanding]],"Ok","Check")</f>
        <v>Ok</v>
      </c>
      <c r="N378" s="11">
        <f>IF(Table2[[#This Row],[Status]]="Settled",0,$Q$2-Table2[[#This Row],[Date]])</f>
        <v>0</v>
      </c>
      <c r="O378" s="5" t="str">
        <f>IF(Table2[[#This Row],[Age Days]]&lt;=7,"Normal",IF(Table2[[#This Row],[Age Days]]&lt;=14,"Perlu Dipantau",IF(Table2[[#This Row],[Age Days]]&lt;=30,"Perlu Ditindaklanjuti","Overdue")))</f>
        <v>Normal</v>
      </c>
    </row>
    <row r="379" spans="1:15" x14ac:dyDescent="0.3">
      <c r="A379" t="s">
        <v>463</v>
      </c>
      <c r="B379" s="3">
        <v>46118</v>
      </c>
      <c r="C379" t="s">
        <v>22</v>
      </c>
      <c r="D379" t="s">
        <v>23</v>
      </c>
      <c r="E379" t="s">
        <v>24</v>
      </c>
      <c r="F379" t="s">
        <v>14</v>
      </c>
      <c r="G379" t="s">
        <v>15</v>
      </c>
      <c r="H379" s="5">
        <v>1925000</v>
      </c>
      <c r="I379" s="5">
        <v>0</v>
      </c>
      <c r="J379" s="5">
        <v>0</v>
      </c>
      <c r="K379" s="5">
        <f>Table2[[#This Row],[Advance Amount]]-Table2[[#This Row],[Expense Amount]]-Table2[[#This Row],[Return Amount]]</f>
        <v>1925000</v>
      </c>
      <c r="L379" s="5" t="str">
        <f>IF(Table2[[#This Row],[Outstanding]]=0,"Settled",IF(Table2[[#This Row],[Outstanding]]&gt;0,"Outstanding"))</f>
        <v>Outstanding</v>
      </c>
      <c r="M379" s="5" t="str">
        <f>IF(Table2[[#This Row],[Advance Amount]]=Table2[[#This Row],[Expense Amount]]+Table2[[#This Row],[Return Amount]]+Table2[[#This Row],[Outstanding]],"Ok","Check")</f>
        <v>Ok</v>
      </c>
      <c r="N379" s="11">
        <f>IF(Table2[[#This Row],[Status]]="Settled",0,$Q$2-Table2[[#This Row],[Date]])</f>
        <v>147</v>
      </c>
      <c r="O379" s="5" t="str">
        <f>IF(Table2[[#This Row],[Age Days]]&lt;=7,"Normal",IF(Table2[[#This Row],[Age Days]]&lt;=14,"Perlu Dipantau",IF(Table2[[#This Row],[Age Days]]&lt;=30,"Perlu Ditindaklanjuti","Overdue")))</f>
        <v>Overdue</v>
      </c>
    </row>
    <row r="380" spans="1:15" x14ac:dyDescent="0.3">
      <c r="A380" t="s">
        <v>464</v>
      </c>
      <c r="B380" s="3">
        <v>46118</v>
      </c>
      <c r="C380" t="s">
        <v>59</v>
      </c>
      <c r="D380" t="s">
        <v>60</v>
      </c>
      <c r="E380" t="s">
        <v>19</v>
      </c>
      <c r="F380" t="s">
        <v>20</v>
      </c>
      <c r="G380" t="s">
        <v>28</v>
      </c>
      <c r="H380" s="5">
        <v>80000</v>
      </c>
      <c r="I380" s="5">
        <v>50000</v>
      </c>
      <c r="J380" s="5">
        <v>30000</v>
      </c>
      <c r="K380" s="5">
        <f>Table2[[#This Row],[Advance Amount]]-Table2[[#This Row],[Expense Amount]]-Table2[[#This Row],[Return Amount]]</f>
        <v>0</v>
      </c>
      <c r="L380" s="5" t="str">
        <f>IF(Table2[[#This Row],[Outstanding]]=0,"Settled",IF(Table2[[#This Row],[Outstanding]]&gt;0,"Outstanding"))</f>
        <v>Settled</v>
      </c>
      <c r="M380" s="5" t="str">
        <f>IF(Table2[[#This Row],[Advance Amount]]=Table2[[#This Row],[Expense Amount]]+Table2[[#This Row],[Return Amount]]+Table2[[#This Row],[Outstanding]],"Ok","Check")</f>
        <v>Ok</v>
      </c>
      <c r="N380" s="11">
        <f>IF(Table2[[#This Row],[Status]]="Settled",0,$Q$2-Table2[[#This Row],[Date]])</f>
        <v>0</v>
      </c>
      <c r="O380" s="5" t="str">
        <f>IF(Table2[[#This Row],[Age Days]]&lt;=7,"Normal",IF(Table2[[#This Row],[Age Days]]&lt;=14,"Perlu Dipantau",IF(Table2[[#This Row],[Age Days]]&lt;=30,"Perlu Ditindaklanjuti","Overdue")))</f>
        <v>Normal</v>
      </c>
    </row>
    <row r="381" spans="1:15" x14ac:dyDescent="0.3">
      <c r="A381" t="s">
        <v>465</v>
      </c>
      <c r="B381" s="3">
        <v>46119</v>
      </c>
      <c r="C381" t="s">
        <v>32</v>
      </c>
      <c r="D381" t="s">
        <v>33</v>
      </c>
      <c r="E381" t="s">
        <v>27</v>
      </c>
      <c r="F381" t="s">
        <v>20</v>
      </c>
      <c r="G381" t="s">
        <v>61</v>
      </c>
      <c r="H381" s="5">
        <v>500000</v>
      </c>
      <c r="I381" s="5">
        <v>375000</v>
      </c>
      <c r="J381" s="5">
        <v>125000</v>
      </c>
      <c r="K381" s="5">
        <f>Table2[[#This Row],[Advance Amount]]-Table2[[#This Row],[Expense Amount]]-Table2[[#This Row],[Return Amount]]</f>
        <v>0</v>
      </c>
      <c r="L381" s="5" t="str">
        <f>IF(Table2[[#This Row],[Outstanding]]=0,"Settled",IF(Table2[[#This Row],[Outstanding]]&gt;0,"Outstanding"))</f>
        <v>Settled</v>
      </c>
      <c r="M381" s="5" t="str">
        <f>IF(Table2[[#This Row],[Advance Amount]]=Table2[[#This Row],[Expense Amount]]+Table2[[#This Row],[Return Amount]]+Table2[[#This Row],[Outstanding]],"Ok","Check")</f>
        <v>Ok</v>
      </c>
      <c r="N381" s="11">
        <f>IF(Table2[[#This Row],[Status]]="Settled",0,$Q$2-Table2[[#This Row],[Date]])</f>
        <v>0</v>
      </c>
      <c r="O381" s="5" t="str">
        <f>IF(Table2[[#This Row],[Age Days]]&lt;=7,"Normal",IF(Table2[[#This Row],[Age Days]]&lt;=14,"Perlu Dipantau",IF(Table2[[#This Row],[Age Days]]&lt;=30,"Perlu Ditindaklanjuti","Overdue")))</f>
        <v>Normal</v>
      </c>
    </row>
    <row r="382" spans="1:15" x14ac:dyDescent="0.3">
      <c r="A382" t="s">
        <v>466</v>
      </c>
      <c r="B382" s="3">
        <v>46119</v>
      </c>
      <c r="C382" t="s">
        <v>11</v>
      </c>
      <c r="D382" t="s">
        <v>12</v>
      </c>
      <c r="E382" t="s">
        <v>13</v>
      </c>
      <c r="F382" t="s">
        <v>20</v>
      </c>
      <c r="G382" t="s">
        <v>15</v>
      </c>
      <c r="H382" s="5">
        <v>1875000</v>
      </c>
      <c r="I382" s="5">
        <v>1625000</v>
      </c>
      <c r="J382" s="5">
        <v>250000</v>
      </c>
      <c r="K382" s="5">
        <f>Table2[[#This Row],[Advance Amount]]-Table2[[#This Row],[Expense Amount]]-Table2[[#This Row],[Return Amount]]</f>
        <v>0</v>
      </c>
      <c r="L382" s="5" t="str">
        <f>IF(Table2[[#This Row],[Outstanding]]=0,"Settled",IF(Table2[[#This Row],[Outstanding]]&gt;0,"Outstanding"))</f>
        <v>Settled</v>
      </c>
      <c r="M382" s="5" t="str">
        <f>IF(Table2[[#This Row],[Advance Amount]]=Table2[[#This Row],[Expense Amount]]+Table2[[#This Row],[Return Amount]]+Table2[[#This Row],[Outstanding]],"Ok","Check")</f>
        <v>Ok</v>
      </c>
      <c r="N382" s="11">
        <f>IF(Table2[[#This Row],[Status]]="Settled",0,$Q$2-Table2[[#This Row],[Date]])</f>
        <v>0</v>
      </c>
      <c r="O382" s="5" t="str">
        <f>IF(Table2[[#This Row],[Age Days]]&lt;=7,"Normal",IF(Table2[[#This Row],[Age Days]]&lt;=14,"Perlu Dipantau",IF(Table2[[#This Row],[Age Days]]&lt;=30,"Perlu Ditindaklanjuti","Overdue")))</f>
        <v>Normal</v>
      </c>
    </row>
    <row r="383" spans="1:15" x14ac:dyDescent="0.3">
      <c r="A383" t="s">
        <v>467</v>
      </c>
      <c r="B383" s="3">
        <v>46119</v>
      </c>
      <c r="C383" t="s">
        <v>17</v>
      </c>
      <c r="D383" t="s">
        <v>18</v>
      </c>
      <c r="E383" t="s">
        <v>19</v>
      </c>
      <c r="F383" t="s">
        <v>14</v>
      </c>
      <c r="G383" t="s">
        <v>40</v>
      </c>
      <c r="H383" s="5">
        <v>625000</v>
      </c>
      <c r="I383" s="5">
        <v>600000</v>
      </c>
      <c r="J383" s="5">
        <v>25000</v>
      </c>
      <c r="K383" s="5">
        <f>Table2[[#This Row],[Advance Amount]]-Table2[[#This Row],[Expense Amount]]-Table2[[#This Row],[Return Amount]]</f>
        <v>0</v>
      </c>
      <c r="L383" s="5" t="str">
        <f>IF(Table2[[#This Row],[Outstanding]]=0,"Settled",IF(Table2[[#This Row],[Outstanding]]&gt;0,"Outstanding"))</f>
        <v>Settled</v>
      </c>
      <c r="M383" s="5" t="str">
        <f>IF(Table2[[#This Row],[Advance Amount]]=Table2[[#This Row],[Expense Amount]]+Table2[[#This Row],[Return Amount]]+Table2[[#This Row],[Outstanding]],"Ok","Check")</f>
        <v>Ok</v>
      </c>
      <c r="N383" s="11">
        <f>IF(Table2[[#This Row],[Status]]="Settled",0,$Q$2-Table2[[#This Row],[Date]])</f>
        <v>0</v>
      </c>
      <c r="O383" s="5" t="str">
        <f>IF(Table2[[#This Row],[Age Days]]&lt;=7,"Normal",IF(Table2[[#This Row],[Age Days]]&lt;=14,"Perlu Dipantau",IF(Table2[[#This Row],[Age Days]]&lt;=30,"Perlu Ditindaklanjuti","Overdue")))</f>
        <v>Normal</v>
      </c>
    </row>
    <row r="384" spans="1:15" x14ac:dyDescent="0.3">
      <c r="A384" t="s">
        <v>468</v>
      </c>
      <c r="B384" s="3">
        <v>46119</v>
      </c>
      <c r="C384" t="s">
        <v>50</v>
      </c>
      <c r="D384" t="s">
        <v>51</v>
      </c>
      <c r="E384" t="s">
        <v>52</v>
      </c>
      <c r="F384" t="s">
        <v>20</v>
      </c>
      <c r="G384" t="s">
        <v>61</v>
      </c>
      <c r="H384" s="5">
        <v>400000</v>
      </c>
      <c r="I384" s="5">
        <v>0</v>
      </c>
      <c r="J384" s="5">
        <v>0</v>
      </c>
      <c r="K384" s="5">
        <f>Table2[[#This Row],[Advance Amount]]-Table2[[#This Row],[Expense Amount]]-Table2[[#This Row],[Return Amount]]</f>
        <v>400000</v>
      </c>
      <c r="L384" s="5" t="str">
        <f>IF(Table2[[#This Row],[Outstanding]]=0,"Settled",IF(Table2[[#This Row],[Outstanding]]&gt;0,"Outstanding"))</f>
        <v>Outstanding</v>
      </c>
      <c r="M384" s="5" t="str">
        <f>IF(Table2[[#This Row],[Advance Amount]]=Table2[[#This Row],[Expense Amount]]+Table2[[#This Row],[Return Amount]]+Table2[[#This Row],[Outstanding]],"Ok","Check")</f>
        <v>Ok</v>
      </c>
      <c r="N384" s="11">
        <f>IF(Table2[[#This Row],[Status]]="Settled",0,$Q$2-Table2[[#This Row],[Date]])</f>
        <v>146</v>
      </c>
      <c r="O384" s="5" t="str">
        <f>IF(Table2[[#This Row],[Age Days]]&lt;=7,"Normal",IF(Table2[[#This Row],[Age Days]]&lt;=14,"Perlu Dipantau",IF(Table2[[#This Row],[Age Days]]&lt;=30,"Perlu Ditindaklanjuti","Overdue")))</f>
        <v>Overdue</v>
      </c>
    </row>
    <row r="385" spans="1:15" x14ac:dyDescent="0.3">
      <c r="A385" t="s">
        <v>469</v>
      </c>
      <c r="B385" s="3">
        <v>46119</v>
      </c>
      <c r="C385" t="s">
        <v>64</v>
      </c>
      <c r="D385" t="s">
        <v>65</v>
      </c>
      <c r="E385" t="s">
        <v>37</v>
      </c>
      <c r="F385" t="s">
        <v>14</v>
      </c>
      <c r="G385" t="s">
        <v>57</v>
      </c>
      <c r="H385" s="5">
        <v>405000</v>
      </c>
      <c r="I385" s="5">
        <v>300000</v>
      </c>
      <c r="J385" s="5">
        <v>105000</v>
      </c>
      <c r="K385" s="5">
        <f>Table2[[#This Row],[Advance Amount]]-Table2[[#This Row],[Expense Amount]]-Table2[[#This Row],[Return Amount]]</f>
        <v>0</v>
      </c>
      <c r="L385" s="5" t="str">
        <f>IF(Table2[[#This Row],[Outstanding]]=0,"Settled",IF(Table2[[#This Row],[Outstanding]]&gt;0,"Outstanding"))</f>
        <v>Settled</v>
      </c>
      <c r="M385" s="5" t="str">
        <f>IF(Table2[[#This Row],[Advance Amount]]=Table2[[#This Row],[Expense Amount]]+Table2[[#This Row],[Return Amount]]+Table2[[#This Row],[Outstanding]],"Ok","Check")</f>
        <v>Ok</v>
      </c>
      <c r="N385" s="11">
        <f>IF(Table2[[#This Row],[Status]]="Settled",0,$Q$2-Table2[[#This Row],[Date]])</f>
        <v>0</v>
      </c>
      <c r="O385" s="5" t="str">
        <f>IF(Table2[[#This Row],[Age Days]]&lt;=7,"Normal",IF(Table2[[#This Row],[Age Days]]&lt;=14,"Perlu Dipantau",IF(Table2[[#This Row],[Age Days]]&lt;=30,"Perlu Ditindaklanjuti","Overdue")))</f>
        <v>Normal</v>
      </c>
    </row>
    <row r="386" spans="1:15" x14ac:dyDescent="0.3">
      <c r="A386" t="s">
        <v>470</v>
      </c>
      <c r="B386" s="3">
        <v>46119</v>
      </c>
      <c r="C386" t="s">
        <v>66</v>
      </c>
      <c r="D386" t="s">
        <v>67</v>
      </c>
      <c r="E386" t="s">
        <v>13</v>
      </c>
      <c r="F386" t="s">
        <v>20</v>
      </c>
      <c r="G386" t="s">
        <v>40</v>
      </c>
      <c r="H386" s="5">
        <v>600000</v>
      </c>
      <c r="I386" s="5">
        <v>0</v>
      </c>
      <c r="J386" s="5">
        <v>0</v>
      </c>
      <c r="K386" s="5">
        <f>Table2[[#This Row],[Advance Amount]]-Table2[[#This Row],[Expense Amount]]-Table2[[#This Row],[Return Amount]]</f>
        <v>600000</v>
      </c>
      <c r="L386" s="5" t="str">
        <f>IF(Table2[[#This Row],[Outstanding]]=0,"Settled",IF(Table2[[#This Row],[Outstanding]]&gt;0,"Outstanding"))</f>
        <v>Outstanding</v>
      </c>
      <c r="M386" s="5" t="str">
        <f>IF(Table2[[#This Row],[Advance Amount]]=Table2[[#This Row],[Expense Amount]]+Table2[[#This Row],[Return Amount]]+Table2[[#This Row],[Outstanding]],"Ok","Check")</f>
        <v>Ok</v>
      </c>
      <c r="N386" s="11">
        <f>IF(Table2[[#This Row],[Status]]="Settled",0,$Q$2-Table2[[#This Row],[Date]])</f>
        <v>146</v>
      </c>
      <c r="O386" s="5" t="str">
        <f>IF(Table2[[#This Row],[Age Days]]&lt;=7,"Normal",IF(Table2[[#This Row],[Age Days]]&lt;=14,"Perlu Dipantau",IF(Table2[[#This Row],[Age Days]]&lt;=30,"Perlu Ditindaklanjuti","Overdue")))</f>
        <v>Overdue</v>
      </c>
    </row>
    <row r="387" spans="1:15" x14ac:dyDescent="0.3">
      <c r="A387" t="s">
        <v>471</v>
      </c>
      <c r="B387" s="3">
        <v>46119</v>
      </c>
      <c r="C387" t="s">
        <v>66</v>
      </c>
      <c r="D387" t="s">
        <v>67</v>
      </c>
      <c r="E387" t="s">
        <v>13</v>
      </c>
      <c r="F387" t="s">
        <v>20</v>
      </c>
      <c r="G387" t="s">
        <v>40</v>
      </c>
      <c r="H387" s="5">
        <v>300000</v>
      </c>
      <c r="I387" s="5">
        <v>250000</v>
      </c>
      <c r="J387" s="5">
        <v>50000</v>
      </c>
      <c r="K387" s="5">
        <f>Table2[[#This Row],[Advance Amount]]-Table2[[#This Row],[Expense Amount]]-Table2[[#This Row],[Return Amount]]</f>
        <v>0</v>
      </c>
      <c r="L387" s="5" t="str">
        <f>IF(Table2[[#This Row],[Outstanding]]=0,"Settled",IF(Table2[[#This Row],[Outstanding]]&gt;0,"Outstanding"))</f>
        <v>Settled</v>
      </c>
      <c r="M387" s="5" t="str">
        <f>IF(Table2[[#This Row],[Advance Amount]]=Table2[[#This Row],[Expense Amount]]+Table2[[#This Row],[Return Amount]]+Table2[[#This Row],[Outstanding]],"Ok","Check")</f>
        <v>Ok</v>
      </c>
      <c r="N387" s="11">
        <f>IF(Table2[[#This Row],[Status]]="Settled",0,$Q$2-Table2[[#This Row],[Date]])</f>
        <v>0</v>
      </c>
      <c r="O387" s="5" t="str">
        <f>IF(Table2[[#This Row],[Age Days]]&lt;=7,"Normal",IF(Table2[[#This Row],[Age Days]]&lt;=14,"Perlu Dipantau",IF(Table2[[#This Row],[Age Days]]&lt;=30,"Perlu Ditindaklanjuti","Overdue")))</f>
        <v>Normal</v>
      </c>
    </row>
    <row r="388" spans="1:15" x14ac:dyDescent="0.3">
      <c r="A388" t="s">
        <v>472</v>
      </c>
      <c r="B388" s="3">
        <v>46120</v>
      </c>
      <c r="C388" t="s">
        <v>55</v>
      </c>
      <c r="D388" t="s">
        <v>56</v>
      </c>
      <c r="E388" t="s">
        <v>24</v>
      </c>
      <c r="F388" t="s">
        <v>14</v>
      </c>
      <c r="G388" t="s">
        <v>15</v>
      </c>
      <c r="H388" s="5">
        <v>2175000</v>
      </c>
      <c r="I388" s="5">
        <v>1650000</v>
      </c>
      <c r="J388" s="5">
        <v>525000</v>
      </c>
      <c r="K388" s="5">
        <f>Table2[[#This Row],[Advance Amount]]-Table2[[#This Row],[Expense Amount]]-Table2[[#This Row],[Return Amount]]</f>
        <v>0</v>
      </c>
      <c r="L388" s="5" t="str">
        <f>IF(Table2[[#This Row],[Outstanding]]=0,"Settled",IF(Table2[[#This Row],[Outstanding]]&gt;0,"Outstanding"))</f>
        <v>Settled</v>
      </c>
      <c r="M388" s="5" t="str">
        <f>IF(Table2[[#This Row],[Advance Amount]]=Table2[[#This Row],[Expense Amount]]+Table2[[#This Row],[Return Amount]]+Table2[[#This Row],[Outstanding]],"Ok","Check")</f>
        <v>Ok</v>
      </c>
      <c r="N388" s="11">
        <f>IF(Table2[[#This Row],[Status]]="Settled",0,$Q$2-Table2[[#This Row],[Date]])</f>
        <v>0</v>
      </c>
      <c r="O388" s="5" t="str">
        <f>IF(Table2[[#This Row],[Age Days]]&lt;=7,"Normal",IF(Table2[[#This Row],[Age Days]]&lt;=14,"Perlu Dipantau",IF(Table2[[#This Row],[Age Days]]&lt;=30,"Perlu Ditindaklanjuti","Overdue")))</f>
        <v>Normal</v>
      </c>
    </row>
    <row r="389" spans="1:15" x14ac:dyDescent="0.3">
      <c r="A389" t="s">
        <v>473</v>
      </c>
      <c r="B389" s="3">
        <v>46120</v>
      </c>
      <c r="C389" t="s">
        <v>50</v>
      </c>
      <c r="D389" t="s">
        <v>51</v>
      </c>
      <c r="E389" t="s">
        <v>52</v>
      </c>
      <c r="F389" t="s">
        <v>20</v>
      </c>
      <c r="G389" t="s">
        <v>34</v>
      </c>
      <c r="H389" s="5">
        <v>350000</v>
      </c>
      <c r="I389" s="5">
        <v>300000</v>
      </c>
      <c r="J389" s="5">
        <v>50000</v>
      </c>
      <c r="K389" s="5">
        <f>Table2[[#This Row],[Advance Amount]]-Table2[[#This Row],[Expense Amount]]-Table2[[#This Row],[Return Amount]]</f>
        <v>0</v>
      </c>
      <c r="L389" s="5" t="str">
        <f>IF(Table2[[#This Row],[Outstanding]]=0,"Settled",IF(Table2[[#This Row],[Outstanding]]&gt;0,"Outstanding"))</f>
        <v>Settled</v>
      </c>
      <c r="M389" s="5" t="str">
        <f>IF(Table2[[#This Row],[Advance Amount]]=Table2[[#This Row],[Expense Amount]]+Table2[[#This Row],[Return Amount]]+Table2[[#This Row],[Outstanding]],"Ok","Check")</f>
        <v>Ok</v>
      </c>
      <c r="N389" s="11">
        <f>IF(Table2[[#This Row],[Status]]="Settled",0,$Q$2-Table2[[#This Row],[Date]])</f>
        <v>0</v>
      </c>
      <c r="O389" s="5" t="str">
        <f>IF(Table2[[#This Row],[Age Days]]&lt;=7,"Normal",IF(Table2[[#This Row],[Age Days]]&lt;=14,"Perlu Dipantau",IF(Table2[[#This Row],[Age Days]]&lt;=30,"Perlu Ditindaklanjuti","Overdue")))</f>
        <v>Normal</v>
      </c>
    </row>
    <row r="390" spans="1:15" x14ac:dyDescent="0.3">
      <c r="A390" t="s">
        <v>474</v>
      </c>
      <c r="B390" s="3">
        <v>46121</v>
      </c>
      <c r="C390" t="s">
        <v>48</v>
      </c>
      <c r="D390" t="s">
        <v>49</v>
      </c>
      <c r="E390" t="s">
        <v>19</v>
      </c>
      <c r="F390" t="s">
        <v>20</v>
      </c>
      <c r="G390" t="s">
        <v>28</v>
      </c>
      <c r="H390" s="5">
        <v>330000</v>
      </c>
      <c r="I390" s="5">
        <v>275000</v>
      </c>
      <c r="J390" s="5">
        <v>55000</v>
      </c>
      <c r="K390" s="5">
        <f>Table2[[#This Row],[Advance Amount]]-Table2[[#This Row],[Expense Amount]]-Table2[[#This Row],[Return Amount]]</f>
        <v>0</v>
      </c>
      <c r="L390" s="5" t="str">
        <f>IF(Table2[[#This Row],[Outstanding]]=0,"Settled",IF(Table2[[#This Row],[Outstanding]]&gt;0,"Outstanding"))</f>
        <v>Settled</v>
      </c>
      <c r="M390" s="5" t="str">
        <f>IF(Table2[[#This Row],[Advance Amount]]=Table2[[#This Row],[Expense Amount]]+Table2[[#This Row],[Return Amount]]+Table2[[#This Row],[Outstanding]],"Ok","Check")</f>
        <v>Ok</v>
      </c>
      <c r="N390" s="11">
        <f>IF(Table2[[#This Row],[Status]]="Settled",0,$Q$2-Table2[[#This Row],[Date]])</f>
        <v>0</v>
      </c>
      <c r="O390" s="5" t="str">
        <f>IF(Table2[[#This Row],[Age Days]]&lt;=7,"Normal",IF(Table2[[#This Row],[Age Days]]&lt;=14,"Perlu Dipantau",IF(Table2[[#This Row],[Age Days]]&lt;=30,"Perlu Ditindaklanjuti","Overdue")))</f>
        <v>Normal</v>
      </c>
    </row>
    <row r="391" spans="1:15" x14ac:dyDescent="0.3">
      <c r="A391" t="s">
        <v>475</v>
      </c>
      <c r="B391" s="3">
        <v>46121</v>
      </c>
      <c r="C391" t="s">
        <v>11</v>
      </c>
      <c r="D391" t="s">
        <v>12</v>
      </c>
      <c r="E391" t="s">
        <v>13</v>
      </c>
      <c r="F391" t="s">
        <v>20</v>
      </c>
      <c r="G391" t="s">
        <v>31</v>
      </c>
      <c r="H391" s="5">
        <v>875000</v>
      </c>
      <c r="I391" s="5">
        <v>0</v>
      </c>
      <c r="J391" s="5">
        <v>0</v>
      </c>
      <c r="K391" s="5">
        <f>Table2[[#This Row],[Advance Amount]]-Table2[[#This Row],[Expense Amount]]-Table2[[#This Row],[Return Amount]]</f>
        <v>875000</v>
      </c>
      <c r="L391" s="5" t="str">
        <f>IF(Table2[[#This Row],[Outstanding]]=0,"Settled",IF(Table2[[#This Row],[Outstanding]]&gt;0,"Outstanding"))</f>
        <v>Outstanding</v>
      </c>
      <c r="M391" s="5" t="str">
        <f>IF(Table2[[#This Row],[Advance Amount]]=Table2[[#This Row],[Expense Amount]]+Table2[[#This Row],[Return Amount]]+Table2[[#This Row],[Outstanding]],"Ok","Check")</f>
        <v>Ok</v>
      </c>
      <c r="N391" s="11">
        <f>IF(Table2[[#This Row],[Status]]="Settled",0,$Q$2-Table2[[#This Row],[Date]])</f>
        <v>144</v>
      </c>
      <c r="O391" s="5" t="str">
        <f>IF(Table2[[#This Row],[Age Days]]&lt;=7,"Normal",IF(Table2[[#This Row],[Age Days]]&lt;=14,"Perlu Dipantau",IF(Table2[[#This Row],[Age Days]]&lt;=30,"Perlu Ditindaklanjuti","Overdue")))</f>
        <v>Overdue</v>
      </c>
    </row>
    <row r="392" spans="1:15" x14ac:dyDescent="0.3">
      <c r="A392" t="s">
        <v>476</v>
      </c>
      <c r="B392" s="3">
        <v>46121</v>
      </c>
      <c r="C392" t="s">
        <v>44</v>
      </c>
      <c r="D392" t="s">
        <v>45</v>
      </c>
      <c r="E392" t="s">
        <v>43</v>
      </c>
      <c r="F392" t="s">
        <v>14</v>
      </c>
      <c r="G392" t="s">
        <v>31</v>
      </c>
      <c r="H392" s="5">
        <v>750000</v>
      </c>
      <c r="I392" s="5">
        <v>0</v>
      </c>
      <c r="J392" s="5">
        <v>0</v>
      </c>
      <c r="K392" s="5">
        <f>Table2[[#This Row],[Advance Amount]]-Table2[[#This Row],[Expense Amount]]-Table2[[#This Row],[Return Amount]]</f>
        <v>750000</v>
      </c>
      <c r="L392" s="5" t="str">
        <f>IF(Table2[[#This Row],[Outstanding]]=0,"Settled",IF(Table2[[#This Row],[Outstanding]]&gt;0,"Outstanding"))</f>
        <v>Outstanding</v>
      </c>
      <c r="M392" s="5" t="str">
        <f>IF(Table2[[#This Row],[Advance Amount]]=Table2[[#This Row],[Expense Amount]]+Table2[[#This Row],[Return Amount]]+Table2[[#This Row],[Outstanding]],"Ok","Check")</f>
        <v>Ok</v>
      </c>
      <c r="N392" s="11">
        <f>IF(Table2[[#This Row],[Status]]="Settled",0,$Q$2-Table2[[#This Row],[Date]])</f>
        <v>144</v>
      </c>
      <c r="O392" s="5" t="str">
        <f>IF(Table2[[#This Row],[Age Days]]&lt;=7,"Normal",IF(Table2[[#This Row],[Age Days]]&lt;=14,"Perlu Dipantau",IF(Table2[[#This Row],[Age Days]]&lt;=30,"Perlu Ditindaklanjuti","Overdue")))</f>
        <v>Overdue</v>
      </c>
    </row>
    <row r="393" spans="1:15" x14ac:dyDescent="0.3">
      <c r="A393" t="s">
        <v>477</v>
      </c>
      <c r="B393" s="3">
        <v>46121</v>
      </c>
      <c r="C393" t="s">
        <v>59</v>
      </c>
      <c r="D393" t="s">
        <v>60</v>
      </c>
      <c r="E393" t="s">
        <v>19</v>
      </c>
      <c r="F393" t="s">
        <v>14</v>
      </c>
      <c r="G393" t="s">
        <v>40</v>
      </c>
      <c r="H393" s="5">
        <v>600000</v>
      </c>
      <c r="I393" s="5">
        <v>0</v>
      </c>
      <c r="J393" s="5">
        <v>0</v>
      </c>
      <c r="K393" s="5">
        <f>Table2[[#This Row],[Advance Amount]]-Table2[[#This Row],[Expense Amount]]-Table2[[#This Row],[Return Amount]]</f>
        <v>600000</v>
      </c>
      <c r="L393" s="5" t="str">
        <f>IF(Table2[[#This Row],[Outstanding]]=0,"Settled",IF(Table2[[#This Row],[Outstanding]]&gt;0,"Outstanding"))</f>
        <v>Outstanding</v>
      </c>
      <c r="M393" s="5" t="str">
        <f>IF(Table2[[#This Row],[Advance Amount]]=Table2[[#This Row],[Expense Amount]]+Table2[[#This Row],[Return Amount]]+Table2[[#This Row],[Outstanding]],"Ok","Check")</f>
        <v>Ok</v>
      </c>
      <c r="N393" s="11">
        <f>IF(Table2[[#This Row],[Status]]="Settled",0,$Q$2-Table2[[#This Row],[Date]])</f>
        <v>144</v>
      </c>
      <c r="O393" s="5" t="str">
        <f>IF(Table2[[#This Row],[Age Days]]&lt;=7,"Normal",IF(Table2[[#This Row],[Age Days]]&lt;=14,"Perlu Dipantau",IF(Table2[[#This Row],[Age Days]]&lt;=30,"Perlu Ditindaklanjuti","Overdue")))</f>
        <v>Overdue</v>
      </c>
    </row>
    <row r="394" spans="1:15" x14ac:dyDescent="0.3">
      <c r="A394" t="s">
        <v>478</v>
      </c>
      <c r="B394" s="3">
        <v>46122</v>
      </c>
      <c r="C394" t="s">
        <v>55</v>
      </c>
      <c r="D394" t="s">
        <v>56</v>
      </c>
      <c r="E394" t="s">
        <v>24</v>
      </c>
      <c r="F394" t="s">
        <v>14</v>
      </c>
      <c r="G394" t="s">
        <v>15</v>
      </c>
      <c r="H394" s="5">
        <v>650000</v>
      </c>
      <c r="I394" s="5">
        <v>0</v>
      </c>
      <c r="J394" s="5">
        <v>0</v>
      </c>
      <c r="K394" s="5">
        <f>Table2[[#This Row],[Advance Amount]]-Table2[[#This Row],[Expense Amount]]-Table2[[#This Row],[Return Amount]]</f>
        <v>650000</v>
      </c>
      <c r="L394" s="5" t="str">
        <f>IF(Table2[[#This Row],[Outstanding]]=0,"Settled",IF(Table2[[#This Row],[Outstanding]]&gt;0,"Outstanding"))</f>
        <v>Outstanding</v>
      </c>
      <c r="M394" s="5" t="str">
        <f>IF(Table2[[#This Row],[Advance Amount]]=Table2[[#This Row],[Expense Amount]]+Table2[[#This Row],[Return Amount]]+Table2[[#This Row],[Outstanding]],"Ok","Check")</f>
        <v>Ok</v>
      </c>
      <c r="N394" s="11">
        <f>IF(Table2[[#This Row],[Status]]="Settled",0,$Q$2-Table2[[#This Row],[Date]])</f>
        <v>143</v>
      </c>
      <c r="O394" s="5" t="str">
        <f>IF(Table2[[#This Row],[Age Days]]&lt;=7,"Normal",IF(Table2[[#This Row],[Age Days]]&lt;=14,"Perlu Dipantau",IF(Table2[[#This Row],[Age Days]]&lt;=30,"Perlu Ditindaklanjuti","Overdue")))</f>
        <v>Overdue</v>
      </c>
    </row>
    <row r="395" spans="1:15" x14ac:dyDescent="0.3">
      <c r="A395" t="s">
        <v>479</v>
      </c>
      <c r="B395" s="3">
        <v>46122</v>
      </c>
      <c r="C395" t="s">
        <v>41</v>
      </c>
      <c r="D395" t="s">
        <v>42</v>
      </c>
      <c r="E395" t="s">
        <v>43</v>
      </c>
      <c r="F395" t="s">
        <v>20</v>
      </c>
      <c r="G395" t="s">
        <v>34</v>
      </c>
      <c r="H395" s="5">
        <v>225000</v>
      </c>
      <c r="I395" s="5">
        <v>175000</v>
      </c>
      <c r="J395" s="5">
        <v>50000</v>
      </c>
      <c r="K395" s="5">
        <f>Table2[[#This Row],[Advance Amount]]-Table2[[#This Row],[Expense Amount]]-Table2[[#This Row],[Return Amount]]</f>
        <v>0</v>
      </c>
      <c r="L395" s="5" t="str">
        <f>IF(Table2[[#This Row],[Outstanding]]=0,"Settled",IF(Table2[[#This Row],[Outstanding]]&gt;0,"Outstanding"))</f>
        <v>Settled</v>
      </c>
      <c r="M395" s="5" t="str">
        <f>IF(Table2[[#This Row],[Advance Amount]]=Table2[[#This Row],[Expense Amount]]+Table2[[#This Row],[Return Amount]]+Table2[[#This Row],[Outstanding]],"Ok","Check")</f>
        <v>Ok</v>
      </c>
      <c r="N395" s="11">
        <f>IF(Table2[[#This Row],[Status]]="Settled",0,$Q$2-Table2[[#This Row],[Date]])</f>
        <v>0</v>
      </c>
      <c r="O395" s="5" t="str">
        <f>IF(Table2[[#This Row],[Age Days]]&lt;=7,"Normal",IF(Table2[[#This Row],[Age Days]]&lt;=14,"Perlu Dipantau",IF(Table2[[#This Row],[Age Days]]&lt;=30,"Perlu Ditindaklanjuti","Overdue")))</f>
        <v>Normal</v>
      </c>
    </row>
    <row r="396" spans="1:15" x14ac:dyDescent="0.3">
      <c r="A396" t="s">
        <v>480</v>
      </c>
      <c r="B396" s="3">
        <v>46122</v>
      </c>
      <c r="C396" t="s">
        <v>17</v>
      </c>
      <c r="D396" t="s">
        <v>18</v>
      </c>
      <c r="E396" t="s">
        <v>19</v>
      </c>
      <c r="F396" t="s">
        <v>20</v>
      </c>
      <c r="G396" t="s">
        <v>28</v>
      </c>
      <c r="H396" s="5">
        <v>405000</v>
      </c>
      <c r="I396" s="5">
        <v>400000</v>
      </c>
      <c r="J396" s="5">
        <v>5000</v>
      </c>
      <c r="K396" s="5">
        <f>Table2[[#This Row],[Advance Amount]]-Table2[[#This Row],[Expense Amount]]-Table2[[#This Row],[Return Amount]]</f>
        <v>0</v>
      </c>
      <c r="L396" s="5" t="str">
        <f>IF(Table2[[#This Row],[Outstanding]]=0,"Settled",IF(Table2[[#This Row],[Outstanding]]&gt;0,"Outstanding"))</f>
        <v>Settled</v>
      </c>
      <c r="M396" s="5" t="str">
        <f>IF(Table2[[#This Row],[Advance Amount]]=Table2[[#This Row],[Expense Amount]]+Table2[[#This Row],[Return Amount]]+Table2[[#This Row],[Outstanding]],"Ok","Check")</f>
        <v>Ok</v>
      </c>
      <c r="N396" s="11">
        <f>IF(Table2[[#This Row],[Status]]="Settled",0,$Q$2-Table2[[#This Row],[Date]])</f>
        <v>0</v>
      </c>
      <c r="O396" s="5" t="str">
        <f>IF(Table2[[#This Row],[Age Days]]&lt;=7,"Normal",IF(Table2[[#This Row],[Age Days]]&lt;=14,"Perlu Dipantau",IF(Table2[[#This Row],[Age Days]]&lt;=30,"Perlu Ditindaklanjuti","Overdue")))</f>
        <v>Normal</v>
      </c>
    </row>
    <row r="397" spans="1:15" x14ac:dyDescent="0.3">
      <c r="A397" t="s">
        <v>481</v>
      </c>
      <c r="B397" s="3">
        <v>46123</v>
      </c>
      <c r="C397" t="s">
        <v>55</v>
      </c>
      <c r="D397" t="s">
        <v>56</v>
      </c>
      <c r="E397" t="s">
        <v>24</v>
      </c>
      <c r="F397" t="s">
        <v>20</v>
      </c>
      <c r="G397" t="s">
        <v>58</v>
      </c>
      <c r="H397" s="5">
        <v>950000</v>
      </c>
      <c r="I397" s="5">
        <v>925000</v>
      </c>
      <c r="J397" s="5">
        <v>25000</v>
      </c>
      <c r="K397" s="5">
        <f>Table2[[#This Row],[Advance Amount]]-Table2[[#This Row],[Expense Amount]]-Table2[[#This Row],[Return Amount]]</f>
        <v>0</v>
      </c>
      <c r="L397" s="5" t="str">
        <f>IF(Table2[[#This Row],[Outstanding]]=0,"Settled",IF(Table2[[#This Row],[Outstanding]]&gt;0,"Outstanding"))</f>
        <v>Settled</v>
      </c>
      <c r="M397" s="5" t="str">
        <f>IF(Table2[[#This Row],[Advance Amount]]=Table2[[#This Row],[Expense Amount]]+Table2[[#This Row],[Return Amount]]+Table2[[#This Row],[Outstanding]],"Ok","Check")</f>
        <v>Ok</v>
      </c>
      <c r="N397" s="11">
        <f>IF(Table2[[#This Row],[Status]]="Settled",0,$Q$2-Table2[[#This Row],[Date]])</f>
        <v>0</v>
      </c>
      <c r="O397" s="5" t="str">
        <f>IF(Table2[[#This Row],[Age Days]]&lt;=7,"Normal",IF(Table2[[#This Row],[Age Days]]&lt;=14,"Perlu Dipantau",IF(Table2[[#This Row],[Age Days]]&lt;=30,"Perlu Ditindaklanjuti","Overdue")))</f>
        <v>Normal</v>
      </c>
    </row>
    <row r="398" spans="1:15" x14ac:dyDescent="0.3">
      <c r="A398" t="s">
        <v>482</v>
      </c>
      <c r="B398" s="3">
        <v>46123</v>
      </c>
      <c r="C398" t="s">
        <v>62</v>
      </c>
      <c r="D398" t="s">
        <v>63</v>
      </c>
      <c r="E398" t="s">
        <v>52</v>
      </c>
      <c r="F398" t="s">
        <v>14</v>
      </c>
      <c r="G398" t="s">
        <v>57</v>
      </c>
      <c r="H398" s="5">
        <v>180000</v>
      </c>
      <c r="I398" s="5">
        <v>0</v>
      </c>
      <c r="J398" s="5">
        <v>0</v>
      </c>
      <c r="K398" s="5">
        <f>Table2[[#This Row],[Advance Amount]]-Table2[[#This Row],[Expense Amount]]-Table2[[#This Row],[Return Amount]]</f>
        <v>180000</v>
      </c>
      <c r="L398" s="5" t="str">
        <f>IF(Table2[[#This Row],[Outstanding]]=0,"Settled",IF(Table2[[#This Row],[Outstanding]]&gt;0,"Outstanding"))</f>
        <v>Outstanding</v>
      </c>
      <c r="M398" s="5" t="str">
        <f>IF(Table2[[#This Row],[Advance Amount]]=Table2[[#This Row],[Expense Amount]]+Table2[[#This Row],[Return Amount]]+Table2[[#This Row],[Outstanding]],"Ok","Check")</f>
        <v>Ok</v>
      </c>
      <c r="N398" s="11">
        <f>IF(Table2[[#This Row],[Status]]="Settled",0,$Q$2-Table2[[#This Row],[Date]])</f>
        <v>142</v>
      </c>
      <c r="O398" s="5" t="str">
        <f>IF(Table2[[#This Row],[Age Days]]&lt;=7,"Normal",IF(Table2[[#This Row],[Age Days]]&lt;=14,"Perlu Dipantau",IF(Table2[[#This Row],[Age Days]]&lt;=30,"Perlu Ditindaklanjuti","Overdue")))</f>
        <v>Overdue</v>
      </c>
    </row>
    <row r="399" spans="1:15" x14ac:dyDescent="0.3">
      <c r="A399" t="s">
        <v>483</v>
      </c>
      <c r="B399" s="3">
        <v>46123</v>
      </c>
      <c r="C399" t="s">
        <v>38</v>
      </c>
      <c r="D399" t="s">
        <v>39</v>
      </c>
      <c r="E399" t="s">
        <v>24</v>
      </c>
      <c r="F399" t="s">
        <v>20</v>
      </c>
      <c r="G399" t="s">
        <v>57</v>
      </c>
      <c r="H399" s="5">
        <v>180000</v>
      </c>
      <c r="I399" s="5">
        <v>0</v>
      </c>
      <c r="J399" s="5">
        <v>0</v>
      </c>
      <c r="K399" s="5">
        <f>Table2[[#This Row],[Advance Amount]]-Table2[[#This Row],[Expense Amount]]-Table2[[#This Row],[Return Amount]]</f>
        <v>180000</v>
      </c>
      <c r="L399" s="5" t="str">
        <f>IF(Table2[[#This Row],[Outstanding]]=0,"Settled",IF(Table2[[#This Row],[Outstanding]]&gt;0,"Outstanding"))</f>
        <v>Outstanding</v>
      </c>
      <c r="M399" s="5" t="str">
        <f>IF(Table2[[#This Row],[Advance Amount]]=Table2[[#This Row],[Expense Amount]]+Table2[[#This Row],[Return Amount]]+Table2[[#This Row],[Outstanding]],"Ok","Check")</f>
        <v>Ok</v>
      </c>
      <c r="N399" s="11">
        <f>IF(Table2[[#This Row],[Status]]="Settled",0,$Q$2-Table2[[#This Row],[Date]])</f>
        <v>142</v>
      </c>
      <c r="O399" s="5" t="str">
        <f>IF(Table2[[#This Row],[Age Days]]&lt;=7,"Normal",IF(Table2[[#This Row],[Age Days]]&lt;=14,"Perlu Dipantau",IF(Table2[[#This Row],[Age Days]]&lt;=30,"Perlu Ditindaklanjuti","Overdue")))</f>
        <v>Overdue</v>
      </c>
    </row>
    <row r="400" spans="1:15" x14ac:dyDescent="0.3">
      <c r="A400" t="s">
        <v>484</v>
      </c>
      <c r="B400" s="3">
        <v>46123</v>
      </c>
      <c r="C400" t="s">
        <v>53</v>
      </c>
      <c r="D400" t="s">
        <v>54</v>
      </c>
      <c r="E400" t="s">
        <v>43</v>
      </c>
      <c r="F400" t="s">
        <v>14</v>
      </c>
      <c r="G400" t="s">
        <v>28</v>
      </c>
      <c r="H400" s="5">
        <v>480000</v>
      </c>
      <c r="I400" s="5">
        <v>400000</v>
      </c>
      <c r="J400" s="5">
        <v>80000</v>
      </c>
      <c r="K400" s="5">
        <f>Table2[[#This Row],[Advance Amount]]-Table2[[#This Row],[Expense Amount]]-Table2[[#This Row],[Return Amount]]</f>
        <v>0</v>
      </c>
      <c r="L400" s="5" t="str">
        <f>IF(Table2[[#This Row],[Outstanding]]=0,"Settled",IF(Table2[[#This Row],[Outstanding]]&gt;0,"Outstanding"))</f>
        <v>Settled</v>
      </c>
      <c r="M400" s="5" t="str">
        <f>IF(Table2[[#This Row],[Advance Amount]]=Table2[[#This Row],[Expense Amount]]+Table2[[#This Row],[Return Amount]]+Table2[[#This Row],[Outstanding]],"Ok","Check")</f>
        <v>Ok</v>
      </c>
      <c r="N400" s="11">
        <f>IF(Table2[[#This Row],[Status]]="Settled",0,$Q$2-Table2[[#This Row],[Date]])</f>
        <v>0</v>
      </c>
      <c r="O400" s="5" t="str">
        <f>IF(Table2[[#This Row],[Age Days]]&lt;=7,"Normal",IF(Table2[[#This Row],[Age Days]]&lt;=14,"Perlu Dipantau",IF(Table2[[#This Row],[Age Days]]&lt;=30,"Perlu Ditindaklanjuti","Overdue")))</f>
        <v>Normal</v>
      </c>
    </row>
    <row r="401" spans="1:15" x14ac:dyDescent="0.3">
      <c r="A401" t="s">
        <v>485</v>
      </c>
      <c r="B401" s="3">
        <v>46124</v>
      </c>
      <c r="C401" t="s">
        <v>44</v>
      </c>
      <c r="D401" t="s">
        <v>45</v>
      </c>
      <c r="E401" t="s">
        <v>43</v>
      </c>
      <c r="F401" t="s">
        <v>20</v>
      </c>
      <c r="G401" t="s">
        <v>28</v>
      </c>
      <c r="H401" s="5">
        <v>380000</v>
      </c>
      <c r="I401" s="5">
        <v>375000</v>
      </c>
      <c r="J401" s="5">
        <v>5000</v>
      </c>
      <c r="K401" s="5">
        <f>Table2[[#This Row],[Advance Amount]]-Table2[[#This Row],[Expense Amount]]-Table2[[#This Row],[Return Amount]]</f>
        <v>0</v>
      </c>
      <c r="L401" s="5" t="str">
        <f>IF(Table2[[#This Row],[Outstanding]]=0,"Settled",IF(Table2[[#This Row],[Outstanding]]&gt;0,"Outstanding"))</f>
        <v>Settled</v>
      </c>
      <c r="M401" s="5" t="str">
        <f>IF(Table2[[#This Row],[Advance Amount]]=Table2[[#This Row],[Expense Amount]]+Table2[[#This Row],[Return Amount]]+Table2[[#This Row],[Outstanding]],"Ok","Check")</f>
        <v>Ok</v>
      </c>
      <c r="N401" s="11">
        <f>IF(Table2[[#This Row],[Status]]="Settled",0,$Q$2-Table2[[#This Row],[Date]])</f>
        <v>0</v>
      </c>
      <c r="O401" s="5" t="str">
        <f>IF(Table2[[#This Row],[Age Days]]&lt;=7,"Normal",IF(Table2[[#This Row],[Age Days]]&lt;=14,"Perlu Dipantau",IF(Table2[[#This Row],[Age Days]]&lt;=30,"Perlu Ditindaklanjuti","Overdue")))</f>
        <v>Normal</v>
      </c>
    </row>
    <row r="402" spans="1:15" x14ac:dyDescent="0.3">
      <c r="A402" t="s">
        <v>486</v>
      </c>
      <c r="B402" s="3">
        <v>46124</v>
      </c>
      <c r="C402" t="s">
        <v>50</v>
      </c>
      <c r="D402" t="s">
        <v>51</v>
      </c>
      <c r="E402" t="s">
        <v>52</v>
      </c>
      <c r="F402" t="s">
        <v>14</v>
      </c>
      <c r="G402" t="s">
        <v>57</v>
      </c>
      <c r="H402" s="5">
        <v>305000</v>
      </c>
      <c r="I402" s="5">
        <v>0</v>
      </c>
      <c r="J402" s="5">
        <v>0</v>
      </c>
      <c r="K402" s="5">
        <f>Table2[[#This Row],[Advance Amount]]-Table2[[#This Row],[Expense Amount]]-Table2[[#This Row],[Return Amount]]</f>
        <v>305000</v>
      </c>
      <c r="L402" s="5" t="str">
        <f>IF(Table2[[#This Row],[Outstanding]]=0,"Settled",IF(Table2[[#This Row],[Outstanding]]&gt;0,"Outstanding"))</f>
        <v>Outstanding</v>
      </c>
      <c r="M402" s="5" t="str">
        <f>IF(Table2[[#This Row],[Advance Amount]]=Table2[[#This Row],[Expense Amount]]+Table2[[#This Row],[Return Amount]]+Table2[[#This Row],[Outstanding]],"Ok","Check")</f>
        <v>Ok</v>
      </c>
      <c r="N402" s="11">
        <f>IF(Table2[[#This Row],[Status]]="Settled",0,$Q$2-Table2[[#This Row],[Date]])</f>
        <v>141</v>
      </c>
      <c r="O402" s="5" t="str">
        <f>IF(Table2[[#This Row],[Age Days]]&lt;=7,"Normal",IF(Table2[[#This Row],[Age Days]]&lt;=14,"Perlu Dipantau",IF(Table2[[#This Row],[Age Days]]&lt;=30,"Perlu Ditindaklanjuti","Overdue")))</f>
        <v>Overdue</v>
      </c>
    </row>
    <row r="403" spans="1:15" x14ac:dyDescent="0.3">
      <c r="A403" t="s">
        <v>487</v>
      </c>
      <c r="B403" s="3">
        <v>46124</v>
      </c>
      <c r="C403" t="s">
        <v>66</v>
      </c>
      <c r="D403" t="s">
        <v>67</v>
      </c>
      <c r="E403" t="s">
        <v>13</v>
      </c>
      <c r="F403" t="s">
        <v>20</v>
      </c>
      <c r="G403" t="s">
        <v>40</v>
      </c>
      <c r="H403" s="5">
        <v>625000</v>
      </c>
      <c r="I403" s="5">
        <v>575000</v>
      </c>
      <c r="J403" s="5">
        <v>50000</v>
      </c>
      <c r="K403" s="5">
        <f>Table2[[#This Row],[Advance Amount]]-Table2[[#This Row],[Expense Amount]]-Table2[[#This Row],[Return Amount]]</f>
        <v>0</v>
      </c>
      <c r="L403" s="5" t="str">
        <f>IF(Table2[[#This Row],[Outstanding]]=0,"Settled",IF(Table2[[#This Row],[Outstanding]]&gt;0,"Outstanding"))</f>
        <v>Settled</v>
      </c>
      <c r="M403" s="5" t="str">
        <f>IF(Table2[[#This Row],[Advance Amount]]=Table2[[#This Row],[Expense Amount]]+Table2[[#This Row],[Return Amount]]+Table2[[#This Row],[Outstanding]],"Ok","Check")</f>
        <v>Ok</v>
      </c>
      <c r="N403" s="11">
        <f>IF(Table2[[#This Row],[Status]]="Settled",0,$Q$2-Table2[[#This Row],[Date]])</f>
        <v>0</v>
      </c>
      <c r="O403" s="5" t="str">
        <f>IF(Table2[[#This Row],[Age Days]]&lt;=7,"Normal",IF(Table2[[#This Row],[Age Days]]&lt;=14,"Perlu Dipantau",IF(Table2[[#This Row],[Age Days]]&lt;=30,"Perlu Ditindaklanjuti","Overdue")))</f>
        <v>Normal</v>
      </c>
    </row>
    <row r="404" spans="1:15" x14ac:dyDescent="0.3">
      <c r="A404" t="s">
        <v>488</v>
      </c>
      <c r="B404" s="3">
        <v>46124</v>
      </c>
      <c r="C404" t="s">
        <v>59</v>
      </c>
      <c r="D404" t="s">
        <v>60</v>
      </c>
      <c r="E404" t="s">
        <v>19</v>
      </c>
      <c r="F404" t="s">
        <v>20</v>
      </c>
      <c r="G404" t="s">
        <v>40</v>
      </c>
      <c r="H404" s="5">
        <v>350000</v>
      </c>
      <c r="I404" s="5">
        <v>0</v>
      </c>
      <c r="J404" s="5">
        <v>0</v>
      </c>
      <c r="K404" s="5">
        <f>Table2[[#This Row],[Advance Amount]]-Table2[[#This Row],[Expense Amount]]-Table2[[#This Row],[Return Amount]]</f>
        <v>350000</v>
      </c>
      <c r="L404" s="5" t="str">
        <f>IF(Table2[[#This Row],[Outstanding]]=0,"Settled",IF(Table2[[#This Row],[Outstanding]]&gt;0,"Outstanding"))</f>
        <v>Outstanding</v>
      </c>
      <c r="M404" s="5" t="str">
        <f>IF(Table2[[#This Row],[Advance Amount]]=Table2[[#This Row],[Expense Amount]]+Table2[[#This Row],[Return Amount]]+Table2[[#This Row],[Outstanding]],"Ok","Check")</f>
        <v>Ok</v>
      </c>
      <c r="N404" s="11">
        <f>IF(Table2[[#This Row],[Status]]="Settled",0,$Q$2-Table2[[#This Row],[Date]])</f>
        <v>141</v>
      </c>
      <c r="O404" s="5" t="str">
        <f>IF(Table2[[#This Row],[Age Days]]&lt;=7,"Normal",IF(Table2[[#This Row],[Age Days]]&lt;=14,"Perlu Dipantau",IF(Table2[[#This Row],[Age Days]]&lt;=30,"Perlu Ditindaklanjuti","Overdue")))</f>
        <v>Overdue</v>
      </c>
    </row>
    <row r="405" spans="1:15" x14ac:dyDescent="0.3">
      <c r="A405" t="s">
        <v>489</v>
      </c>
      <c r="B405" s="3">
        <v>46125</v>
      </c>
      <c r="C405" t="s">
        <v>32</v>
      </c>
      <c r="D405" t="s">
        <v>33</v>
      </c>
      <c r="E405" t="s">
        <v>27</v>
      </c>
      <c r="F405" t="s">
        <v>20</v>
      </c>
      <c r="G405" t="s">
        <v>40</v>
      </c>
      <c r="H405" s="5">
        <v>875000</v>
      </c>
      <c r="I405" s="5">
        <v>775000</v>
      </c>
      <c r="J405" s="5">
        <v>100000</v>
      </c>
      <c r="K405" s="5">
        <f>Table2[[#This Row],[Advance Amount]]-Table2[[#This Row],[Expense Amount]]-Table2[[#This Row],[Return Amount]]</f>
        <v>0</v>
      </c>
      <c r="L405" s="5" t="str">
        <f>IF(Table2[[#This Row],[Outstanding]]=0,"Settled",IF(Table2[[#This Row],[Outstanding]]&gt;0,"Outstanding"))</f>
        <v>Settled</v>
      </c>
      <c r="M405" s="5" t="str">
        <f>IF(Table2[[#This Row],[Advance Amount]]=Table2[[#This Row],[Expense Amount]]+Table2[[#This Row],[Return Amount]]+Table2[[#This Row],[Outstanding]],"Ok","Check")</f>
        <v>Ok</v>
      </c>
      <c r="N405" s="11">
        <f>IF(Table2[[#This Row],[Status]]="Settled",0,$Q$2-Table2[[#This Row],[Date]])</f>
        <v>0</v>
      </c>
      <c r="O405" s="5" t="str">
        <f>IF(Table2[[#This Row],[Age Days]]&lt;=7,"Normal",IF(Table2[[#This Row],[Age Days]]&lt;=14,"Perlu Dipantau",IF(Table2[[#This Row],[Age Days]]&lt;=30,"Perlu Ditindaklanjuti","Overdue")))</f>
        <v>Normal</v>
      </c>
    </row>
    <row r="406" spans="1:15" x14ac:dyDescent="0.3">
      <c r="A406" t="s">
        <v>490</v>
      </c>
      <c r="B406" s="3">
        <v>46125</v>
      </c>
      <c r="C406" t="s">
        <v>50</v>
      </c>
      <c r="D406" t="s">
        <v>51</v>
      </c>
      <c r="E406" t="s">
        <v>52</v>
      </c>
      <c r="F406" t="s">
        <v>14</v>
      </c>
      <c r="G406" t="s">
        <v>31</v>
      </c>
      <c r="H406" s="5">
        <v>800000</v>
      </c>
      <c r="I406" s="5">
        <v>700000</v>
      </c>
      <c r="J406" s="5">
        <v>100000</v>
      </c>
      <c r="K406" s="5">
        <f>Table2[[#This Row],[Advance Amount]]-Table2[[#This Row],[Expense Amount]]-Table2[[#This Row],[Return Amount]]</f>
        <v>0</v>
      </c>
      <c r="L406" s="5" t="str">
        <f>IF(Table2[[#This Row],[Outstanding]]=0,"Settled",IF(Table2[[#This Row],[Outstanding]]&gt;0,"Outstanding"))</f>
        <v>Settled</v>
      </c>
      <c r="M406" s="5" t="str">
        <f>IF(Table2[[#This Row],[Advance Amount]]=Table2[[#This Row],[Expense Amount]]+Table2[[#This Row],[Return Amount]]+Table2[[#This Row],[Outstanding]],"Ok","Check")</f>
        <v>Ok</v>
      </c>
      <c r="N406" s="11">
        <f>IF(Table2[[#This Row],[Status]]="Settled",0,$Q$2-Table2[[#This Row],[Date]])</f>
        <v>0</v>
      </c>
      <c r="O406" s="5" t="str">
        <f>IF(Table2[[#This Row],[Age Days]]&lt;=7,"Normal",IF(Table2[[#This Row],[Age Days]]&lt;=14,"Perlu Dipantau",IF(Table2[[#This Row],[Age Days]]&lt;=30,"Perlu Ditindaklanjuti","Overdue")))</f>
        <v>Normal</v>
      </c>
    </row>
    <row r="407" spans="1:15" x14ac:dyDescent="0.3">
      <c r="A407" t="s">
        <v>491</v>
      </c>
      <c r="B407" s="3">
        <v>46126</v>
      </c>
      <c r="C407" t="s">
        <v>17</v>
      </c>
      <c r="D407" t="s">
        <v>18</v>
      </c>
      <c r="E407" t="s">
        <v>19</v>
      </c>
      <c r="F407" t="s">
        <v>20</v>
      </c>
      <c r="G407" t="s">
        <v>15</v>
      </c>
      <c r="H407" s="5">
        <v>2950000</v>
      </c>
      <c r="I407" s="5">
        <v>2700000</v>
      </c>
      <c r="J407" s="5">
        <v>250000</v>
      </c>
      <c r="K407" s="5">
        <f>Table2[[#This Row],[Advance Amount]]-Table2[[#This Row],[Expense Amount]]-Table2[[#This Row],[Return Amount]]</f>
        <v>0</v>
      </c>
      <c r="L407" s="5" t="str">
        <f>IF(Table2[[#This Row],[Outstanding]]=0,"Settled",IF(Table2[[#This Row],[Outstanding]]&gt;0,"Outstanding"))</f>
        <v>Settled</v>
      </c>
      <c r="M407" s="5" t="str">
        <f>IF(Table2[[#This Row],[Advance Amount]]=Table2[[#This Row],[Expense Amount]]+Table2[[#This Row],[Return Amount]]+Table2[[#This Row],[Outstanding]],"Ok","Check")</f>
        <v>Ok</v>
      </c>
      <c r="N407" s="11">
        <f>IF(Table2[[#This Row],[Status]]="Settled",0,$Q$2-Table2[[#This Row],[Date]])</f>
        <v>0</v>
      </c>
      <c r="O407" s="5" t="str">
        <f>IF(Table2[[#This Row],[Age Days]]&lt;=7,"Normal",IF(Table2[[#This Row],[Age Days]]&lt;=14,"Perlu Dipantau",IF(Table2[[#This Row],[Age Days]]&lt;=30,"Perlu Ditindaklanjuti","Overdue")))</f>
        <v>Normal</v>
      </c>
    </row>
    <row r="408" spans="1:15" x14ac:dyDescent="0.3">
      <c r="A408" t="s">
        <v>492</v>
      </c>
      <c r="B408" s="3">
        <v>46126</v>
      </c>
      <c r="C408" t="s">
        <v>64</v>
      </c>
      <c r="D408" t="s">
        <v>65</v>
      </c>
      <c r="E408" t="s">
        <v>37</v>
      </c>
      <c r="F408" t="s">
        <v>14</v>
      </c>
      <c r="G408" t="s">
        <v>34</v>
      </c>
      <c r="H408" s="5">
        <v>300000</v>
      </c>
      <c r="I408" s="5">
        <v>250000</v>
      </c>
      <c r="J408" s="5">
        <v>50000</v>
      </c>
      <c r="K408" s="5">
        <f>Table2[[#This Row],[Advance Amount]]-Table2[[#This Row],[Expense Amount]]-Table2[[#This Row],[Return Amount]]</f>
        <v>0</v>
      </c>
      <c r="L408" s="5" t="str">
        <f>IF(Table2[[#This Row],[Outstanding]]=0,"Settled",IF(Table2[[#This Row],[Outstanding]]&gt;0,"Outstanding"))</f>
        <v>Settled</v>
      </c>
      <c r="M408" s="5" t="str">
        <f>IF(Table2[[#This Row],[Advance Amount]]=Table2[[#This Row],[Expense Amount]]+Table2[[#This Row],[Return Amount]]+Table2[[#This Row],[Outstanding]],"Ok","Check")</f>
        <v>Ok</v>
      </c>
      <c r="N408" s="11">
        <f>IF(Table2[[#This Row],[Status]]="Settled",0,$Q$2-Table2[[#This Row],[Date]])</f>
        <v>0</v>
      </c>
      <c r="O408" s="5" t="str">
        <f>IF(Table2[[#This Row],[Age Days]]&lt;=7,"Normal",IF(Table2[[#This Row],[Age Days]]&lt;=14,"Perlu Dipantau",IF(Table2[[#This Row],[Age Days]]&lt;=30,"Perlu Ditindaklanjuti","Overdue")))</f>
        <v>Normal</v>
      </c>
    </row>
    <row r="409" spans="1:15" x14ac:dyDescent="0.3">
      <c r="A409" t="s">
        <v>493</v>
      </c>
      <c r="B409" s="3">
        <v>46126</v>
      </c>
      <c r="C409" t="s">
        <v>59</v>
      </c>
      <c r="D409" t="s">
        <v>60</v>
      </c>
      <c r="E409" t="s">
        <v>19</v>
      </c>
      <c r="F409" t="s">
        <v>20</v>
      </c>
      <c r="G409" t="s">
        <v>31</v>
      </c>
      <c r="H409" s="5">
        <v>1250000</v>
      </c>
      <c r="I409" s="5">
        <v>925000</v>
      </c>
      <c r="J409" s="5">
        <v>325000</v>
      </c>
      <c r="K409" s="5">
        <f>Table2[[#This Row],[Advance Amount]]-Table2[[#This Row],[Expense Amount]]-Table2[[#This Row],[Return Amount]]</f>
        <v>0</v>
      </c>
      <c r="L409" s="5" t="str">
        <f>IF(Table2[[#This Row],[Outstanding]]=0,"Settled",IF(Table2[[#This Row],[Outstanding]]&gt;0,"Outstanding"))</f>
        <v>Settled</v>
      </c>
      <c r="M409" s="5" t="str">
        <f>IF(Table2[[#This Row],[Advance Amount]]=Table2[[#This Row],[Expense Amount]]+Table2[[#This Row],[Return Amount]]+Table2[[#This Row],[Outstanding]],"Ok","Check")</f>
        <v>Ok</v>
      </c>
      <c r="N409" s="11">
        <f>IF(Table2[[#This Row],[Status]]="Settled",0,$Q$2-Table2[[#This Row],[Date]])</f>
        <v>0</v>
      </c>
      <c r="O409" s="5" t="str">
        <f>IF(Table2[[#This Row],[Age Days]]&lt;=7,"Normal",IF(Table2[[#This Row],[Age Days]]&lt;=14,"Perlu Dipantau",IF(Table2[[#This Row],[Age Days]]&lt;=30,"Perlu Ditindaklanjuti","Overdue")))</f>
        <v>Normal</v>
      </c>
    </row>
    <row r="410" spans="1:15" x14ac:dyDescent="0.3">
      <c r="A410" t="s">
        <v>494</v>
      </c>
      <c r="B410" s="3">
        <v>46127</v>
      </c>
      <c r="C410" t="s">
        <v>29</v>
      </c>
      <c r="D410" t="s">
        <v>30</v>
      </c>
      <c r="E410" t="s">
        <v>13</v>
      </c>
      <c r="F410" t="s">
        <v>14</v>
      </c>
      <c r="G410" t="s">
        <v>57</v>
      </c>
      <c r="H410" s="5">
        <v>455000</v>
      </c>
      <c r="I410" s="5">
        <v>350000</v>
      </c>
      <c r="J410" s="5">
        <v>105000</v>
      </c>
      <c r="K410" s="5">
        <f>Table2[[#This Row],[Advance Amount]]-Table2[[#This Row],[Expense Amount]]-Table2[[#This Row],[Return Amount]]</f>
        <v>0</v>
      </c>
      <c r="L410" s="5" t="str">
        <f>IF(Table2[[#This Row],[Outstanding]]=0,"Settled",IF(Table2[[#This Row],[Outstanding]]&gt;0,"Outstanding"))</f>
        <v>Settled</v>
      </c>
      <c r="M410" s="5" t="str">
        <f>IF(Table2[[#This Row],[Advance Amount]]=Table2[[#This Row],[Expense Amount]]+Table2[[#This Row],[Return Amount]]+Table2[[#This Row],[Outstanding]],"Ok","Check")</f>
        <v>Ok</v>
      </c>
      <c r="N410" s="11">
        <f>IF(Table2[[#This Row],[Status]]="Settled",0,$Q$2-Table2[[#This Row],[Date]])</f>
        <v>0</v>
      </c>
      <c r="O410" s="5" t="str">
        <f>IF(Table2[[#This Row],[Age Days]]&lt;=7,"Normal",IF(Table2[[#This Row],[Age Days]]&lt;=14,"Perlu Dipantau",IF(Table2[[#This Row],[Age Days]]&lt;=30,"Perlu Ditindaklanjuti","Overdue")))</f>
        <v>Normal</v>
      </c>
    </row>
    <row r="411" spans="1:15" x14ac:dyDescent="0.3">
      <c r="A411" t="s">
        <v>495</v>
      </c>
      <c r="B411" s="3">
        <v>46127</v>
      </c>
      <c r="C411" t="s">
        <v>11</v>
      </c>
      <c r="D411" t="s">
        <v>12</v>
      </c>
      <c r="E411" t="s">
        <v>13</v>
      </c>
      <c r="F411" t="s">
        <v>14</v>
      </c>
      <c r="G411" t="s">
        <v>31</v>
      </c>
      <c r="H411" s="5">
        <v>1025000</v>
      </c>
      <c r="I411" s="5">
        <v>900000</v>
      </c>
      <c r="J411" s="5">
        <v>125000</v>
      </c>
      <c r="K411" s="5">
        <f>Table2[[#This Row],[Advance Amount]]-Table2[[#This Row],[Expense Amount]]-Table2[[#This Row],[Return Amount]]</f>
        <v>0</v>
      </c>
      <c r="L411" s="5" t="str">
        <f>IF(Table2[[#This Row],[Outstanding]]=0,"Settled",IF(Table2[[#This Row],[Outstanding]]&gt;0,"Outstanding"))</f>
        <v>Settled</v>
      </c>
      <c r="M411" s="5" t="str">
        <f>IF(Table2[[#This Row],[Advance Amount]]=Table2[[#This Row],[Expense Amount]]+Table2[[#This Row],[Return Amount]]+Table2[[#This Row],[Outstanding]],"Ok","Check")</f>
        <v>Ok</v>
      </c>
      <c r="N411" s="11">
        <f>IF(Table2[[#This Row],[Status]]="Settled",0,$Q$2-Table2[[#This Row],[Date]])</f>
        <v>0</v>
      </c>
      <c r="O411" s="5" t="str">
        <f>IF(Table2[[#This Row],[Age Days]]&lt;=7,"Normal",IF(Table2[[#This Row],[Age Days]]&lt;=14,"Perlu Dipantau",IF(Table2[[#This Row],[Age Days]]&lt;=30,"Perlu Ditindaklanjuti","Overdue")))</f>
        <v>Normal</v>
      </c>
    </row>
    <row r="412" spans="1:15" x14ac:dyDescent="0.3">
      <c r="A412" t="s">
        <v>496</v>
      </c>
      <c r="B412" s="3">
        <v>46127</v>
      </c>
      <c r="C412" t="s">
        <v>68</v>
      </c>
      <c r="D412" t="s">
        <v>69</v>
      </c>
      <c r="E412" t="s">
        <v>27</v>
      </c>
      <c r="F412" t="s">
        <v>20</v>
      </c>
      <c r="G412" t="s">
        <v>28</v>
      </c>
      <c r="H412" s="5">
        <v>180000</v>
      </c>
      <c r="I412" s="5">
        <v>0</v>
      </c>
      <c r="J412" s="5">
        <v>0</v>
      </c>
      <c r="K412" s="5">
        <f>Table2[[#This Row],[Advance Amount]]-Table2[[#This Row],[Expense Amount]]-Table2[[#This Row],[Return Amount]]</f>
        <v>180000</v>
      </c>
      <c r="L412" s="5" t="str">
        <f>IF(Table2[[#This Row],[Outstanding]]=0,"Settled",IF(Table2[[#This Row],[Outstanding]]&gt;0,"Outstanding"))</f>
        <v>Outstanding</v>
      </c>
      <c r="M412" s="5" t="str">
        <f>IF(Table2[[#This Row],[Advance Amount]]=Table2[[#This Row],[Expense Amount]]+Table2[[#This Row],[Return Amount]]+Table2[[#This Row],[Outstanding]],"Ok","Check")</f>
        <v>Ok</v>
      </c>
      <c r="N412" s="11">
        <f>IF(Table2[[#This Row],[Status]]="Settled",0,$Q$2-Table2[[#This Row],[Date]])</f>
        <v>138</v>
      </c>
      <c r="O412" s="5" t="str">
        <f>IF(Table2[[#This Row],[Age Days]]&lt;=7,"Normal",IF(Table2[[#This Row],[Age Days]]&lt;=14,"Perlu Dipantau",IF(Table2[[#This Row],[Age Days]]&lt;=30,"Perlu Ditindaklanjuti","Overdue")))</f>
        <v>Overdue</v>
      </c>
    </row>
    <row r="413" spans="1:15" x14ac:dyDescent="0.3">
      <c r="A413" t="s">
        <v>497</v>
      </c>
      <c r="B413" s="3">
        <v>46127</v>
      </c>
      <c r="C413" t="s">
        <v>44</v>
      </c>
      <c r="D413" t="s">
        <v>45</v>
      </c>
      <c r="E413" t="s">
        <v>43</v>
      </c>
      <c r="F413" t="s">
        <v>20</v>
      </c>
      <c r="G413" t="s">
        <v>31</v>
      </c>
      <c r="H413" s="5">
        <v>1200000</v>
      </c>
      <c r="I413" s="5">
        <v>950000</v>
      </c>
      <c r="J413" s="5">
        <v>250000</v>
      </c>
      <c r="K413" s="5">
        <f>Table2[[#This Row],[Advance Amount]]-Table2[[#This Row],[Expense Amount]]-Table2[[#This Row],[Return Amount]]</f>
        <v>0</v>
      </c>
      <c r="L413" s="5" t="str">
        <f>IF(Table2[[#This Row],[Outstanding]]=0,"Settled",IF(Table2[[#This Row],[Outstanding]]&gt;0,"Outstanding"))</f>
        <v>Settled</v>
      </c>
      <c r="M413" s="5" t="str">
        <f>IF(Table2[[#This Row],[Advance Amount]]=Table2[[#This Row],[Expense Amount]]+Table2[[#This Row],[Return Amount]]+Table2[[#This Row],[Outstanding]],"Ok","Check")</f>
        <v>Ok</v>
      </c>
      <c r="N413" s="11">
        <f>IF(Table2[[#This Row],[Status]]="Settled",0,$Q$2-Table2[[#This Row],[Date]])</f>
        <v>0</v>
      </c>
      <c r="O413" s="5" t="str">
        <f>IF(Table2[[#This Row],[Age Days]]&lt;=7,"Normal",IF(Table2[[#This Row],[Age Days]]&lt;=14,"Perlu Dipantau",IF(Table2[[#This Row],[Age Days]]&lt;=30,"Perlu Ditindaklanjuti","Overdue")))</f>
        <v>Normal</v>
      </c>
    </row>
    <row r="414" spans="1:15" x14ac:dyDescent="0.3">
      <c r="A414" t="s">
        <v>498</v>
      </c>
      <c r="B414" s="3">
        <v>46127</v>
      </c>
      <c r="C414" t="s">
        <v>25</v>
      </c>
      <c r="D414" t="s">
        <v>26</v>
      </c>
      <c r="E414" t="s">
        <v>27</v>
      </c>
      <c r="F414" t="s">
        <v>20</v>
      </c>
      <c r="G414" t="s">
        <v>28</v>
      </c>
      <c r="H414" s="5">
        <v>30000</v>
      </c>
      <c r="I414" s="5">
        <v>0</v>
      </c>
      <c r="J414" s="5">
        <v>0</v>
      </c>
      <c r="K414" s="5">
        <f>Table2[[#This Row],[Advance Amount]]-Table2[[#This Row],[Expense Amount]]-Table2[[#This Row],[Return Amount]]</f>
        <v>30000</v>
      </c>
      <c r="L414" s="5" t="str">
        <f>IF(Table2[[#This Row],[Outstanding]]=0,"Settled",IF(Table2[[#This Row],[Outstanding]]&gt;0,"Outstanding"))</f>
        <v>Outstanding</v>
      </c>
      <c r="M414" s="5" t="str">
        <f>IF(Table2[[#This Row],[Advance Amount]]=Table2[[#This Row],[Expense Amount]]+Table2[[#This Row],[Return Amount]]+Table2[[#This Row],[Outstanding]],"Ok","Check")</f>
        <v>Ok</v>
      </c>
      <c r="N414" s="11">
        <f>IF(Table2[[#This Row],[Status]]="Settled",0,$Q$2-Table2[[#This Row],[Date]])</f>
        <v>138</v>
      </c>
      <c r="O414" s="5" t="str">
        <f>IF(Table2[[#This Row],[Age Days]]&lt;=7,"Normal",IF(Table2[[#This Row],[Age Days]]&lt;=14,"Perlu Dipantau",IF(Table2[[#This Row],[Age Days]]&lt;=30,"Perlu Ditindaklanjuti","Overdue")))</f>
        <v>Overdue</v>
      </c>
    </row>
    <row r="415" spans="1:15" x14ac:dyDescent="0.3">
      <c r="A415" t="s">
        <v>499</v>
      </c>
      <c r="B415" s="3">
        <v>46128</v>
      </c>
      <c r="C415" t="s">
        <v>29</v>
      </c>
      <c r="D415" t="s">
        <v>30</v>
      </c>
      <c r="E415" t="s">
        <v>13</v>
      </c>
      <c r="F415" t="s">
        <v>20</v>
      </c>
      <c r="G415" t="s">
        <v>40</v>
      </c>
      <c r="H415" s="5">
        <v>500000</v>
      </c>
      <c r="I415" s="5">
        <v>500000</v>
      </c>
      <c r="J415" s="5">
        <v>0</v>
      </c>
      <c r="K415" s="5">
        <f>Table2[[#This Row],[Advance Amount]]-Table2[[#This Row],[Expense Amount]]-Table2[[#This Row],[Return Amount]]</f>
        <v>0</v>
      </c>
      <c r="L415" s="5" t="str">
        <f>IF(Table2[[#This Row],[Outstanding]]=0,"Settled",IF(Table2[[#This Row],[Outstanding]]&gt;0,"Outstanding"))</f>
        <v>Settled</v>
      </c>
      <c r="M415" s="5" t="str">
        <f>IF(Table2[[#This Row],[Advance Amount]]=Table2[[#This Row],[Expense Amount]]+Table2[[#This Row],[Return Amount]]+Table2[[#This Row],[Outstanding]],"Ok","Check")</f>
        <v>Ok</v>
      </c>
      <c r="N415" s="11">
        <f>IF(Table2[[#This Row],[Status]]="Settled",0,$Q$2-Table2[[#This Row],[Date]])</f>
        <v>0</v>
      </c>
      <c r="O415" s="5" t="str">
        <f>IF(Table2[[#This Row],[Age Days]]&lt;=7,"Normal",IF(Table2[[#This Row],[Age Days]]&lt;=14,"Perlu Dipantau",IF(Table2[[#This Row],[Age Days]]&lt;=30,"Perlu Ditindaklanjuti","Overdue")))</f>
        <v>Normal</v>
      </c>
    </row>
    <row r="416" spans="1:15" x14ac:dyDescent="0.3">
      <c r="A416" t="s">
        <v>500</v>
      </c>
      <c r="B416" s="3">
        <v>46128</v>
      </c>
      <c r="C416" t="s">
        <v>48</v>
      </c>
      <c r="D416" t="s">
        <v>49</v>
      </c>
      <c r="E416" t="s">
        <v>19</v>
      </c>
      <c r="F416" t="s">
        <v>20</v>
      </c>
      <c r="G416" t="s">
        <v>28</v>
      </c>
      <c r="H416" s="5">
        <v>80000</v>
      </c>
      <c r="I416" s="5">
        <v>0</v>
      </c>
      <c r="J416" s="5">
        <v>0</v>
      </c>
      <c r="K416" s="5">
        <f>Table2[[#This Row],[Advance Amount]]-Table2[[#This Row],[Expense Amount]]-Table2[[#This Row],[Return Amount]]</f>
        <v>80000</v>
      </c>
      <c r="L416" s="5" t="str">
        <f>IF(Table2[[#This Row],[Outstanding]]=0,"Settled",IF(Table2[[#This Row],[Outstanding]]&gt;0,"Outstanding"))</f>
        <v>Outstanding</v>
      </c>
      <c r="M416" s="5" t="str">
        <f>IF(Table2[[#This Row],[Advance Amount]]=Table2[[#This Row],[Expense Amount]]+Table2[[#This Row],[Return Amount]]+Table2[[#This Row],[Outstanding]],"Ok","Check")</f>
        <v>Ok</v>
      </c>
      <c r="N416" s="11">
        <f>IF(Table2[[#This Row],[Status]]="Settled",0,$Q$2-Table2[[#This Row],[Date]])</f>
        <v>137</v>
      </c>
      <c r="O416" s="5" t="str">
        <f>IF(Table2[[#This Row],[Age Days]]&lt;=7,"Normal",IF(Table2[[#This Row],[Age Days]]&lt;=14,"Perlu Dipantau",IF(Table2[[#This Row],[Age Days]]&lt;=30,"Perlu Ditindaklanjuti","Overdue")))</f>
        <v>Overdue</v>
      </c>
    </row>
    <row r="417" spans="1:15" x14ac:dyDescent="0.3">
      <c r="A417" t="s">
        <v>501</v>
      </c>
      <c r="B417" s="3">
        <v>46128</v>
      </c>
      <c r="C417" t="s">
        <v>62</v>
      </c>
      <c r="D417" t="s">
        <v>63</v>
      </c>
      <c r="E417" t="s">
        <v>52</v>
      </c>
      <c r="F417" t="s">
        <v>20</v>
      </c>
      <c r="G417" t="s">
        <v>57</v>
      </c>
      <c r="H417" s="5">
        <v>405000</v>
      </c>
      <c r="I417" s="5">
        <v>0</v>
      </c>
      <c r="J417" s="5">
        <v>0</v>
      </c>
      <c r="K417" s="5">
        <f>Table2[[#This Row],[Advance Amount]]-Table2[[#This Row],[Expense Amount]]-Table2[[#This Row],[Return Amount]]</f>
        <v>405000</v>
      </c>
      <c r="L417" s="5" t="str">
        <f>IF(Table2[[#This Row],[Outstanding]]=0,"Settled",IF(Table2[[#This Row],[Outstanding]]&gt;0,"Outstanding"))</f>
        <v>Outstanding</v>
      </c>
      <c r="M417" s="5" t="str">
        <f>IF(Table2[[#This Row],[Advance Amount]]=Table2[[#This Row],[Expense Amount]]+Table2[[#This Row],[Return Amount]]+Table2[[#This Row],[Outstanding]],"Ok","Check")</f>
        <v>Ok</v>
      </c>
      <c r="N417" s="11">
        <f>IF(Table2[[#This Row],[Status]]="Settled",0,$Q$2-Table2[[#This Row],[Date]])</f>
        <v>137</v>
      </c>
      <c r="O417" s="5" t="str">
        <f>IF(Table2[[#This Row],[Age Days]]&lt;=7,"Normal",IF(Table2[[#This Row],[Age Days]]&lt;=14,"Perlu Dipantau",IF(Table2[[#This Row],[Age Days]]&lt;=30,"Perlu Ditindaklanjuti","Overdue")))</f>
        <v>Overdue</v>
      </c>
    </row>
    <row r="418" spans="1:15" x14ac:dyDescent="0.3">
      <c r="A418" t="s">
        <v>502</v>
      </c>
      <c r="B418" s="3">
        <v>46128</v>
      </c>
      <c r="C418" t="s">
        <v>68</v>
      </c>
      <c r="D418" t="s">
        <v>69</v>
      </c>
      <c r="E418" t="s">
        <v>27</v>
      </c>
      <c r="F418" t="s">
        <v>14</v>
      </c>
      <c r="G418" t="s">
        <v>28</v>
      </c>
      <c r="H418" s="5">
        <v>355000</v>
      </c>
      <c r="I418" s="5">
        <v>325000</v>
      </c>
      <c r="J418" s="5">
        <v>30000</v>
      </c>
      <c r="K418" s="5">
        <f>Table2[[#This Row],[Advance Amount]]-Table2[[#This Row],[Expense Amount]]-Table2[[#This Row],[Return Amount]]</f>
        <v>0</v>
      </c>
      <c r="L418" s="5" t="str">
        <f>IF(Table2[[#This Row],[Outstanding]]=0,"Settled",IF(Table2[[#This Row],[Outstanding]]&gt;0,"Outstanding"))</f>
        <v>Settled</v>
      </c>
      <c r="M418" s="5" t="str">
        <f>IF(Table2[[#This Row],[Advance Amount]]=Table2[[#This Row],[Expense Amount]]+Table2[[#This Row],[Return Amount]]+Table2[[#This Row],[Outstanding]],"Ok","Check")</f>
        <v>Ok</v>
      </c>
      <c r="N418" s="11">
        <f>IF(Table2[[#This Row],[Status]]="Settled",0,$Q$2-Table2[[#This Row],[Date]])</f>
        <v>0</v>
      </c>
      <c r="O418" s="5" t="str">
        <f>IF(Table2[[#This Row],[Age Days]]&lt;=7,"Normal",IF(Table2[[#This Row],[Age Days]]&lt;=14,"Perlu Dipantau",IF(Table2[[#This Row],[Age Days]]&lt;=30,"Perlu Ditindaklanjuti","Overdue")))</f>
        <v>Normal</v>
      </c>
    </row>
    <row r="419" spans="1:15" x14ac:dyDescent="0.3">
      <c r="A419" t="s">
        <v>503</v>
      </c>
      <c r="B419" s="3">
        <v>46128</v>
      </c>
      <c r="C419" t="s">
        <v>50</v>
      </c>
      <c r="D419" t="s">
        <v>51</v>
      </c>
      <c r="E419" t="s">
        <v>52</v>
      </c>
      <c r="F419" t="s">
        <v>14</v>
      </c>
      <c r="G419" t="s">
        <v>57</v>
      </c>
      <c r="H419" s="5">
        <v>355000</v>
      </c>
      <c r="I419" s="5">
        <v>0</v>
      </c>
      <c r="J419" s="5">
        <v>0</v>
      </c>
      <c r="K419" s="5">
        <f>Table2[[#This Row],[Advance Amount]]-Table2[[#This Row],[Expense Amount]]-Table2[[#This Row],[Return Amount]]</f>
        <v>355000</v>
      </c>
      <c r="L419" s="5" t="str">
        <f>IF(Table2[[#This Row],[Outstanding]]=0,"Settled",IF(Table2[[#This Row],[Outstanding]]&gt;0,"Outstanding"))</f>
        <v>Outstanding</v>
      </c>
      <c r="M419" s="5" t="str">
        <f>IF(Table2[[#This Row],[Advance Amount]]=Table2[[#This Row],[Expense Amount]]+Table2[[#This Row],[Return Amount]]+Table2[[#This Row],[Outstanding]],"Ok","Check")</f>
        <v>Ok</v>
      </c>
      <c r="N419" s="11">
        <f>IF(Table2[[#This Row],[Status]]="Settled",0,$Q$2-Table2[[#This Row],[Date]])</f>
        <v>137</v>
      </c>
      <c r="O419" s="5" t="str">
        <f>IF(Table2[[#This Row],[Age Days]]&lt;=7,"Normal",IF(Table2[[#This Row],[Age Days]]&lt;=14,"Perlu Dipantau",IF(Table2[[#This Row],[Age Days]]&lt;=30,"Perlu Ditindaklanjuti","Overdue")))</f>
        <v>Overdue</v>
      </c>
    </row>
    <row r="420" spans="1:15" x14ac:dyDescent="0.3">
      <c r="A420" t="s">
        <v>504</v>
      </c>
      <c r="B420" s="3">
        <v>46128</v>
      </c>
      <c r="C420" t="s">
        <v>64</v>
      </c>
      <c r="D420" t="s">
        <v>65</v>
      </c>
      <c r="E420" t="s">
        <v>37</v>
      </c>
      <c r="F420" t="s">
        <v>14</v>
      </c>
      <c r="G420" t="s">
        <v>40</v>
      </c>
      <c r="H420" s="5">
        <v>450000</v>
      </c>
      <c r="I420" s="5">
        <v>425000</v>
      </c>
      <c r="J420" s="5">
        <v>25000</v>
      </c>
      <c r="K420" s="5">
        <f>Table2[[#This Row],[Advance Amount]]-Table2[[#This Row],[Expense Amount]]-Table2[[#This Row],[Return Amount]]</f>
        <v>0</v>
      </c>
      <c r="L420" s="5" t="str">
        <f>IF(Table2[[#This Row],[Outstanding]]=0,"Settled",IF(Table2[[#This Row],[Outstanding]]&gt;0,"Outstanding"))</f>
        <v>Settled</v>
      </c>
      <c r="M420" s="5" t="str">
        <f>IF(Table2[[#This Row],[Advance Amount]]=Table2[[#This Row],[Expense Amount]]+Table2[[#This Row],[Return Amount]]+Table2[[#This Row],[Outstanding]],"Ok","Check")</f>
        <v>Ok</v>
      </c>
      <c r="N420" s="11">
        <f>IF(Table2[[#This Row],[Status]]="Settled",0,$Q$2-Table2[[#This Row],[Date]])</f>
        <v>0</v>
      </c>
      <c r="O420" s="5" t="str">
        <f>IF(Table2[[#This Row],[Age Days]]&lt;=7,"Normal",IF(Table2[[#This Row],[Age Days]]&lt;=14,"Perlu Dipantau",IF(Table2[[#This Row],[Age Days]]&lt;=30,"Perlu Ditindaklanjuti","Overdue")))</f>
        <v>Normal</v>
      </c>
    </row>
    <row r="421" spans="1:15" x14ac:dyDescent="0.3">
      <c r="A421" t="s">
        <v>505</v>
      </c>
      <c r="B421" s="3">
        <v>46129</v>
      </c>
      <c r="C421" t="s">
        <v>41</v>
      </c>
      <c r="D421" t="s">
        <v>42</v>
      </c>
      <c r="E421" t="s">
        <v>43</v>
      </c>
      <c r="F421" t="s">
        <v>20</v>
      </c>
      <c r="G421" t="s">
        <v>57</v>
      </c>
      <c r="H421" s="5">
        <v>55000</v>
      </c>
      <c r="I421" s="5">
        <v>50000</v>
      </c>
      <c r="J421" s="5">
        <v>5000</v>
      </c>
      <c r="K421" s="5">
        <f>Table2[[#This Row],[Advance Amount]]-Table2[[#This Row],[Expense Amount]]-Table2[[#This Row],[Return Amount]]</f>
        <v>0</v>
      </c>
      <c r="L421" s="5" t="str">
        <f>IF(Table2[[#This Row],[Outstanding]]=0,"Settled",IF(Table2[[#This Row],[Outstanding]]&gt;0,"Outstanding"))</f>
        <v>Settled</v>
      </c>
      <c r="M421" s="5" t="str">
        <f>IF(Table2[[#This Row],[Advance Amount]]=Table2[[#This Row],[Expense Amount]]+Table2[[#This Row],[Return Amount]]+Table2[[#This Row],[Outstanding]],"Ok","Check")</f>
        <v>Ok</v>
      </c>
      <c r="N421" s="11">
        <f>IF(Table2[[#This Row],[Status]]="Settled",0,$Q$2-Table2[[#This Row],[Date]])</f>
        <v>0</v>
      </c>
      <c r="O421" s="5" t="str">
        <f>IF(Table2[[#This Row],[Age Days]]&lt;=7,"Normal",IF(Table2[[#This Row],[Age Days]]&lt;=14,"Perlu Dipantau",IF(Table2[[#This Row],[Age Days]]&lt;=30,"Perlu Ditindaklanjuti","Overdue")))</f>
        <v>Normal</v>
      </c>
    </row>
    <row r="422" spans="1:15" x14ac:dyDescent="0.3">
      <c r="A422" t="s">
        <v>506</v>
      </c>
      <c r="B422" s="3">
        <v>46129</v>
      </c>
      <c r="C422" t="s">
        <v>35</v>
      </c>
      <c r="D422" t="s">
        <v>36</v>
      </c>
      <c r="E422" t="s">
        <v>37</v>
      </c>
      <c r="F422" t="s">
        <v>14</v>
      </c>
      <c r="G422" t="s">
        <v>34</v>
      </c>
      <c r="H422" s="5">
        <v>175000</v>
      </c>
      <c r="I422" s="5">
        <v>125000</v>
      </c>
      <c r="J422" s="5">
        <v>50000</v>
      </c>
      <c r="K422" s="5">
        <f>Table2[[#This Row],[Advance Amount]]-Table2[[#This Row],[Expense Amount]]-Table2[[#This Row],[Return Amount]]</f>
        <v>0</v>
      </c>
      <c r="L422" s="5" t="str">
        <f>IF(Table2[[#This Row],[Outstanding]]=0,"Settled",IF(Table2[[#This Row],[Outstanding]]&gt;0,"Outstanding"))</f>
        <v>Settled</v>
      </c>
      <c r="M422" s="5" t="str">
        <f>IF(Table2[[#This Row],[Advance Amount]]=Table2[[#This Row],[Expense Amount]]+Table2[[#This Row],[Return Amount]]+Table2[[#This Row],[Outstanding]],"Ok","Check")</f>
        <v>Ok</v>
      </c>
      <c r="N422" s="11">
        <f>IF(Table2[[#This Row],[Status]]="Settled",0,$Q$2-Table2[[#This Row],[Date]])</f>
        <v>0</v>
      </c>
      <c r="O422" s="5" t="str">
        <f>IF(Table2[[#This Row],[Age Days]]&lt;=7,"Normal",IF(Table2[[#This Row],[Age Days]]&lt;=14,"Perlu Dipantau",IF(Table2[[#This Row],[Age Days]]&lt;=30,"Perlu Ditindaklanjuti","Overdue")))</f>
        <v>Normal</v>
      </c>
    </row>
    <row r="423" spans="1:15" x14ac:dyDescent="0.3">
      <c r="A423" t="s">
        <v>507</v>
      </c>
      <c r="B423" s="3">
        <v>46129</v>
      </c>
      <c r="C423" t="s">
        <v>68</v>
      </c>
      <c r="D423" t="s">
        <v>69</v>
      </c>
      <c r="E423" t="s">
        <v>27</v>
      </c>
      <c r="F423" t="s">
        <v>20</v>
      </c>
      <c r="G423" t="s">
        <v>58</v>
      </c>
      <c r="H423" s="5">
        <v>925000</v>
      </c>
      <c r="I423" s="5">
        <v>825000</v>
      </c>
      <c r="J423" s="5">
        <v>100000</v>
      </c>
      <c r="K423" s="5">
        <f>Table2[[#This Row],[Advance Amount]]-Table2[[#This Row],[Expense Amount]]-Table2[[#This Row],[Return Amount]]</f>
        <v>0</v>
      </c>
      <c r="L423" s="5" t="str">
        <f>IF(Table2[[#This Row],[Outstanding]]=0,"Settled",IF(Table2[[#This Row],[Outstanding]]&gt;0,"Outstanding"))</f>
        <v>Settled</v>
      </c>
      <c r="M423" s="5" t="str">
        <f>IF(Table2[[#This Row],[Advance Amount]]=Table2[[#This Row],[Expense Amount]]+Table2[[#This Row],[Return Amount]]+Table2[[#This Row],[Outstanding]],"Ok","Check")</f>
        <v>Ok</v>
      </c>
      <c r="N423" s="11">
        <f>IF(Table2[[#This Row],[Status]]="Settled",0,$Q$2-Table2[[#This Row],[Date]])</f>
        <v>0</v>
      </c>
      <c r="O423" s="5" t="str">
        <f>IF(Table2[[#This Row],[Age Days]]&lt;=7,"Normal",IF(Table2[[#This Row],[Age Days]]&lt;=14,"Perlu Dipantau",IF(Table2[[#This Row],[Age Days]]&lt;=30,"Perlu Ditindaklanjuti","Overdue")))</f>
        <v>Normal</v>
      </c>
    </row>
    <row r="424" spans="1:15" x14ac:dyDescent="0.3">
      <c r="A424" t="s">
        <v>508</v>
      </c>
      <c r="B424" s="3">
        <v>46129</v>
      </c>
      <c r="C424" t="s">
        <v>44</v>
      </c>
      <c r="D424" t="s">
        <v>45</v>
      </c>
      <c r="E424" t="s">
        <v>43</v>
      </c>
      <c r="F424" t="s">
        <v>20</v>
      </c>
      <c r="G424" t="s">
        <v>61</v>
      </c>
      <c r="H424" s="5">
        <v>700000</v>
      </c>
      <c r="I424" s="5">
        <v>650000</v>
      </c>
      <c r="J424" s="5">
        <v>50000</v>
      </c>
      <c r="K424" s="5">
        <f>Table2[[#This Row],[Advance Amount]]-Table2[[#This Row],[Expense Amount]]-Table2[[#This Row],[Return Amount]]</f>
        <v>0</v>
      </c>
      <c r="L424" s="5" t="str">
        <f>IF(Table2[[#This Row],[Outstanding]]=0,"Settled",IF(Table2[[#This Row],[Outstanding]]&gt;0,"Outstanding"))</f>
        <v>Settled</v>
      </c>
      <c r="M424" s="5" t="str">
        <f>IF(Table2[[#This Row],[Advance Amount]]=Table2[[#This Row],[Expense Amount]]+Table2[[#This Row],[Return Amount]]+Table2[[#This Row],[Outstanding]],"Ok","Check")</f>
        <v>Ok</v>
      </c>
      <c r="N424" s="11">
        <f>IF(Table2[[#This Row],[Status]]="Settled",0,$Q$2-Table2[[#This Row],[Date]])</f>
        <v>0</v>
      </c>
      <c r="O424" s="5" t="str">
        <f>IF(Table2[[#This Row],[Age Days]]&lt;=7,"Normal",IF(Table2[[#This Row],[Age Days]]&lt;=14,"Perlu Dipantau",IF(Table2[[#This Row],[Age Days]]&lt;=30,"Perlu Ditindaklanjuti","Overdue")))</f>
        <v>Normal</v>
      </c>
    </row>
    <row r="425" spans="1:15" x14ac:dyDescent="0.3">
      <c r="A425" t="s">
        <v>509</v>
      </c>
      <c r="B425" s="3">
        <v>46130</v>
      </c>
      <c r="C425" t="s">
        <v>46</v>
      </c>
      <c r="D425" t="s">
        <v>47</v>
      </c>
      <c r="E425" t="s">
        <v>37</v>
      </c>
      <c r="F425" t="s">
        <v>14</v>
      </c>
      <c r="G425" t="s">
        <v>58</v>
      </c>
      <c r="H425" s="5">
        <v>525000</v>
      </c>
      <c r="I425" s="5">
        <v>425000</v>
      </c>
      <c r="J425" s="5">
        <v>100000</v>
      </c>
      <c r="K425" s="5">
        <f>Table2[[#This Row],[Advance Amount]]-Table2[[#This Row],[Expense Amount]]-Table2[[#This Row],[Return Amount]]</f>
        <v>0</v>
      </c>
      <c r="L425" s="5" t="str">
        <f>IF(Table2[[#This Row],[Outstanding]]=0,"Settled",IF(Table2[[#This Row],[Outstanding]]&gt;0,"Outstanding"))</f>
        <v>Settled</v>
      </c>
      <c r="M425" s="5" t="str">
        <f>IF(Table2[[#This Row],[Advance Amount]]=Table2[[#This Row],[Expense Amount]]+Table2[[#This Row],[Return Amount]]+Table2[[#This Row],[Outstanding]],"Ok","Check")</f>
        <v>Ok</v>
      </c>
      <c r="N425" s="11">
        <f>IF(Table2[[#This Row],[Status]]="Settled",0,$Q$2-Table2[[#This Row],[Date]])</f>
        <v>0</v>
      </c>
      <c r="O425" s="5" t="str">
        <f>IF(Table2[[#This Row],[Age Days]]&lt;=7,"Normal",IF(Table2[[#This Row],[Age Days]]&lt;=14,"Perlu Dipantau",IF(Table2[[#This Row],[Age Days]]&lt;=30,"Perlu Ditindaklanjuti","Overdue")))</f>
        <v>Normal</v>
      </c>
    </row>
    <row r="426" spans="1:15" x14ac:dyDescent="0.3">
      <c r="A426" t="s">
        <v>510</v>
      </c>
      <c r="B426" s="3">
        <v>46130</v>
      </c>
      <c r="C426" t="s">
        <v>46</v>
      </c>
      <c r="D426" t="s">
        <v>47</v>
      </c>
      <c r="E426" t="s">
        <v>37</v>
      </c>
      <c r="F426" t="s">
        <v>20</v>
      </c>
      <c r="G426" t="s">
        <v>40</v>
      </c>
      <c r="H426" s="5">
        <v>825000</v>
      </c>
      <c r="I426" s="5">
        <v>775000</v>
      </c>
      <c r="J426" s="5">
        <v>50000</v>
      </c>
      <c r="K426" s="5">
        <f>Table2[[#This Row],[Advance Amount]]-Table2[[#This Row],[Expense Amount]]-Table2[[#This Row],[Return Amount]]</f>
        <v>0</v>
      </c>
      <c r="L426" s="5" t="str">
        <f>IF(Table2[[#This Row],[Outstanding]]=0,"Settled",IF(Table2[[#This Row],[Outstanding]]&gt;0,"Outstanding"))</f>
        <v>Settled</v>
      </c>
      <c r="M426" s="5" t="str">
        <f>IF(Table2[[#This Row],[Advance Amount]]=Table2[[#This Row],[Expense Amount]]+Table2[[#This Row],[Return Amount]]+Table2[[#This Row],[Outstanding]],"Ok","Check")</f>
        <v>Ok</v>
      </c>
      <c r="N426" s="11">
        <f>IF(Table2[[#This Row],[Status]]="Settled",0,$Q$2-Table2[[#This Row],[Date]])</f>
        <v>0</v>
      </c>
      <c r="O426" s="5" t="str">
        <f>IF(Table2[[#This Row],[Age Days]]&lt;=7,"Normal",IF(Table2[[#This Row],[Age Days]]&lt;=14,"Perlu Dipantau",IF(Table2[[#This Row],[Age Days]]&lt;=30,"Perlu Ditindaklanjuti","Overdue")))</f>
        <v>Normal</v>
      </c>
    </row>
    <row r="427" spans="1:15" x14ac:dyDescent="0.3">
      <c r="A427" t="s">
        <v>511</v>
      </c>
      <c r="B427" s="3">
        <v>46130</v>
      </c>
      <c r="C427" t="s">
        <v>55</v>
      </c>
      <c r="D427" t="s">
        <v>56</v>
      </c>
      <c r="E427" t="s">
        <v>24</v>
      </c>
      <c r="F427" t="s">
        <v>14</v>
      </c>
      <c r="G427" t="s">
        <v>34</v>
      </c>
      <c r="H427" s="5">
        <v>475000</v>
      </c>
      <c r="I427" s="5">
        <v>375000</v>
      </c>
      <c r="J427" s="5">
        <v>100000</v>
      </c>
      <c r="K427" s="5">
        <f>Table2[[#This Row],[Advance Amount]]-Table2[[#This Row],[Expense Amount]]-Table2[[#This Row],[Return Amount]]</f>
        <v>0</v>
      </c>
      <c r="L427" s="5" t="str">
        <f>IF(Table2[[#This Row],[Outstanding]]=0,"Settled",IF(Table2[[#This Row],[Outstanding]]&gt;0,"Outstanding"))</f>
        <v>Settled</v>
      </c>
      <c r="M427" s="5" t="str">
        <f>IF(Table2[[#This Row],[Advance Amount]]=Table2[[#This Row],[Expense Amount]]+Table2[[#This Row],[Return Amount]]+Table2[[#This Row],[Outstanding]],"Ok","Check")</f>
        <v>Ok</v>
      </c>
      <c r="N427" s="11">
        <f>IF(Table2[[#This Row],[Status]]="Settled",0,$Q$2-Table2[[#This Row],[Date]])</f>
        <v>0</v>
      </c>
      <c r="O427" s="5" t="str">
        <f>IF(Table2[[#This Row],[Age Days]]&lt;=7,"Normal",IF(Table2[[#This Row],[Age Days]]&lt;=14,"Perlu Dipantau",IF(Table2[[#This Row],[Age Days]]&lt;=30,"Perlu Ditindaklanjuti","Overdue")))</f>
        <v>Normal</v>
      </c>
    </row>
    <row r="428" spans="1:15" x14ac:dyDescent="0.3">
      <c r="A428" t="s">
        <v>512</v>
      </c>
      <c r="B428" s="3">
        <v>46130</v>
      </c>
      <c r="C428" t="s">
        <v>62</v>
      </c>
      <c r="D428" t="s">
        <v>63</v>
      </c>
      <c r="E428" t="s">
        <v>52</v>
      </c>
      <c r="F428" t="s">
        <v>20</v>
      </c>
      <c r="G428" t="s">
        <v>61</v>
      </c>
      <c r="H428" s="5">
        <v>100000</v>
      </c>
      <c r="I428" s="5">
        <v>0</v>
      </c>
      <c r="J428" s="5">
        <v>0</v>
      </c>
      <c r="K428" s="5">
        <f>Table2[[#This Row],[Advance Amount]]-Table2[[#This Row],[Expense Amount]]-Table2[[#This Row],[Return Amount]]</f>
        <v>100000</v>
      </c>
      <c r="L428" s="5" t="str">
        <f>IF(Table2[[#This Row],[Outstanding]]=0,"Settled",IF(Table2[[#This Row],[Outstanding]]&gt;0,"Outstanding"))</f>
        <v>Outstanding</v>
      </c>
      <c r="M428" s="5" t="str">
        <f>IF(Table2[[#This Row],[Advance Amount]]=Table2[[#This Row],[Expense Amount]]+Table2[[#This Row],[Return Amount]]+Table2[[#This Row],[Outstanding]],"Ok","Check")</f>
        <v>Ok</v>
      </c>
      <c r="N428" s="11">
        <f>IF(Table2[[#This Row],[Status]]="Settled",0,$Q$2-Table2[[#This Row],[Date]])</f>
        <v>135</v>
      </c>
      <c r="O428" s="5" t="str">
        <f>IF(Table2[[#This Row],[Age Days]]&lt;=7,"Normal",IF(Table2[[#This Row],[Age Days]]&lt;=14,"Perlu Dipantau",IF(Table2[[#This Row],[Age Days]]&lt;=30,"Perlu Ditindaklanjuti","Overdue")))</f>
        <v>Overdue</v>
      </c>
    </row>
    <row r="429" spans="1:15" x14ac:dyDescent="0.3">
      <c r="A429" t="s">
        <v>513</v>
      </c>
      <c r="B429" s="3">
        <v>46130</v>
      </c>
      <c r="C429" t="s">
        <v>11</v>
      </c>
      <c r="D429" t="s">
        <v>12</v>
      </c>
      <c r="E429" t="s">
        <v>13</v>
      </c>
      <c r="F429" t="s">
        <v>20</v>
      </c>
      <c r="G429" t="s">
        <v>34</v>
      </c>
      <c r="H429" s="5">
        <v>425000</v>
      </c>
      <c r="I429" s="5">
        <v>375000</v>
      </c>
      <c r="J429" s="5">
        <v>50000</v>
      </c>
      <c r="K429" s="5">
        <f>Table2[[#This Row],[Advance Amount]]-Table2[[#This Row],[Expense Amount]]-Table2[[#This Row],[Return Amount]]</f>
        <v>0</v>
      </c>
      <c r="L429" s="5" t="str">
        <f>IF(Table2[[#This Row],[Outstanding]]=0,"Settled",IF(Table2[[#This Row],[Outstanding]]&gt;0,"Outstanding"))</f>
        <v>Settled</v>
      </c>
      <c r="M429" s="5" t="str">
        <f>IF(Table2[[#This Row],[Advance Amount]]=Table2[[#This Row],[Expense Amount]]+Table2[[#This Row],[Return Amount]]+Table2[[#This Row],[Outstanding]],"Ok","Check")</f>
        <v>Ok</v>
      </c>
      <c r="N429" s="11">
        <f>IF(Table2[[#This Row],[Status]]="Settled",0,$Q$2-Table2[[#This Row],[Date]])</f>
        <v>0</v>
      </c>
      <c r="O429" s="5" t="str">
        <f>IF(Table2[[#This Row],[Age Days]]&lt;=7,"Normal",IF(Table2[[#This Row],[Age Days]]&lt;=14,"Perlu Dipantau",IF(Table2[[#This Row],[Age Days]]&lt;=30,"Perlu Ditindaklanjuti","Overdue")))</f>
        <v>Normal</v>
      </c>
    </row>
    <row r="430" spans="1:15" x14ac:dyDescent="0.3">
      <c r="A430" t="s">
        <v>514</v>
      </c>
      <c r="B430" s="3">
        <v>46130</v>
      </c>
      <c r="C430" t="s">
        <v>35</v>
      </c>
      <c r="D430" t="s">
        <v>36</v>
      </c>
      <c r="E430" t="s">
        <v>37</v>
      </c>
      <c r="F430" t="s">
        <v>20</v>
      </c>
      <c r="G430" t="s">
        <v>57</v>
      </c>
      <c r="H430" s="5">
        <v>205000</v>
      </c>
      <c r="I430" s="5">
        <v>175000</v>
      </c>
      <c r="J430" s="5">
        <v>30000</v>
      </c>
      <c r="K430" s="5">
        <f>Table2[[#This Row],[Advance Amount]]-Table2[[#This Row],[Expense Amount]]-Table2[[#This Row],[Return Amount]]</f>
        <v>0</v>
      </c>
      <c r="L430" s="5" t="str">
        <f>IF(Table2[[#This Row],[Outstanding]]=0,"Settled",IF(Table2[[#This Row],[Outstanding]]&gt;0,"Outstanding"))</f>
        <v>Settled</v>
      </c>
      <c r="M430" s="5" t="str">
        <f>IF(Table2[[#This Row],[Advance Amount]]=Table2[[#This Row],[Expense Amount]]+Table2[[#This Row],[Return Amount]]+Table2[[#This Row],[Outstanding]],"Ok","Check")</f>
        <v>Ok</v>
      </c>
      <c r="N430" s="11">
        <f>IF(Table2[[#This Row],[Status]]="Settled",0,$Q$2-Table2[[#This Row],[Date]])</f>
        <v>0</v>
      </c>
      <c r="O430" s="5" t="str">
        <f>IF(Table2[[#This Row],[Age Days]]&lt;=7,"Normal",IF(Table2[[#This Row],[Age Days]]&lt;=14,"Perlu Dipantau",IF(Table2[[#This Row],[Age Days]]&lt;=30,"Perlu Ditindaklanjuti","Overdue")))</f>
        <v>Normal</v>
      </c>
    </row>
    <row r="431" spans="1:15" x14ac:dyDescent="0.3">
      <c r="A431" t="s">
        <v>515</v>
      </c>
      <c r="B431" s="3">
        <v>46130</v>
      </c>
      <c r="C431" t="s">
        <v>35</v>
      </c>
      <c r="D431" t="s">
        <v>36</v>
      </c>
      <c r="E431" t="s">
        <v>37</v>
      </c>
      <c r="F431" t="s">
        <v>14</v>
      </c>
      <c r="G431" t="s">
        <v>57</v>
      </c>
      <c r="H431" s="5">
        <v>480000</v>
      </c>
      <c r="I431" s="5">
        <v>450000</v>
      </c>
      <c r="J431" s="5">
        <v>30000</v>
      </c>
      <c r="K431" s="5">
        <f>Table2[[#This Row],[Advance Amount]]-Table2[[#This Row],[Expense Amount]]-Table2[[#This Row],[Return Amount]]</f>
        <v>0</v>
      </c>
      <c r="L431" s="5" t="str">
        <f>IF(Table2[[#This Row],[Outstanding]]=0,"Settled",IF(Table2[[#This Row],[Outstanding]]&gt;0,"Outstanding"))</f>
        <v>Settled</v>
      </c>
      <c r="M431" s="5" t="str">
        <f>IF(Table2[[#This Row],[Advance Amount]]=Table2[[#This Row],[Expense Amount]]+Table2[[#This Row],[Return Amount]]+Table2[[#This Row],[Outstanding]],"Ok","Check")</f>
        <v>Ok</v>
      </c>
      <c r="N431" s="11">
        <f>IF(Table2[[#This Row],[Status]]="Settled",0,$Q$2-Table2[[#This Row],[Date]])</f>
        <v>0</v>
      </c>
      <c r="O431" s="5" t="str">
        <f>IF(Table2[[#This Row],[Age Days]]&lt;=7,"Normal",IF(Table2[[#This Row],[Age Days]]&lt;=14,"Perlu Dipantau",IF(Table2[[#This Row],[Age Days]]&lt;=30,"Perlu Ditindaklanjuti","Overdue")))</f>
        <v>Normal</v>
      </c>
    </row>
    <row r="432" spans="1:15" x14ac:dyDescent="0.3">
      <c r="A432" t="s">
        <v>516</v>
      </c>
      <c r="B432" s="3">
        <v>46131</v>
      </c>
      <c r="C432" t="s">
        <v>29</v>
      </c>
      <c r="D432" t="s">
        <v>30</v>
      </c>
      <c r="E432" t="s">
        <v>13</v>
      </c>
      <c r="F432" t="s">
        <v>14</v>
      </c>
      <c r="G432" t="s">
        <v>57</v>
      </c>
      <c r="H432" s="5">
        <v>255000</v>
      </c>
      <c r="I432" s="5">
        <v>225000</v>
      </c>
      <c r="J432" s="5">
        <v>30000</v>
      </c>
      <c r="K432" s="5">
        <f>Table2[[#This Row],[Advance Amount]]-Table2[[#This Row],[Expense Amount]]-Table2[[#This Row],[Return Amount]]</f>
        <v>0</v>
      </c>
      <c r="L432" s="5" t="str">
        <f>IF(Table2[[#This Row],[Outstanding]]=0,"Settled",IF(Table2[[#This Row],[Outstanding]]&gt;0,"Outstanding"))</f>
        <v>Settled</v>
      </c>
      <c r="M432" s="5" t="str">
        <f>IF(Table2[[#This Row],[Advance Amount]]=Table2[[#This Row],[Expense Amount]]+Table2[[#This Row],[Return Amount]]+Table2[[#This Row],[Outstanding]],"Ok","Check")</f>
        <v>Ok</v>
      </c>
      <c r="N432" s="11">
        <f>IF(Table2[[#This Row],[Status]]="Settled",0,$Q$2-Table2[[#This Row],[Date]])</f>
        <v>0</v>
      </c>
      <c r="O432" s="5" t="str">
        <f>IF(Table2[[#This Row],[Age Days]]&lt;=7,"Normal",IF(Table2[[#This Row],[Age Days]]&lt;=14,"Perlu Dipantau",IF(Table2[[#This Row],[Age Days]]&lt;=30,"Perlu Ditindaklanjuti","Overdue")))</f>
        <v>Normal</v>
      </c>
    </row>
    <row r="433" spans="1:15" x14ac:dyDescent="0.3">
      <c r="A433" t="s">
        <v>517</v>
      </c>
      <c r="B433" s="3">
        <v>46131</v>
      </c>
      <c r="C433" t="s">
        <v>35</v>
      </c>
      <c r="D433" t="s">
        <v>36</v>
      </c>
      <c r="E433" t="s">
        <v>37</v>
      </c>
      <c r="F433" t="s">
        <v>14</v>
      </c>
      <c r="G433" t="s">
        <v>34</v>
      </c>
      <c r="H433" s="5">
        <v>325000</v>
      </c>
      <c r="I433" s="5">
        <v>250000</v>
      </c>
      <c r="J433" s="5">
        <v>75000</v>
      </c>
      <c r="K433" s="5">
        <f>Table2[[#This Row],[Advance Amount]]-Table2[[#This Row],[Expense Amount]]-Table2[[#This Row],[Return Amount]]</f>
        <v>0</v>
      </c>
      <c r="L433" s="5" t="str">
        <f>IF(Table2[[#This Row],[Outstanding]]=0,"Settled",IF(Table2[[#This Row],[Outstanding]]&gt;0,"Outstanding"))</f>
        <v>Settled</v>
      </c>
      <c r="M433" s="5" t="str">
        <f>IF(Table2[[#This Row],[Advance Amount]]=Table2[[#This Row],[Expense Amount]]+Table2[[#This Row],[Return Amount]]+Table2[[#This Row],[Outstanding]],"Ok","Check")</f>
        <v>Ok</v>
      </c>
      <c r="N433" s="11">
        <f>IF(Table2[[#This Row],[Status]]="Settled",0,$Q$2-Table2[[#This Row],[Date]])</f>
        <v>0</v>
      </c>
      <c r="O433" s="5" t="str">
        <f>IF(Table2[[#This Row],[Age Days]]&lt;=7,"Normal",IF(Table2[[#This Row],[Age Days]]&lt;=14,"Perlu Dipantau",IF(Table2[[#This Row],[Age Days]]&lt;=30,"Perlu Ditindaklanjuti","Overdue")))</f>
        <v>Normal</v>
      </c>
    </row>
    <row r="434" spans="1:15" x14ac:dyDescent="0.3">
      <c r="A434" t="s">
        <v>518</v>
      </c>
      <c r="B434" s="3">
        <v>46131</v>
      </c>
      <c r="C434" t="s">
        <v>64</v>
      </c>
      <c r="D434" t="s">
        <v>65</v>
      </c>
      <c r="E434" t="s">
        <v>37</v>
      </c>
      <c r="F434" t="s">
        <v>14</v>
      </c>
      <c r="G434" t="s">
        <v>58</v>
      </c>
      <c r="H434" s="5">
        <v>500000</v>
      </c>
      <c r="I434" s="5">
        <v>475000</v>
      </c>
      <c r="J434" s="5">
        <v>25000</v>
      </c>
      <c r="K434" s="5">
        <f>Table2[[#This Row],[Advance Amount]]-Table2[[#This Row],[Expense Amount]]-Table2[[#This Row],[Return Amount]]</f>
        <v>0</v>
      </c>
      <c r="L434" s="5" t="str">
        <f>IF(Table2[[#This Row],[Outstanding]]=0,"Settled",IF(Table2[[#This Row],[Outstanding]]&gt;0,"Outstanding"))</f>
        <v>Settled</v>
      </c>
      <c r="M434" s="5" t="str">
        <f>IF(Table2[[#This Row],[Advance Amount]]=Table2[[#This Row],[Expense Amount]]+Table2[[#This Row],[Return Amount]]+Table2[[#This Row],[Outstanding]],"Ok","Check")</f>
        <v>Ok</v>
      </c>
      <c r="N434" s="11">
        <f>IF(Table2[[#This Row],[Status]]="Settled",0,$Q$2-Table2[[#This Row],[Date]])</f>
        <v>0</v>
      </c>
      <c r="O434" s="5" t="str">
        <f>IF(Table2[[#This Row],[Age Days]]&lt;=7,"Normal",IF(Table2[[#This Row],[Age Days]]&lt;=14,"Perlu Dipantau",IF(Table2[[#This Row],[Age Days]]&lt;=30,"Perlu Ditindaklanjuti","Overdue")))</f>
        <v>Normal</v>
      </c>
    </row>
    <row r="435" spans="1:15" x14ac:dyDescent="0.3">
      <c r="A435" t="s">
        <v>519</v>
      </c>
      <c r="B435" s="3">
        <v>46132</v>
      </c>
      <c r="C435" t="s">
        <v>29</v>
      </c>
      <c r="D435" t="s">
        <v>30</v>
      </c>
      <c r="E435" t="s">
        <v>13</v>
      </c>
      <c r="F435" t="s">
        <v>14</v>
      </c>
      <c r="G435" t="s">
        <v>34</v>
      </c>
      <c r="H435" s="5">
        <v>475000</v>
      </c>
      <c r="I435" s="5">
        <v>0</v>
      </c>
      <c r="J435" s="5">
        <v>0</v>
      </c>
      <c r="K435" s="5">
        <f>Table2[[#This Row],[Advance Amount]]-Table2[[#This Row],[Expense Amount]]-Table2[[#This Row],[Return Amount]]</f>
        <v>475000</v>
      </c>
      <c r="L435" s="5" t="str">
        <f>IF(Table2[[#This Row],[Outstanding]]=0,"Settled",IF(Table2[[#This Row],[Outstanding]]&gt;0,"Outstanding"))</f>
        <v>Outstanding</v>
      </c>
      <c r="M435" s="5" t="str">
        <f>IF(Table2[[#This Row],[Advance Amount]]=Table2[[#This Row],[Expense Amount]]+Table2[[#This Row],[Return Amount]]+Table2[[#This Row],[Outstanding]],"Ok","Check")</f>
        <v>Ok</v>
      </c>
      <c r="N435" s="11">
        <f>IF(Table2[[#This Row],[Status]]="Settled",0,$Q$2-Table2[[#This Row],[Date]])</f>
        <v>133</v>
      </c>
      <c r="O435" s="5" t="str">
        <f>IF(Table2[[#This Row],[Age Days]]&lt;=7,"Normal",IF(Table2[[#This Row],[Age Days]]&lt;=14,"Perlu Dipantau",IF(Table2[[#This Row],[Age Days]]&lt;=30,"Perlu Ditindaklanjuti","Overdue")))</f>
        <v>Overdue</v>
      </c>
    </row>
    <row r="436" spans="1:15" x14ac:dyDescent="0.3">
      <c r="A436" t="s">
        <v>520</v>
      </c>
      <c r="B436" s="3">
        <v>46132</v>
      </c>
      <c r="C436" t="s">
        <v>32</v>
      </c>
      <c r="D436" t="s">
        <v>33</v>
      </c>
      <c r="E436" t="s">
        <v>27</v>
      </c>
      <c r="F436" t="s">
        <v>20</v>
      </c>
      <c r="G436" t="s">
        <v>34</v>
      </c>
      <c r="H436" s="5">
        <v>100000</v>
      </c>
      <c r="I436" s="5">
        <v>75000</v>
      </c>
      <c r="J436" s="5">
        <v>25000</v>
      </c>
      <c r="K436" s="5">
        <f>Table2[[#This Row],[Advance Amount]]-Table2[[#This Row],[Expense Amount]]-Table2[[#This Row],[Return Amount]]</f>
        <v>0</v>
      </c>
      <c r="L436" s="5" t="str">
        <f>IF(Table2[[#This Row],[Outstanding]]=0,"Settled",IF(Table2[[#This Row],[Outstanding]]&gt;0,"Outstanding"))</f>
        <v>Settled</v>
      </c>
      <c r="M436" s="5" t="str">
        <f>IF(Table2[[#This Row],[Advance Amount]]=Table2[[#This Row],[Expense Amount]]+Table2[[#This Row],[Return Amount]]+Table2[[#This Row],[Outstanding]],"Ok","Check")</f>
        <v>Ok</v>
      </c>
      <c r="N436" s="11">
        <f>IF(Table2[[#This Row],[Status]]="Settled",0,$Q$2-Table2[[#This Row],[Date]])</f>
        <v>0</v>
      </c>
      <c r="O436" s="5" t="str">
        <f>IF(Table2[[#This Row],[Age Days]]&lt;=7,"Normal",IF(Table2[[#This Row],[Age Days]]&lt;=14,"Perlu Dipantau",IF(Table2[[#This Row],[Age Days]]&lt;=30,"Perlu Ditindaklanjuti","Overdue")))</f>
        <v>Normal</v>
      </c>
    </row>
    <row r="437" spans="1:15" x14ac:dyDescent="0.3">
      <c r="A437" t="s">
        <v>521</v>
      </c>
      <c r="B437" s="3">
        <v>46132</v>
      </c>
      <c r="C437" t="s">
        <v>62</v>
      </c>
      <c r="D437" t="s">
        <v>63</v>
      </c>
      <c r="E437" t="s">
        <v>52</v>
      </c>
      <c r="F437" t="s">
        <v>14</v>
      </c>
      <c r="G437" t="s">
        <v>40</v>
      </c>
      <c r="H437" s="5">
        <v>900000</v>
      </c>
      <c r="I437" s="5">
        <v>875000</v>
      </c>
      <c r="J437" s="5">
        <v>25000</v>
      </c>
      <c r="K437" s="5">
        <f>Table2[[#This Row],[Advance Amount]]-Table2[[#This Row],[Expense Amount]]-Table2[[#This Row],[Return Amount]]</f>
        <v>0</v>
      </c>
      <c r="L437" s="5" t="str">
        <f>IF(Table2[[#This Row],[Outstanding]]=0,"Settled",IF(Table2[[#This Row],[Outstanding]]&gt;0,"Outstanding"))</f>
        <v>Settled</v>
      </c>
      <c r="M437" s="5" t="str">
        <f>IF(Table2[[#This Row],[Advance Amount]]=Table2[[#This Row],[Expense Amount]]+Table2[[#This Row],[Return Amount]]+Table2[[#This Row],[Outstanding]],"Ok","Check")</f>
        <v>Ok</v>
      </c>
      <c r="N437" s="11">
        <f>IF(Table2[[#This Row],[Status]]="Settled",0,$Q$2-Table2[[#This Row],[Date]])</f>
        <v>0</v>
      </c>
      <c r="O437" s="5" t="str">
        <f>IF(Table2[[#This Row],[Age Days]]&lt;=7,"Normal",IF(Table2[[#This Row],[Age Days]]&lt;=14,"Perlu Dipantau",IF(Table2[[#This Row],[Age Days]]&lt;=30,"Perlu Ditindaklanjuti","Overdue")))</f>
        <v>Normal</v>
      </c>
    </row>
    <row r="438" spans="1:15" x14ac:dyDescent="0.3">
      <c r="A438" t="s">
        <v>522</v>
      </c>
      <c r="B438" s="3">
        <v>46132</v>
      </c>
      <c r="C438" t="s">
        <v>35</v>
      </c>
      <c r="D438" t="s">
        <v>36</v>
      </c>
      <c r="E438" t="s">
        <v>37</v>
      </c>
      <c r="F438" t="s">
        <v>20</v>
      </c>
      <c r="G438" t="s">
        <v>58</v>
      </c>
      <c r="H438" s="5">
        <v>875000</v>
      </c>
      <c r="I438" s="5">
        <v>700000</v>
      </c>
      <c r="J438" s="5">
        <v>175000</v>
      </c>
      <c r="K438" s="5">
        <f>Table2[[#This Row],[Advance Amount]]-Table2[[#This Row],[Expense Amount]]-Table2[[#This Row],[Return Amount]]</f>
        <v>0</v>
      </c>
      <c r="L438" s="5" t="str">
        <f>IF(Table2[[#This Row],[Outstanding]]=0,"Settled",IF(Table2[[#This Row],[Outstanding]]&gt;0,"Outstanding"))</f>
        <v>Settled</v>
      </c>
      <c r="M438" s="5" t="str">
        <f>IF(Table2[[#This Row],[Advance Amount]]=Table2[[#This Row],[Expense Amount]]+Table2[[#This Row],[Return Amount]]+Table2[[#This Row],[Outstanding]],"Ok","Check")</f>
        <v>Ok</v>
      </c>
      <c r="N438" s="11">
        <f>IF(Table2[[#This Row],[Status]]="Settled",0,$Q$2-Table2[[#This Row],[Date]])</f>
        <v>0</v>
      </c>
      <c r="O438" s="5" t="str">
        <f>IF(Table2[[#This Row],[Age Days]]&lt;=7,"Normal",IF(Table2[[#This Row],[Age Days]]&lt;=14,"Perlu Dipantau",IF(Table2[[#This Row],[Age Days]]&lt;=30,"Perlu Ditindaklanjuti","Overdue")))</f>
        <v>Normal</v>
      </c>
    </row>
    <row r="439" spans="1:15" x14ac:dyDescent="0.3">
      <c r="A439" t="s">
        <v>523</v>
      </c>
      <c r="B439" s="3">
        <v>46132</v>
      </c>
      <c r="C439" t="s">
        <v>22</v>
      </c>
      <c r="D439" t="s">
        <v>23</v>
      </c>
      <c r="E439" t="s">
        <v>24</v>
      </c>
      <c r="F439" t="s">
        <v>20</v>
      </c>
      <c r="G439" t="s">
        <v>15</v>
      </c>
      <c r="H439" s="5">
        <v>3025000</v>
      </c>
      <c r="I439" s="5">
        <v>2825000</v>
      </c>
      <c r="J439" s="5">
        <v>200000</v>
      </c>
      <c r="K439" s="5">
        <f>Table2[[#This Row],[Advance Amount]]-Table2[[#This Row],[Expense Amount]]-Table2[[#This Row],[Return Amount]]</f>
        <v>0</v>
      </c>
      <c r="L439" s="5" t="str">
        <f>IF(Table2[[#This Row],[Outstanding]]=0,"Settled",IF(Table2[[#This Row],[Outstanding]]&gt;0,"Outstanding"))</f>
        <v>Settled</v>
      </c>
      <c r="M439" s="5" t="str">
        <f>IF(Table2[[#This Row],[Advance Amount]]=Table2[[#This Row],[Expense Amount]]+Table2[[#This Row],[Return Amount]]+Table2[[#This Row],[Outstanding]],"Ok","Check")</f>
        <v>Ok</v>
      </c>
      <c r="N439" s="11">
        <f>IF(Table2[[#This Row],[Status]]="Settled",0,$Q$2-Table2[[#This Row],[Date]])</f>
        <v>0</v>
      </c>
      <c r="O439" s="5" t="str">
        <f>IF(Table2[[#This Row],[Age Days]]&lt;=7,"Normal",IF(Table2[[#This Row],[Age Days]]&lt;=14,"Perlu Dipantau",IF(Table2[[#This Row],[Age Days]]&lt;=30,"Perlu Ditindaklanjuti","Overdue")))</f>
        <v>Normal</v>
      </c>
    </row>
    <row r="440" spans="1:15" x14ac:dyDescent="0.3">
      <c r="A440" t="s">
        <v>524</v>
      </c>
      <c r="B440" s="3">
        <v>46132</v>
      </c>
      <c r="C440" t="s">
        <v>25</v>
      </c>
      <c r="D440" t="s">
        <v>26</v>
      </c>
      <c r="E440" t="s">
        <v>27</v>
      </c>
      <c r="F440" t="s">
        <v>20</v>
      </c>
      <c r="G440" t="s">
        <v>31</v>
      </c>
      <c r="H440" s="5">
        <v>1225000</v>
      </c>
      <c r="I440" s="5">
        <v>0</v>
      </c>
      <c r="J440" s="5">
        <v>0</v>
      </c>
      <c r="K440" s="5">
        <f>Table2[[#This Row],[Advance Amount]]-Table2[[#This Row],[Expense Amount]]-Table2[[#This Row],[Return Amount]]</f>
        <v>1225000</v>
      </c>
      <c r="L440" s="5" t="str">
        <f>IF(Table2[[#This Row],[Outstanding]]=0,"Settled",IF(Table2[[#This Row],[Outstanding]]&gt;0,"Outstanding"))</f>
        <v>Outstanding</v>
      </c>
      <c r="M440" s="5" t="str">
        <f>IF(Table2[[#This Row],[Advance Amount]]=Table2[[#This Row],[Expense Amount]]+Table2[[#This Row],[Return Amount]]+Table2[[#This Row],[Outstanding]],"Ok","Check")</f>
        <v>Ok</v>
      </c>
      <c r="N440" s="11">
        <f>IF(Table2[[#This Row],[Status]]="Settled",0,$Q$2-Table2[[#This Row],[Date]])</f>
        <v>133</v>
      </c>
      <c r="O440" s="5" t="str">
        <f>IF(Table2[[#This Row],[Age Days]]&lt;=7,"Normal",IF(Table2[[#This Row],[Age Days]]&lt;=14,"Perlu Dipantau",IF(Table2[[#This Row],[Age Days]]&lt;=30,"Perlu Ditindaklanjuti","Overdue")))</f>
        <v>Overdue</v>
      </c>
    </row>
    <row r="441" spans="1:15" x14ac:dyDescent="0.3">
      <c r="A441" t="s">
        <v>525</v>
      </c>
      <c r="B441" s="3">
        <v>46133</v>
      </c>
      <c r="C441" t="s">
        <v>11</v>
      </c>
      <c r="D441" t="s">
        <v>12</v>
      </c>
      <c r="E441" t="s">
        <v>13</v>
      </c>
      <c r="F441" t="s">
        <v>20</v>
      </c>
      <c r="G441" t="s">
        <v>34</v>
      </c>
      <c r="H441" s="5">
        <v>50000</v>
      </c>
      <c r="I441" s="5">
        <v>50000</v>
      </c>
      <c r="J441" s="5">
        <v>0</v>
      </c>
      <c r="K441" s="5">
        <f>Table2[[#This Row],[Advance Amount]]-Table2[[#This Row],[Expense Amount]]-Table2[[#This Row],[Return Amount]]</f>
        <v>0</v>
      </c>
      <c r="L441" s="5" t="str">
        <f>IF(Table2[[#This Row],[Outstanding]]=0,"Settled",IF(Table2[[#This Row],[Outstanding]]&gt;0,"Outstanding"))</f>
        <v>Settled</v>
      </c>
      <c r="M441" s="5" t="str">
        <f>IF(Table2[[#This Row],[Advance Amount]]=Table2[[#This Row],[Expense Amount]]+Table2[[#This Row],[Return Amount]]+Table2[[#This Row],[Outstanding]],"Ok","Check")</f>
        <v>Ok</v>
      </c>
      <c r="N441" s="11">
        <f>IF(Table2[[#This Row],[Status]]="Settled",0,$Q$2-Table2[[#This Row],[Date]])</f>
        <v>0</v>
      </c>
      <c r="O441" s="5" t="str">
        <f>IF(Table2[[#This Row],[Age Days]]&lt;=7,"Normal",IF(Table2[[#This Row],[Age Days]]&lt;=14,"Perlu Dipantau",IF(Table2[[#This Row],[Age Days]]&lt;=30,"Perlu Ditindaklanjuti","Overdue")))</f>
        <v>Normal</v>
      </c>
    </row>
    <row r="442" spans="1:15" x14ac:dyDescent="0.3">
      <c r="A442" t="s">
        <v>526</v>
      </c>
      <c r="B442" s="3">
        <v>46133</v>
      </c>
      <c r="C442" t="s">
        <v>38</v>
      </c>
      <c r="D442" t="s">
        <v>39</v>
      </c>
      <c r="E442" t="s">
        <v>24</v>
      </c>
      <c r="F442" t="s">
        <v>20</v>
      </c>
      <c r="G442" t="s">
        <v>58</v>
      </c>
      <c r="H442" s="5">
        <v>550000</v>
      </c>
      <c r="I442" s="5">
        <v>0</v>
      </c>
      <c r="J442" s="5">
        <v>0</v>
      </c>
      <c r="K442" s="5">
        <f>Table2[[#This Row],[Advance Amount]]-Table2[[#This Row],[Expense Amount]]-Table2[[#This Row],[Return Amount]]</f>
        <v>550000</v>
      </c>
      <c r="L442" s="5" t="str">
        <f>IF(Table2[[#This Row],[Outstanding]]=0,"Settled",IF(Table2[[#This Row],[Outstanding]]&gt;0,"Outstanding"))</f>
        <v>Outstanding</v>
      </c>
      <c r="M442" s="5" t="str">
        <f>IF(Table2[[#This Row],[Advance Amount]]=Table2[[#This Row],[Expense Amount]]+Table2[[#This Row],[Return Amount]]+Table2[[#This Row],[Outstanding]],"Ok","Check")</f>
        <v>Ok</v>
      </c>
      <c r="N442" s="11">
        <f>IF(Table2[[#This Row],[Status]]="Settled",0,$Q$2-Table2[[#This Row],[Date]])</f>
        <v>132</v>
      </c>
      <c r="O442" s="5" t="str">
        <f>IF(Table2[[#This Row],[Age Days]]&lt;=7,"Normal",IF(Table2[[#This Row],[Age Days]]&lt;=14,"Perlu Dipantau",IF(Table2[[#This Row],[Age Days]]&lt;=30,"Perlu Ditindaklanjuti","Overdue")))</f>
        <v>Overdue</v>
      </c>
    </row>
    <row r="443" spans="1:15" x14ac:dyDescent="0.3">
      <c r="A443" t="s">
        <v>527</v>
      </c>
      <c r="B443" s="3">
        <v>46133</v>
      </c>
      <c r="C443" t="s">
        <v>53</v>
      </c>
      <c r="D443" t="s">
        <v>54</v>
      </c>
      <c r="E443" t="s">
        <v>43</v>
      </c>
      <c r="F443" t="s">
        <v>20</v>
      </c>
      <c r="G443" t="s">
        <v>57</v>
      </c>
      <c r="H443" s="5">
        <v>155000</v>
      </c>
      <c r="I443" s="5">
        <v>150000</v>
      </c>
      <c r="J443" s="5">
        <v>5000</v>
      </c>
      <c r="K443" s="5">
        <f>Table2[[#This Row],[Advance Amount]]-Table2[[#This Row],[Expense Amount]]-Table2[[#This Row],[Return Amount]]</f>
        <v>0</v>
      </c>
      <c r="L443" s="5" t="str">
        <f>IF(Table2[[#This Row],[Outstanding]]=0,"Settled",IF(Table2[[#This Row],[Outstanding]]&gt;0,"Outstanding"))</f>
        <v>Settled</v>
      </c>
      <c r="M443" s="5" t="str">
        <f>IF(Table2[[#This Row],[Advance Amount]]=Table2[[#This Row],[Expense Amount]]+Table2[[#This Row],[Return Amount]]+Table2[[#This Row],[Outstanding]],"Ok","Check")</f>
        <v>Ok</v>
      </c>
      <c r="N443" s="11">
        <f>IF(Table2[[#This Row],[Status]]="Settled",0,$Q$2-Table2[[#This Row],[Date]])</f>
        <v>0</v>
      </c>
      <c r="O443" s="5" t="str">
        <f>IF(Table2[[#This Row],[Age Days]]&lt;=7,"Normal",IF(Table2[[#This Row],[Age Days]]&lt;=14,"Perlu Dipantau",IF(Table2[[#This Row],[Age Days]]&lt;=30,"Perlu Ditindaklanjuti","Overdue")))</f>
        <v>Normal</v>
      </c>
    </row>
    <row r="444" spans="1:15" x14ac:dyDescent="0.3">
      <c r="A444" t="s">
        <v>528</v>
      </c>
      <c r="B444" s="3">
        <v>46133</v>
      </c>
      <c r="C444" t="s">
        <v>22</v>
      </c>
      <c r="D444" t="s">
        <v>23</v>
      </c>
      <c r="E444" t="s">
        <v>24</v>
      </c>
      <c r="F444" t="s">
        <v>20</v>
      </c>
      <c r="G444" t="s">
        <v>31</v>
      </c>
      <c r="H444" s="5">
        <v>1375000</v>
      </c>
      <c r="I444" s="5">
        <v>1150000</v>
      </c>
      <c r="J444" s="5">
        <v>225000</v>
      </c>
      <c r="K444" s="5">
        <f>Table2[[#This Row],[Advance Amount]]-Table2[[#This Row],[Expense Amount]]-Table2[[#This Row],[Return Amount]]</f>
        <v>0</v>
      </c>
      <c r="L444" s="5" t="str">
        <f>IF(Table2[[#This Row],[Outstanding]]=0,"Settled",IF(Table2[[#This Row],[Outstanding]]&gt;0,"Outstanding"))</f>
        <v>Settled</v>
      </c>
      <c r="M444" s="5" t="str">
        <f>IF(Table2[[#This Row],[Advance Amount]]=Table2[[#This Row],[Expense Amount]]+Table2[[#This Row],[Return Amount]]+Table2[[#This Row],[Outstanding]],"Ok","Check")</f>
        <v>Ok</v>
      </c>
      <c r="N444" s="11">
        <f>IF(Table2[[#This Row],[Status]]="Settled",0,$Q$2-Table2[[#This Row],[Date]])</f>
        <v>0</v>
      </c>
      <c r="O444" s="5" t="str">
        <f>IF(Table2[[#This Row],[Age Days]]&lt;=7,"Normal",IF(Table2[[#This Row],[Age Days]]&lt;=14,"Perlu Dipantau",IF(Table2[[#This Row],[Age Days]]&lt;=30,"Perlu Ditindaklanjuti","Overdue")))</f>
        <v>Normal</v>
      </c>
    </row>
    <row r="445" spans="1:15" x14ac:dyDescent="0.3">
      <c r="A445" t="s">
        <v>529</v>
      </c>
      <c r="B445" s="3">
        <v>46133</v>
      </c>
      <c r="C445" t="s">
        <v>59</v>
      </c>
      <c r="D445" t="s">
        <v>60</v>
      </c>
      <c r="E445" t="s">
        <v>19</v>
      </c>
      <c r="F445" t="s">
        <v>20</v>
      </c>
      <c r="G445" t="s">
        <v>61</v>
      </c>
      <c r="H445" s="5">
        <v>325000</v>
      </c>
      <c r="I445" s="5">
        <v>0</v>
      </c>
      <c r="J445" s="5">
        <v>0</v>
      </c>
      <c r="K445" s="5">
        <f>Table2[[#This Row],[Advance Amount]]-Table2[[#This Row],[Expense Amount]]-Table2[[#This Row],[Return Amount]]</f>
        <v>325000</v>
      </c>
      <c r="L445" s="5" t="str">
        <f>IF(Table2[[#This Row],[Outstanding]]=0,"Settled",IF(Table2[[#This Row],[Outstanding]]&gt;0,"Outstanding"))</f>
        <v>Outstanding</v>
      </c>
      <c r="M445" s="5" t="str">
        <f>IF(Table2[[#This Row],[Advance Amount]]=Table2[[#This Row],[Expense Amount]]+Table2[[#This Row],[Return Amount]]+Table2[[#This Row],[Outstanding]],"Ok","Check")</f>
        <v>Ok</v>
      </c>
      <c r="N445" s="11">
        <f>IF(Table2[[#This Row],[Status]]="Settled",0,$Q$2-Table2[[#This Row],[Date]])</f>
        <v>132</v>
      </c>
      <c r="O445" s="5" t="str">
        <f>IF(Table2[[#This Row],[Age Days]]&lt;=7,"Normal",IF(Table2[[#This Row],[Age Days]]&lt;=14,"Perlu Dipantau",IF(Table2[[#This Row],[Age Days]]&lt;=30,"Perlu Ditindaklanjuti","Overdue")))</f>
        <v>Overdue</v>
      </c>
    </row>
    <row r="446" spans="1:15" x14ac:dyDescent="0.3">
      <c r="A446" t="s">
        <v>530</v>
      </c>
      <c r="B446" s="3">
        <v>46134</v>
      </c>
      <c r="C446" t="s">
        <v>41</v>
      </c>
      <c r="D446" t="s">
        <v>42</v>
      </c>
      <c r="E446" t="s">
        <v>43</v>
      </c>
      <c r="F446" t="s">
        <v>20</v>
      </c>
      <c r="G446" t="s">
        <v>58</v>
      </c>
      <c r="H446" s="5">
        <v>875000</v>
      </c>
      <c r="I446" s="5">
        <v>750000</v>
      </c>
      <c r="J446" s="5">
        <v>125000</v>
      </c>
      <c r="K446" s="5">
        <f>Table2[[#This Row],[Advance Amount]]-Table2[[#This Row],[Expense Amount]]-Table2[[#This Row],[Return Amount]]</f>
        <v>0</v>
      </c>
      <c r="L446" s="5" t="str">
        <f>IF(Table2[[#This Row],[Outstanding]]=0,"Settled",IF(Table2[[#This Row],[Outstanding]]&gt;0,"Outstanding"))</f>
        <v>Settled</v>
      </c>
      <c r="M446" s="5" t="str">
        <f>IF(Table2[[#This Row],[Advance Amount]]=Table2[[#This Row],[Expense Amount]]+Table2[[#This Row],[Return Amount]]+Table2[[#This Row],[Outstanding]],"Ok","Check")</f>
        <v>Ok</v>
      </c>
      <c r="N446" s="11">
        <f>IF(Table2[[#This Row],[Status]]="Settled",0,$Q$2-Table2[[#This Row],[Date]])</f>
        <v>0</v>
      </c>
      <c r="O446" s="5" t="str">
        <f>IF(Table2[[#This Row],[Age Days]]&lt;=7,"Normal",IF(Table2[[#This Row],[Age Days]]&lt;=14,"Perlu Dipantau",IF(Table2[[#This Row],[Age Days]]&lt;=30,"Perlu Ditindaklanjuti","Overdue")))</f>
        <v>Normal</v>
      </c>
    </row>
    <row r="447" spans="1:15" x14ac:dyDescent="0.3">
      <c r="A447" t="s">
        <v>531</v>
      </c>
      <c r="B447" s="3">
        <v>46134</v>
      </c>
      <c r="C447" t="s">
        <v>11</v>
      </c>
      <c r="D447" t="s">
        <v>12</v>
      </c>
      <c r="E447" t="s">
        <v>13</v>
      </c>
      <c r="F447" t="s">
        <v>20</v>
      </c>
      <c r="G447" t="s">
        <v>61</v>
      </c>
      <c r="H447" s="5">
        <v>550000</v>
      </c>
      <c r="I447" s="5">
        <v>450000</v>
      </c>
      <c r="J447" s="5">
        <v>100000</v>
      </c>
      <c r="K447" s="5">
        <f>Table2[[#This Row],[Advance Amount]]-Table2[[#This Row],[Expense Amount]]-Table2[[#This Row],[Return Amount]]</f>
        <v>0</v>
      </c>
      <c r="L447" s="5" t="str">
        <f>IF(Table2[[#This Row],[Outstanding]]=0,"Settled",IF(Table2[[#This Row],[Outstanding]]&gt;0,"Outstanding"))</f>
        <v>Settled</v>
      </c>
      <c r="M447" s="5" t="str">
        <f>IF(Table2[[#This Row],[Advance Amount]]=Table2[[#This Row],[Expense Amount]]+Table2[[#This Row],[Return Amount]]+Table2[[#This Row],[Outstanding]],"Ok","Check")</f>
        <v>Ok</v>
      </c>
      <c r="N447" s="11">
        <f>IF(Table2[[#This Row],[Status]]="Settled",0,$Q$2-Table2[[#This Row],[Date]])</f>
        <v>0</v>
      </c>
      <c r="O447" s="5" t="str">
        <f>IF(Table2[[#This Row],[Age Days]]&lt;=7,"Normal",IF(Table2[[#This Row],[Age Days]]&lt;=14,"Perlu Dipantau",IF(Table2[[#This Row],[Age Days]]&lt;=30,"Perlu Ditindaklanjuti","Overdue")))</f>
        <v>Normal</v>
      </c>
    </row>
    <row r="448" spans="1:15" x14ac:dyDescent="0.3">
      <c r="A448" t="s">
        <v>532</v>
      </c>
      <c r="B448" s="3">
        <v>46134</v>
      </c>
      <c r="C448" t="s">
        <v>17</v>
      </c>
      <c r="D448" t="s">
        <v>18</v>
      </c>
      <c r="E448" t="s">
        <v>19</v>
      </c>
      <c r="F448" t="s">
        <v>14</v>
      </c>
      <c r="G448" t="s">
        <v>61</v>
      </c>
      <c r="H448" s="5">
        <v>575000</v>
      </c>
      <c r="I448" s="5">
        <v>425000</v>
      </c>
      <c r="J448" s="5">
        <v>150000</v>
      </c>
      <c r="K448" s="5">
        <f>Table2[[#This Row],[Advance Amount]]-Table2[[#This Row],[Expense Amount]]-Table2[[#This Row],[Return Amount]]</f>
        <v>0</v>
      </c>
      <c r="L448" s="5" t="str">
        <f>IF(Table2[[#This Row],[Outstanding]]=0,"Settled",IF(Table2[[#This Row],[Outstanding]]&gt;0,"Outstanding"))</f>
        <v>Settled</v>
      </c>
      <c r="M448" s="5" t="str">
        <f>IF(Table2[[#This Row],[Advance Amount]]=Table2[[#This Row],[Expense Amount]]+Table2[[#This Row],[Return Amount]]+Table2[[#This Row],[Outstanding]],"Ok","Check")</f>
        <v>Ok</v>
      </c>
      <c r="N448" s="11">
        <f>IF(Table2[[#This Row],[Status]]="Settled",0,$Q$2-Table2[[#This Row],[Date]])</f>
        <v>0</v>
      </c>
      <c r="O448" s="5" t="str">
        <f>IF(Table2[[#This Row],[Age Days]]&lt;=7,"Normal",IF(Table2[[#This Row],[Age Days]]&lt;=14,"Perlu Dipantau",IF(Table2[[#This Row],[Age Days]]&lt;=30,"Perlu Ditindaklanjuti","Overdue")))</f>
        <v>Normal</v>
      </c>
    </row>
    <row r="449" spans="1:15" x14ac:dyDescent="0.3">
      <c r="A449" t="s">
        <v>533</v>
      </c>
      <c r="B449" s="3">
        <v>46134</v>
      </c>
      <c r="C449" t="s">
        <v>59</v>
      </c>
      <c r="D449" t="s">
        <v>60</v>
      </c>
      <c r="E449" t="s">
        <v>19</v>
      </c>
      <c r="F449" t="s">
        <v>20</v>
      </c>
      <c r="G449" t="s">
        <v>61</v>
      </c>
      <c r="H449" s="5">
        <v>500000</v>
      </c>
      <c r="I449" s="5">
        <v>475000</v>
      </c>
      <c r="J449" s="5">
        <v>25000</v>
      </c>
      <c r="K449" s="5">
        <f>Table2[[#This Row],[Advance Amount]]-Table2[[#This Row],[Expense Amount]]-Table2[[#This Row],[Return Amount]]</f>
        <v>0</v>
      </c>
      <c r="L449" s="5" t="str">
        <f>IF(Table2[[#This Row],[Outstanding]]=0,"Settled",IF(Table2[[#This Row],[Outstanding]]&gt;0,"Outstanding"))</f>
        <v>Settled</v>
      </c>
      <c r="M449" s="5" t="str">
        <f>IF(Table2[[#This Row],[Advance Amount]]=Table2[[#This Row],[Expense Amount]]+Table2[[#This Row],[Return Amount]]+Table2[[#This Row],[Outstanding]],"Ok","Check")</f>
        <v>Ok</v>
      </c>
      <c r="N449" s="11">
        <f>IF(Table2[[#This Row],[Status]]="Settled",0,$Q$2-Table2[[#This Row],[Date]])</f>
        <v>0</v>
      </c>
      <c r="O449" s="5" t="str">
        <f>IF(Table2[[#This Row],[Age Days]]&lt;=7,"Normal",IF(Table2[[#This Row],[Age Days]]&lt;=14,"Perlu Dipantau",IF(Table2[[#This Row],[Age Days]]&lt;=30,"Perlu Ditindaklanjuti","Overdue")))</f>
        <v>Normal</v>
      </c>
    </row>
    <row r="450" spans="1:15" x14ac:dyDescent="0.3">
      <c r="A450" t="s">
        <v>534</v>
      </c>
      <c r="B450" s="3">
        <v>46135</v>
      </c>
      <c r="C450" t="s">
        <v>17</v>
      </c>
      <c r="D450" t="s">
        <v>18</v>
      </c>
      <c r="E450" t="s">
        <v>19</v>
      </c>
      <c r="F450" t="s">
        <v>20</v>
      </c>
      <c r="G450" t="s">
        <v>28</v>
      </c>
      <c r="H450" s="5">
        <v>405000</v>
      </c>
      <c r="I450" s="5">
        <v>300000</v>
      </c>
      <c r="J450" s="5">
        <v>105000</v>
      </c>
      <c r="K450" s="5">
        <f>Table2[[#This Row],[Advance Amount]]-Table2[[#This Row],[Expense Amount]]-Table2[[#This Row],[Return Amount]]</f>
        <v>0</v>
      </c>
      <c r="L450" s="5" t="str">
        <f>IF(Table2[[#This Row],[Outstanding]]=0,"Settled",IF(Table2[[#This Row],[Outstanding]]&gt;0,"Outstanding"))</f>
        <v>Settled</v>
      </c>
      <c r="M450" s="5" t="str">
        <f>IF(Table2[[#This Row],[Advance Amount]]=Table2[[#This Row],[Expense Amount]]+Table2[[#This Row],[Return Amount]]+Table2[[#This Row],[Outstanding]],"Ok","Check")</f>
        <v>Ok</v>
      </c>
      <c r="N450" s="11">
        <f>IF(Table2[[#This Row],[Status]]="Settled",0,$Q$2-Table2[[#This Row],[Date]])</f>
        <v>0</v>
      </c>
      <c r="O450" s="5" t="str">
        <f>IF(Table2[[#This Row],[Age Days]]&lt;=7,"Normal",IF(Table2[[#This Row],[Age Days]]&lt;=14,"Perlu Dipantau",IF(Table2[[#This Row],[Age Days]]&lt;=30,"Perlu Ditindaklanjuti","Overdue")))</f>
        <v>Normal</v>
      </c>
    </row>
    <row r="451" spans="1:15" x14ac:dyDescent="0.3">
      <c r="A451" t="s">
        <v>535</v>
      </c>
      <c r="B451" s="3">
        <v>46135</v>
      </c>
      <c r="C451" t="s">
        <v>25</v>
      </c>
      <c r="D451" t="s">
        <v>26</v>
      </c>
      <c r="E451" t="s">
        <v>27</v>
      </c>
      <c r="F451" t="s">
        <v>14</v>
      </c>
      <c r="G451" t="s">
        <v>15</v>
      </c>
      <c r="H451" s="5">
        <v>1900000</v>
      </c>
      <c r="I451" s="5">
        <v>1575000</v>
      </c>
      <c r="J451" s="5">
        <v>325000</v>
      </c>
      <c r="K451" s="5">
        <f>Table2[[#This Row],[Advance Amount]]-Table2[[#This Row],[Expense Amount]]-Table2[[#This Row],[Return Amount]]</f>
        <v>0</v>
      </c>
      <c r="L451" s="5" t="str">
        <f>IF(Table2[[#This Row],[Outstanding]]=0,"Settled",IF(Table2[[#This Row],[Outstanding]]&gt;0,"Outstanding"))</f>
        <v>Settled</v>
      </c>
      <c r="M451" s="5" t="str">
        <f>IF(Table2[[#This Row],[Advance Amount]]=Table2[[#This Row],[Expense Amount]]+Table2[[#This Row],[Return Amount]]+Table2[[#This Row],[Outstanding]],"Ok","Check")</f>
        <v>Ok</v>
      </c>
      <c r="N451" s="11">
        <f>IF(Table2[[#This Row],[Status]]="Settled",0,$Q$2-Table2[[#This Row],[Date]])</f>
        <v>0</v>
      </c>
      <c r="O451" s="5" t="str">
        <f>IF(Table2[[#This Row],[Age Days]]&lt;=7,"Normal",IF(Table2[[#This Row],[Age Days]]&lt;=14,"Perlu Dipantau",IF(Table2[[#This Row],[Age Days]]&lt;=30,"Perlu Ditindaklanjuti","Overdue")))</f>
        <v>Normal</v>
      </c>
    </row>
    <row r="452" spans="1:15" x14ac:dyDescent="0.3">
      <c r="A452" t="s">
        <v>536</v>
      </c>
      <c r="B452" s="3">
        <v>46136</v>
      </c>
      <c r="C452" t="s">
        <v>62</v>
      </c>
      <c r="D452" t="s">
        <v>63</v>
      </c>
      <c r="E452" t="s">
        <v>52</v>
      </c>
      <c r="F452" t="s">
        <v>14</v>
      </c>
      <c r="G452" t="s">
        <v>31</v>
      </c>
      <c r="H452" s="5">
        <v>1100000</v>
      </c>
      <c r="I452" s="5">
        <v>0</v>
      </c>
      <c r="J452" s="5">
        <v>0</v>
      </c>
      <c r="K452" s="5">
        <f>Table2[[#This Row],[Advance Amount]]-Table2[[#This Row],[Expense Amount]]-Table2[[#This Row],[Return Amount]]</f>
        <v>1100000</v>
      </c>
      <c r="L452" s="5" t="str">
        <f>IF(Table2[[#This Row],[Outstanding]]=0,"Settled",IF(Table2[[#This Row],[Outstanding]]&gt;0,"Outstanding"))</f>
        <v>Outstanding</v>
      </c>
      <c r="M452" s="5" t="str">
        <f>IF(Table2[[#This Row],[Advance Amount]]=Table2[[#This Row],[Expense Amount]]+Table2[[#This Row],[Return Amount]]+Table2[[#This Row],[Outstanding]],"Ok","Check")</f>
        <v>Ok</v>
      </c>
      <c r="N452" s="11">
        <f>IF(Table2[[#This Row],[Status]]="Settled",0,$Q$2-Table2[[#This Row],[Date]])</f>
        <v>129</v>
      </c>
      <c r="O452" s="5" t="str">
        <f>IF(Table2[[#This Row],[Age Days]]&lt;=7,"Normal",IF(Table2[[#This Row],[Age Days]]&lt;=14,"Perlu Dipantau",IF(Table2[[#This Row],[Age Days]]&lt;=30,"Perlu Ditindaklanjuti","Overdue")))</f>
        <v>Overdue</v>
      </c>
    </row>
    <row r="453" spans="1:15" x14ac:dyDescent="0.3">
      <c r="A453" t="s">
        <v>537</v>
      </c>
      <c r="B453" s="3">
        <v>46136</v>
      </c>
      <c r="C453" t="s">
        <v>38</v>
      </c>
      <c r="D453" t="s">
        <v>39</v>
      </c>
      <c r="E453" t="s">
        <v>24</v>
      </c>
      <c r="F453" t="s">
        <v>20</v>
      </c>
      <c r="G453" t="s">
        <v>57</v>
      </c>
      <c r="H453" s="5">
        <v>105000</v>
      </c>
      <c r="I453" s="5">
        <v>75000</v>
      </c>
      <c r="J453" s="5">
        <v>30000</v>
      </c>
      <c r="K453" s="5">
        <f>Table2[[#This Row],[Advance Amount]]-Table2[[#This Row],[Expense Amount]]-Table2[[#This Row],[Return Amount]]</f>
        <v>0</v>
      </c>
      <c r="L453" s="5" t="str">
        <f>IF(Table2[[#This Row],[Outstanding]]=0,"Settled",IF(Table2[[#This Row],[Outstanding]]&gt;0,"Outstanding"))</f>
        <v>Settled</v>
      </c>
      <c r="M453" s="5" t="str">
        <f>IF(Table2[[#This Row],[Advance Amount]]=Table2[[#This Row],[Expense Amount]]+Table2[[#This Row],[Return Amount]]+Table2[[#This Row],[Outstanding]],"Ok","Check")</f>
        <v>Ok</v>
      </c>
      <c r="N453" s="11">
        <f>IF(Table2[[#This Row],[Status]]="Settled",0,$Q$2-Table2[[#This Row],[Date]])</f>
        <v>0</v>
      </c>
      <c r="O453" s="5" t="str">
        <f>IF(Table2[[#This Row],[Age Days]]&lt;=7,"Normal",IF(Table2[[#This Row],[Age Days]]&lt;=14,"Perlu Dipantau",IF(Table2[[#This Row],[Age Days]]&lt;=30,"Perlu Ditindaklanjuti","Overdue")))</f>
        <v>Normal</v>
      </c>
    </row>
    <row r="454" spans="1:15" x14ac:dyDescent="0.3">
      <c r="A454" t="s">
        <v>538</v>
      </c>
      <c r="B454" s="3">
        <v>46136</v>
      </c>
      <c r="C454" t="s">
        <v>44</v>
      </c>
      <c r="D454" t="s">
        <v>45</v>
      </c>
      <c r="E454" t="s">
        <v>43</v>
      </c>
      <c r="F454" t="s">
        <v>20</v>
      </c>
      <c r="G454" t="s">
        <v>57</v>
      </c>
      <c r="H454" s="5">
        <v>105000</v>
      </c>
      <c r="I454" s="5">
        <v>75000</v>
      </c>
      <c r="J454" s="5">
        <v>30000</v>
      </c>
      <c r="K454" s="5">
        <f>Table2[[#This Row],[Advance Amount]]-Table2[[#This Row],[Expense Amount]]-Table2[[#This Row],[Return Amount]]</f>
        <v>0</v>
      </c>
      <c r="L454" s="5" t="str">
        <f>IF(Table2[[#This Row],[Outstanding]]=0,"Settled",IF(Table2[[#This Row],[Outstanding]]&gt;0,"Outstanding"))</f>
        <v>Settled</v>
      </c>
      <c r="M454" s="5" t="str">
        <f>IF(Table2[[#This Row],[Advance Amount]]=Table2[[#This Row],[Expense Amount]]+Table2[[#This Row],[Return Amount]]+Table2[[#This Row],[Outstanding]],"Ok","Check")</f>
        <v>Ok</v>
      </c>
      <c r="N454" s="11">
        <f>IF(Table2[[#This Row],[Status]]="Settled",0,$Q$2-Table2[[#This Row],[Date]])</f>
        <v>0</v>
      </c>
      <c r="O454" s="5" t="str">
        <f>IF(Table2[[#This Row],[Age Days]]&lt;=7,"Normal",IF(Table2[[#This Row],[Age Days]]&lt;=14,"Perlu Dipantau",IF(Table2[[#This Row],[Age Days]]&lt;=30,"Perlu Ditindaklanjuti","Overdue")))</f>
        <v>Normal</v>
      </c>
    </row>
    <row r="455" spans="1:15" x14ac:dyDescent="0.3">
      <c r="A455" t="s">
        <v>539</v>
      </c>
      <c r="B455" s="3">
        <v>46136</v>
      </c>
      <c r="C455" t="s">
        <v>50</v>
      </c>
      <c r="D455" t="s">
        <v>51</v>
      </c>
      <c r="E455" t="s">
        <v>52</v>
      </c>
      <c r="F455" t="s">
        <v>14</v>
      </c>
      <c r="G455" t="s">
        <v>15</v>
      </c>
      <c r="H455" s="5">
        <v>2500000</v>
      </c>
      <c r="I455" s="5">
        <v>0</v>
      </c>
      <c r="J455" s="5">
        <v>0</v>
      </c>
      <c r="K455" s="5">
        <f>Table2[[#This Row],[Advance Amount]]-Table2[[#This Row],[Expense Amount]]-Table2[[#This Row],[Return Amount]]</f>
        <v>2500000</v>
      </c>
      <c r="L455" s="5" t="str">
        <f>IF(Table2[[#This Row],[Outstanding]]=0,"Settled",IF(Table2[[#This Row],[Outstanding]]&gt;0,"Outstanding"))</f>
        <v>Outstanding</v>
      </c>
      <c r="M455" s="5" t="str">
        <f>IF(Table2[[#This Row],[Advance Amount]]=Table2[[#This Row],[Expense Amount]]+Table2[[#This Row],[Return Amount]]+Table2[[#This Row],[Outstanding]],"Ok","Check")</f>
        <v>Ok</v>
      </c>
      <c r="N455" s="11">
        <f>IF(Table2[[#This Row],[Status]]="Settled",0,$Q$2-Table2[[#This Row],[Date]])</f>
        <v>129</v>
      </c>
      <c r="O455" s="5" t="str">
        <f>IF(Table2[[#This Row],[Age Days]]&lt;=7,"Normal",IF(Table2[[#This Row],[Age Days]]&lt;=14,"Perlu Dipantau",IF(Table2[[#This Row],[Age Days]]&lt;=30,"Perlu Ditindaklanjuti","Overdue")))</f>
        <v>Overdue</v>
      </c>
    </row>
    <row r="456" spans="1:15" x14ac:dyDescent="0.3">
      <c r="A456" t="s">
        <v>540</v>
      </c>
      <c r="B456" s="3">
        <v>46136</v>
      </c>
      <c r="C456" t="s">
        <v>66</v>
      </c>
      <c r="D456" t="s">
        <v>67</v>
      </c>
      <c r="E456" t="s">
        <v>13</v>
      </c>
      <c r="F456" t="s">
        <v>14</v>
      </c>
      <c r="G456" t="s">
        <v>15</v>
      </c>
      <c r="H456" s="5">
        <v>1725000</v>
      </c>
      <c r="I456" s="5">
        <v>1250000</v>
      </c>
      <c r="J456" s="5">
        <v>475000</v>
      </c>
      <c r="K456" s="5">
        <f>Table2[[#This Row],[Advance Amount]]-Table2[[#This Row],[Expense Amount]]-Table2[[#This Row],[Return Amount]]</f>
        <v>0</v>
      </c>
      <c r="L456" s="5" t="str">
        <f>IF(Table2[[#This Row],[Outstanding]]=0,"Settled",IF(Table2[[#This Row],[Outstanding]]&gt;0,"Outstanding"))</f>
        <v>Settled</v>
      </c>
      <c r="M456" s="5" t="str">
        <f>IF(Table2[[#This Row],[Advance Amount]]=Table2[[#This Row],[Expense Amount]]+Table2[[#This Row],[Return Amount]]+Table2[[#This Row],[Outstanding]],"Ok","Check")</f>
        <v>Ok</v>
      </c>
      <c r="N456" s="11">
        <f>IF(Table2[[#This Row],[Status]]="Settled",0,$Q$2-Table2[[#This Row],[Date]])</f>
        <v>0</v>
      </c>
      <c r="O456" s="5" t="str">
        <f>IF(Table2[[#This Row],[Age Days]]&lt;=7,"Normal",IF(Table2[[#This Row],[Age Days]]&lt;=14,"Perlu Dipantau",IF(Table2[[#This Row],[Age Days]]&lt;=30,"Perlu Ditindaklanjuti","Overdue")))</f>
        <v>Normal</v>
      </c>
    </row>
    <row r="457" spans="1:15" x14ac:dyDescent="0.3">
      <c r="A457" t="s">
        <v>541</v>
      </c>
      <c r="B457" s="3">
        <v>46137</v>
      </c>
      <c r="C457" t="s">
        <v>55</v>
      </c>
      <c r="D457" t="s">
        <v>56</v>
      </c>
      <c r="E457" t="s">
        <v>24</v>
      </c>
      <c r="F457" t="s">
        <v>14</v>
      </c>
      <c r="G457" t="s">
        <v>15</v>
      </c>
      <c r="H457" s="5">
        <v>675000</v>
      </c>
      <c r="I457" s="5">
        <v>0</v>
      </c>
      <c r="J457" s="5">
        <v>0</v>
      </c>
      <c r="K457" s="5">
        <f>Table2[[#This Row],[Advance Amount]]-Table2[[#This Row],[Expense Amount]]-Table2[[#This Row],[Return Amount]]</f>
        <v>675000</v>
      </c>
      <c r="L457" s="5" t="str">
        <f>IF(Table2[[#This Row],[Outstanding]]=0,"Settled",IF(Table2[[#This Row],[Outstanding]]&gt;0,"Outstanding"))</f>
        <v>Outstanding</v>
      </c>
      <c r="M457" s="5" t="str">
        <f>IF(Table2[[#This Row],[Advance Amount]]=Table2[[#This Row],[Expense Amount]]+Table2[[#This Row],[Return Amount]]+Table2[[#This Row],[Outstanding]],"Ok","Check")</f>
        <v>Ok</v>
      </c>
      <c r="N457" s="11">
        <f>IF(Table2[[#This Row],[Status]]="Settled",0,$Q$2-Table2[[#This Row],[Date]])</f>
        <v>128</v>
      </c>
      <c r="O457" s="5" t="str">
        <f>IF(Table2[[#This Row],[Age Days]]&lt;=7,"Normal",IF(Table2[[#This Row],[Age Days]]&lt;=14,"Perlu Dipantau",IF(Table2[[#This Row],[Age Days]]&lt;=30,"Perlu Ditindaklanjuti","Overdue")))</f>
        <v>Overdue</v>
      </c>
    </row>
    <row r="458" spans="1:15" x14ac:dyDescent="0.3">
      <c r="A458" t="s">
        <v>542</v>
      </c>
      <c r="B458" s="3">
        <v>46137</v>
      </c>
      <c r="C458" t="s">
        <v>11</v>
      </c>
      <c r="D458" t="s">
        <v>12</v>
      </c>
      <c r="E458" t="s">
        <v>13</v>
      </c>
      <c r="F458" t="s">
        <v>20</v>
      </c>
      <c r="G458" t="s">
        <v>57</v>
      </c>
      <c r="H458" s="5">
        <v>205000</v>
      </c>
      <c r="I458" s="5">
        <v>175000</v>
      </c>
      <c r="J458" s="5">
        <v>30000</v>
      </c>
      <c r="K458" s="5">
        <f>Table2[[#This Row],[Advance Amount]]-Table2[[#This Row],[Expense Amount]]-Table2[[#This Row],[Return Amount]]</f>
        <v>0</v>
      </c>
      <c r="L458" s="5" t="str">
        <f>IF(Table2[[#This Row],[Outstanding]]=0,"Settled",IF(Table2[[#This Row],[Outstanding]]&gt;0,"Outstanding"))</f>
        <v>Settled</v>
      </c>
      <c r="M458" s="5" t="str">
        <f>IF(Table2[[#This Row],[Advance Amount]]=Table2[[#This Row],[Expense Amount]]+Table2[[#This Row],[Return Amount]]+Table2[[#This Row],[Outstanding]],"Ok","Check")</f>
        <v>Ok</v>
      </c>
      <c r="N458" s="11">
        <f>IF(Table2[[#This Row],[Status]]="Settled",0,$Q$2-Table2[[#This Row],[Date]])</f>
        <v>0</v>
      </c>
      <c r="O458" s="5" t="str">
        <f>IF(Table2[[#This Row],[Age Days]]&lt;=7,"Normal",IF(Table2[[#This Row],[Age Days]]&lt;=14,"Perlu Dipantau",IF(Table2[[#This Row],[Age Days]]&lt;=30,"Perlu Ditindaklanjuti","Overdue")))</f>
        <v>Normal</v>
      </c>
    </row>
    <row r="459" spans="1:15" x14ac:dyDescent="0.3">
      <c r="A459" t="s">
        <v>543</v>
      </c>
      <c r="B459" s="3">
        <v>46137</v>
      </c>
      <c r="C459" t="s">
        <v>22</v>
      </c>
      <c r="D459" t="s">
        <v>23</v>
      </c>
      <c r="E459" t="s">
        <v>24</v>
      </c>
      <c r="F459" t="s">
        <v>20</v>
      </c>
      <c r="G459" t="s">
        <v>28</v>
      </c>
      <c r="H459" s="5">
        <v>255000</v>
      </c>
      <c r="I459" s="5">
        <v>200000</v>
      </c>
      <c r="J459" s="5">
        <v>55000</v>
      </c>
      <c r="K459" s="5">
        <f>Table2[[#This Row],[Advance Amount]]-Table2[[#This Row],[Expense Amount]]-Table2[[#This Row],[Return Amount]]</f>
        <v>0</v>
      </c>
      <c r="L459" s="5" t="str">
        <f>IF(Table2[[#This Row],[Outstanding]]=0,"Settled",IF(Table2[[#This Row],[Outstanding]]&gt;0,"Outstanding"))</f>
        <v>Settled</v>
      </c>
      <c r="M459" s="5" t="str">
        <f>IF(Table2[[#This Row],[Advance Amount]]=Table2[[#This Row],[Expense Amount]]+Table2[[#This Row],[Return Amount]]+Table2[[#This Row],[Outstanding]],"Ok","Check")</f>
        <v>Ok</v>
      </c>
      <c r="N459" s="11">
        <f>IF(Table2[[#This Row],[Status]]="Settled",0,$Q$2-Table2[[#This Row],[Date]])</f>
        <v>0</v>
      </c>
      <c r="O459" s="5" t="str">
        <f>IF(Table2[[#This Row],[Age Days]]&lt;=7,"Normal",IF(Table2[[#This Row],[Age Days]]&lt;=14,"Perlu Dipantau",IF(Table2[[#This Row],[Age Days]]&lt;=30,"Perlu Ditindaklanjuti","Overdue")))</f>
        <v>Normal</v>
      </c>
    </row>
    <row r="460" spans="1:15" x14ac:dyDescent="0.3">
      <c r="A460" t="s">
        <v>544</v>
      </c>
      <c r="B460" s="3">
        <v>46137</v>
      </c>
      <c r="C460" t="s">
        <v>25</v>
      </c>
      <c r="D460" t="s">
        <v>26</v>
      </c>
      <c r="E460" t="s">
        <v>27</v>
      </c>
      <c r="F460" t="s">
        <v>20</v>
      </c>
      <c r="G460" t="s">
        <v>58</v>
      </c>
      <c r="H460" s="5">
        <v>1025000</v>
      </c>
      <c r="I460" s="5">
        <v>1025000</v>
      </c>
      <c r="J460" s="5">
        <v>0</v>
      </c>
      <c r="K460" s="5">
        <f>Table2[[#This Row],[Advance Amount]]-Table2[[#This Row],[Expense Amount]]-Table2[[#This Row],[Return Amount]]</f>
        <v>0</v>
      </c>
      <c r="L460" s="5" t="str">
        <f>IF(Table2[[#This Row],[Outstanding]]=0,"Settled",IF(Table2[[#This Row],[Outstanding]]&gt;0,"Outstanding"))</f>
        <v>Settled</v>
      </c>
      <c r="M460" s="5" t="str">
        <f>IF(Table2[[#This Row],[Advance Amount]]=Table2[[#This Row],[Expense Amount]]+Table2[[#This Row],[Return Amount]]+Table2[[#This Row],[Outstanding]],"Ok","Check")</f>
        <v>Ok</v>
      </c>
      <c r="N460" s="11">
        <f>IF(Table2[[#This Row],[Status]]="Settled",0,$Q$2-Table2[[#This Row],[Date]])</f>
        <v>0</v>
      </c>
      <c r="O460" s="5" t="str">
        <f>IF(Table2[[#This Row],[Age Days]]&lt;=7,"Normal",IF(Table2[[#This Row],[Age Days]]&lt;=14,"Perlu Dipantau",IF(Table2[[#This Row],[Age Days]]&lt;=30,"Perlu Ditindaklanjuti","Overdue")))</f>
        <v>Normal</v>
      </c>
    </row>
    <row r="461" spans="1:15" x14ac:dyDescent="0.3">
      <c r="A461" t="s">
        <v>545</v>
      </c>
      <c r="B461" s="3">
        <v>46138</v>
      </c>
      <c r="C461" t="s">
        <v>29</v>
      </c>
      <c r="D461" t="s">
        <v>30</v>
      </c>
      <c r="E461" t="s">
        <v>13</v>
      </c>
      <c r="F461" t="s">
        <v>20</v>
      </c>
      <c r="G461" t="s">
        <v>40</v>
      </c>
      <c r="H461" s="5">
        <v>450000</v>
      </c>
      <c r="I461" s="5">
        <v>425000</v>
      </c>
      <c r="J461" s="5">
        <v>25000</v>
      </c>
      <c r="K461" s="5">
        <f>Table2[[#This Row],[Advance Amount]]-Table2[[#This Row],[Expense Amount]]-Table2[[#This Row],[Return Amount]]</f>
        <v>0</v>
      </c>
      <c r="L461" s="5" t="str">
        <f>IF(Table2[[#This Row],[Outstanding]]=0,"Settled",IF(Table2[[#This Row],[Outstanding]]&gt;0,"Outstanding"))</f>
        <v>Settled</v>
      </c>
      <c r="M461" s="5" t="str">
        <f>IF(Table2[[#This Row],[Advance Amount]]=Table2[[#This Row],[Expense Amount]]+Table2[[#This Row],[Return Amount]]+Table2[[#This Row],[Outstanding]],"Ok","Check")</f>
        <v>Ok</v>
      </c>
      <c r="N461" s="11">
        <f>IF(Table2[[#This Row],[Status]]="Settled",0,$Q$2-Table2[[#This Row],[Date]])</f>
        <v>0</v>
      </c>
      <c r="O461" s="5" t="str">
        <f>IF(Table2[[#This Row],[Age Days]]&lt;=7,"Normal",IF(Table2[[#This Row],[Age Days]]&lt;=14,"Perlu Dipantau",IF(Table2[[#This Row],[Age Days]]&lt;=30,"Perlu Ditindaklanjuti","Overdue")))</f>
        <v>Normal</v>
      </c>
    </row>
    <row r="462" spans="1:15" x14ac:dyDescent="0.3">
      <c r="A462" t="s">
        <v>546</v>
      </c>
      <c r="B462" s="3">
        <v>46138</v>
      </c>
      <c r="C462" t="s">
        <v>62</v>
      </c>
      <c r="D462" t="s">
        <v>63</v>
      </c>
      <c r="E462" t="s">
        <v>52</v>
      </c>
      <c r="F462" t="s">
        <v>14</v>
      </c>
      <c r="G462" t="s">
        <v>57</v>
      </c>
      <c r="H462" s="5">
        <v>380000</v>
      </c>
      <c r="I462" s="5">
        <v>0</v>
      </c>
      <c r="J462" s="5">
        <v>0</v>
      </c>
      <c r="K462" s="5">
        <f>Table2[[#This Row],[Advance Amount]]-Table2[[#This Row],[Expense Amount]]-Table2[[#This Row],[Return Amount]]</f>
        <v>380000</v>
      </c>
      <c r="L462" s="5" t="str">
        <f>IF(Table2[[#This Row],[Outstanding]]=0,"Settled",IF(Table2[[#This Row],[Outstanding]]&gt;0,"Outstanding"))</f>
        <v>Outstanding</v>
      </c>
      <c r="M462" s="5" t="str">
        <f>IF(Table2[[#This Row],[Advance Amount]]=Table2[[#This Row],[Expense Amount]]+Table2[[#This Row],[Return Amount]]+Table2[[#This Row],[Outstanding]],"Ok","Check")</f>
        <v>Ok</v>
      </c>
      <c r="N462" s="11">
        <f>IF(Table2[[#This Row],[Status]]="Settled",0,$Q$2-Table2[[#This Row],[Date]])</f>
        <v>127</v>
      </c>
      <c r="O462" s="5" t="str">
        <f>IF(Table2[[#This Row],[Age Days]]&lt;=7,"Normal",IF(Table2[[#This Row],[Age Days]]&lt;=14,"Perlu Dipantau",IF(Table2[[#This Row],[Age Days]]&lt;=30,"Perlu Ditindaklanjuti","Overdue")))</f>
        <v>Overdue</v>
      </c>
    </row>
    <row r="463" spans="1:15" x14ac:dyDescent="0.3">
      <c r="A463" t="s">
        <v>547</v>
      </c>
      <c r="B463" s="3">
        <v>46138</v>
      </c>
      <c r="C463" t="s">
        <v>11</v>
      </c>
      <c r="D463" t="s">
        <v>12</v>
      </c>
      <c r="E463" t="s">
        <v>13</v>
      </c>
      <c r="F463" t="s">
        <v>14</v>
      </c>
      <c r="G463" t="s">
        <v>58</v>
      </c>
      <c r="H463" s="5">
        <v>225000</v>
      </c>
      <c r="I463" s="5">
        <v>200000</v>
      </c>
      <c r="J463" s="5">
        <v>25000</v>
      </c>
      <c r="K463" s="5">
        <f>Table2[[#This Row],[Advance Amount]]-Table2[[#This Row],[Expense Amount]]-Table2[[#This Row],[Return Amount]]</f>
        <v>0</v>
      </c>
      <c r="L463" s="5" t="str">
        <f>IF(Table2[[#This Row],[Outstanding]]=0,"Settled",IF(Table2[[#This Row],[Outstanding]]&gt;0,"Outstanding"))</f>
        <v>Settled</v>
      </c>
      <c r="M463" s="5" t="str">
        <f>IF(Table2[[#This Row],[Advance Amount]]=Table2[[#This Row],[Expense Amount]]+Table2[[#This Row],[Return Amount]]+Table2[[#This Row],[Outstanding]],"Ok","Check")</f>
        <v>Ok</v>
      </c>
      <c r="N463" s="11">
        <f>IF(Table2[[#This Row],[Status]]="Settled",0,$Q$2-Table2[[#This Row],[Date]])</f>
        <v>0</v>
      </c>
      <c r="O463" s="5" t="str">
        <f>IF(Table2[[#This Row],[Age Days]]&lt;=7,"Normal",IF(Table2[[#This Row],[Age Days]]&lt;=14,"Perlu Dipantau",IF(Table2[[#This Row],[Age Days]]&lt;=30,"Perlu Ditindaklanjuti","Overdue")))</f>
        <v>Normal</v>
      </c>
    </row>
    <row r="464" spans="1:15" x14ac:dyDescent="0.3">
      <c r="A464" t="s">
        <v>548</v>
      </c>
      <c r="B464" s="3">
        <v>46138</v>
      </c>
      <c r="C464" t="s">
        <v>68</v>
      </c>
      <c r="D464" t="s">
        <v>69</v>
      </c>
      <c r="E464" t="s">
        <v>27</v>
      </c>
      <c r="F464" t="s">
        <v>14</v>
      </c>
      <c r="G464" t="s">
        <v>31</v>
      </c>
      <c r="H464" s="5">
        <v>475000</v>
      </c>
      <c r="I464" s="5">
        <v>425000</v>
      </c>
      <c r="J464" s="5">
        <v>50000</v>
      </c>
      <c r="K464" s="5">
        <f>Table2[[#This Row],[Advance Amount]]-Table2[[#This Row],[Expense Amount]]-Table2[[#This Row],[Return Amount]]</f>
        <v>0</v>
      </c>
      <c r="L464" s="5" t="str">
        <f>IF(Table2[[#This Row],[Outstanding]]=0,"Settled",IF(Table2[[#This Row],[Outstanding]]&gt;0,"Outstanding"))</f>
        <v>Settled</v>
      </c>
      <c r="M464" s="5" t="str">
        <f>IF(Table2[[#This Row],[Advance Amount]]=Table2[[#This Row],[Expense Amount]]+Table2[[#This Row],[Return Amount]]+Table2[[#This Row],[Outstanding]],"Ok","Check")</f>
        <v>Ok</v>
      </c>
      <c r="N464" s="11">
        <f>IF(Table2[[#This Row],[Status]]="Settled",0,$Q$2-Table2[[#This Row],[Date]])</f>
        <v>0</v>
      </c>
      <c r="O464" s="5" t="str">
        <f>IF(Table2[[#This Row],[Age Days]]&lt;=7,"Normal",IF(Table2[[#This Row],[Age Days]]&lt;=14,"Perlu Dipantau",IF(Table2[[#This Row],[Age Days]]&lt;=30,"Perlu Ditindaklanjuti","Overdue")))</f>
        <v>Normal</v>
      </c>
    </row>
    <row r="465" spans="1:15" x14ac:dyDescent="0.3">
      <c r="A465" t="s">
        <v>549</v>
      </c>
      <c r="B465" s="3">
        <v>46138</v>
      </c>
      <c r="C465" t="s">
        <v>17</v>
      </c>
      <c r="D465" t="s">
        <v>18</v>
      </c>
      <c r="E465" t="s">
        <v>19</v>
      </c>
      <c r="F465" t="s">
        <v>20</v>
      </c>
      <c r="G465" t="s">
        <v>34</v>
      </c>
      <c r="H465" s="5">
        <v>225000</v>
      </c>
      <c r="I465" s="5">
        <v>0</v>
      </c>
      <c r="J465" s="5">
        <v>0</v>
      </c>
      <c r="K465" s="5">
        <f>Table2[[#This Row],[Advance Amount]]-Table2[[#This Row],[Expense Amount]]-Table2[[#This Row],[Return Amount]]</f>
        <v>225000</v>
      </c>
      <c r="L465" s="5" t="str">
        <f>IF(Table2[[#This Row],[Outstanding]]=0,"Settled",IF(Table2[[#This Row],[Outstanding]]&gt;0,"Outstanding"))</f>
        <v>Outstanding</v>
      </c>
      <c r="M465" s="5" t="str">
        <f>IF(Table2[[#This Row],[Advance Amount]]=Table2[[#This Row],[Expense Amount]]+Table2[[#This Row],[Return Amount]]+Table2[[#This Row],[Outstanding]],"Ok","Check")</f>
        <v>Ok</v>
      </c>
      <c r="N465" s="11">
        <f>IF(Table2[[#This Row],[Status]]="Settled",0,$Q$2-Table2[[#This Row],[Date]])</f>
        <v>127</v>
      </c>
      <c r="O465" s="5" t="str">
        <f>IF(Table2[[#This Row],[Age Days]]&lt;=7,"Normal",IF(Table2[[#This Row],[Age Days]]&lt;=14,"Perlu Dipantau",IF(Table2[[#This Row],[Age Days]]&lt;=30,"Perlu Ditindaklanjuti","Overdue")))</f>
        <v>Overdue</v>
      </c>
    </row>
    <row r="466" spans="1:15" x14ac:dyDescent="0.3">
      <c r="A466" t="s">
        <v>550</v>
      </c>
      <c r="B466" s="3">
        <v>46138</v>
      </c>
      <c r="C466" t="s">
        <v>50</v>
      </c>
      <c r="D466" t="s">
        <v>51</v>
      </c>
      <c r="E466" t="s">
        <v>52</v>
      </c>
      <c r="F466" t="s">
        <v>20</v>
      </c>
      <c r="G466" t="s">
        <v>61</v>
      </c>
      <c r="H466" s="5">
        <v>125000</v>
      </c>
      <c r="I466" s="5">
        <v>100000</v>
      </c>
      <c r="J466" s="5">
        <v>25000</v>
      </c>
      <c r="K466" s="5">
        <f>Table2[[#This Row],[Advance Amount]]-Table2[[#This Row],[Expense Amount]]-Table2[[#This Row],[Return Amount]]</f>
        <v>0</v>
      </c>
      <c r="L466" s="5" t="str">
        <f>IF(Table2[[#This Row],[Outstanding]]=0,"Settled",IF(Table2[[#This Row],[Outstanding]]&gt;0,"Outstanding"))</f>
        <v>Settled</v>
      </c>
      <c r="M466" s="5" t="str">
        <f>IF(Table2[[#This Row],[Advance Amount]]=Table2[[#This Row],[Expense Amount]]+Table2[[#This Row],[Return Amount]]+Table2[[#This Row],[Outstanding]],"Ok","Check")</f>
        <v>Ok</v>
      </c>
      <c r="N466" s="11">
        <f>IF(Table2[[#This Row],[Status]]="Settled",0,$Q$2-Table2[[#This Row],[Date]])</f>
        <v>0</v>
      </c>
      <c r="O466" s="5" t="str">
        <f>IF(Table2[[#This Row],[Age Days]]&lt;=7,"Normal",IF(Table2[[#This Row],[Age Days]]&lt;=14,"Perlu Dipantau",IF(Table2[[#This Row],[Age Days]]&lt;=30,"Perlu Ditindaklanjuti","Overdue")))</f>
        <v>Normal</v>
      </c>
    </row>
    <row r="467" spans="1:15" x14ac:dyDescent="0.3">
      <c r="A467" t="s">
        <v>551</v>
      </c>
      <c r="B467" s="3">
        <v>46139</v>
      </c>
      <c r="C467" t="s">
        <v>29</v>
      </c>
      <c r="D467" t="s">
        <v>30</v>
      </c>
      <c r="E467" t="s">
        <v>13</v>
      </c>
      <c r="F467" t="s">
        <v>20</v>
      </c>
      <c r="G467" t="s">
        <v>31</v>
      </c>
      <c r="H467" s="5">
        <v>600000</v>
      </c>
      <c r="I467" s="5">
        <v>525000</v>
      </c>
      <c r="J467" s="5">
        <v>75000</v>
      </c>
      <c r="K467" s="5">
        <f>Table2[[#This Row],[Advance Amount]]-Table2[[#This Row],[Expense Amount]]-Table2[[#This Row],[Return Amount]]</f>
        <v>0</v>
      </c>
      <c r="L467" s="5" t="str">
        <f>IF(Table2[[#This Row],[Outstanding]]=0,"Settled",IF(Table2[[#This Row],[Outstanding]]&gt;0,"Outstanding"))</f>
        <v>Settled</v>
      </c>
      <c r="M467" s="5" t="str">
        <f>IF(Table2[[#This Row],[Advance Amount]]=Table2[[#This Row],[Expense Amount]]+Table2[[#This Row],[Return Amount]]+Table2[[#This Row],[Outstanding]],"Ok","Check")</f>
        <v>Ok</v>
      </c>
      <c r="N467" s="11">
        <f>IF(Table2[[#This Row],[Status]]="Settled",0,$Q$2-Table2[[#This Row],[Date]])</f>
        <v>0</v>
      </c>
      <c r="O467" s="5" t="str">
        <f>IF(Table2[[#This Row],[Age Days]]&lt;=7,"Normal",IF(Table2[[#This Row],[Age Days]]&lt;=14,"Perlu Dipantau",IF(Table2[[#This Row],[Age Days]]&lt;=30,"Perlu Ditindaklanjuti","Overdue")))</f>
        <v>Normal</v>
      </c>
    </row>
    <row r="468" spans="1:15" x14ac:dyDescent="0.3">
      <c r="A468" t="s">
        <v>552</v>
      </c>
      <c r="B468" s="3">
        <v>46139</v>
      </c>
      <c r="C468" t="s">
        <v>29</v>
      </c>
      <c r="D468" t="s">
        <v>30</v>
      </c>
      <c r="E468" t="s">
        <v>13</v>
      </c>
      <c r="F468" t="s">
        <v>14</v>
      </c>
      <c r="G468" t="s">
        <v>58</v>
      </c>
      <c r="H468" s="5">
        <v>275000</v>
      </c>
      <c r="I468" s="5">
        <v>225000</v>
      </c>
      <c r="J468" s="5">
        <v>50000</v>
      </c>
      <c r="K468" s="5">
        <f>Table2[[#This Row],[Advance Amount]]-Table2[[#This Row],[Expense Amount]]-Table2[[#This Row],[Return Amount]]</f>
        <v>0</v>
      </c>
      <c r="L468" s="5" t="str">
        <f>IF(Table2[[#This Row],[Outstanding]]=0,"Settled",IF(Table2[[#This Row],[Outstanding]]&gt;0,"Outstanding"))</f>
        <v>Settled</v>
      </c>
      <c r="M468" s="5" t="str">
        <f>IF(Table2[[#This Row],[Advance Amount]]=Table2[[#This Row],[Expense Amount]]+Table2[[#This Row],[Return Amount]]+Table2[[#This Row],[Outstanding]],"Ok","Check")</f>
        <v>Ok</v>
      </c>
      <c r="N468" s="11">
        <f>IF(Table2[[#This Row],[Status]]="Settled",0,$Q$2-Table2[[#This Row],[Date]])</f>
        <v>0</v>
      </c>
      <c r="O468" s="5" t="str">
        <f>IF(Table2[[#This Row],[Age Days]]&lt;=7,"Normal",IF(Table2[[#This Row],[Age Days]]&lt;=14,"Perlu Dipantau",IF(Table2[[#This Row],[Age Days]]&lt;=30,"Perlu Ditindaklanjuti","Overdue")))</f>
        <v>Normal</v>
      </c>
    </row>
    <row r="469" spans="1:15" x14ac:dyDescent="0.3">
      <c r="A469" t="s">
        <v>553</v>
      </c>
      <c r="B469" s="3">
        <v>46139</v>
      </c>
      <c r="C469" t="s">
        <v>55</v>
      </c>
      <c r="D469" t="s">
        <v>56</v>
      </c>
      <c r="E469" t="s">
        <v>24</v>
      </c>
      <c r="F469" t="s">
        <v>20</v>
      </c>
      <c r="G469" t="s">
        <v>15</v>
      </c>
      <c r="H469" s="5">
        <v>2800000</v>
      </c>
      <c r="I469" s="5">
        <v>2300000</v>
      </c>
      <c r="J469" s="5">
        <v>500000</v>
      </c>
      <c r="K469" s="5">
        <f>Table2[[#This Row],[Advance Amount]]-Table2[[#This Row],[Expense Amount]]-Table2[[#This Row],[Return Amount]]</f>
        <v>0</v>
      </c>
      <c r="L469" s="5" t="str">
        <f>IF(Table2[[#This Row],[Outstanding]]=0,"Settled",IF(Table2[[#This Row],[Outstanding]]&gt;0,"Outstanding"))</f>
        <v>Settled</v>
      </c>
      <c r="M469" s="5" t="str">
        <f>IF(Table2[[#This Row],[Advance Amount]]=Table2[[#This Row],[Expense Amount]]+Table2[[#This Row],[Return Amount]]+Table2[[#This Row],[Outstanding]],"Ok","Check")</f>
        <v>Ok</v>
      </c>
      <c r="N469" s="11">
        <f>IF(Table2[[#This Row],[Status]]="Settled",0,$Q$2-Table2[[#This Row],[Date]])</f>
        <v>0</v>
      </c>
      <c r="O469" s="5" t="str">
        <f>IF(Table2[[#This Row],[Age Days]]&lt;=7,"Normal",IF(Table2[[#This Row],[Age Days]]&lt;=14,"Perlu Dipantau",IF(Table2[[#This Row],[Age Days]]&lt;=30,"Perlu Ditindaklanjuti","Overdue")))</f>
        <v>Normal</v>
      </c>
    </row>
    <row r="470" spans="1:15" x14ac:dyDescent="0.3">
      <c r="A470" t="s">
        <v>554</v>
      </c>
      <c r="B470" s="3">
        <v>46139</v>
      </c>
      <c r="C470" t="s">
        <v>41</v>
      </c>
      <c r="D470" t="s">
        <v>42</v>
      </c>
      <c r="E470" t="s">
        <v>43</v>
      </c>
      <c r="F470" t="s">
        <v>14</v>
      </c>
      <c r="G470" t="s">
        <v>15</v>
      </c>
      <c r="H470" s="5">
        <v>1250000</v>
      </c>
      <c r="I470" s="5">
        <v>0</v>
      </c>
      <c r="J470" s="5">
        <v>0</v>
      </c>
      <c r="K470" s="5">
        <f>Table2[[#This Row],[Advance Amount]]-Table2[[#This Row],[Expense Amount]]-Table2[[#This Row],[Return Amount]]</f>
        <v>1250000</v>
      </c>
      <c r="L470" s="5" t="str">
        <f>IF(Table2[[#This Row],[Outstanding]]=0,"Settled",IF(Table2[[#This Row],[Outstanding]]&gt;0,"Outstanding"))</f>
        <v>Outstanding</v>
      </c>
      <c r="M470" s="5" t="str">
        <f>IF(Table2[[#This Row],[Advance Amount]]=Table2[[#This Row],[Expense Amount]]+Table2[[#This Row],[Return Amount]]+Table2[[#This Row],[Outstanding]],"Ok","Check")</f>
        <v>Ok</v>
      </c>
      <c r="N470" s="11">
        <f>IF(Table2[[#This Row],[Status]]="Settled",0,$Q$2-Table2[[#This Row],[Date]])</f>
        <v>126</v>
      </c>
      <c r="O470" s="5" t="str">
        <f>IF(Table2[[#This Row],[Age Days]]&lt;=7,"Normal",IF(Table2[[#This Row],[Age Days]]&lt;=14,"Perlu Dipantau",IF(Table2[[#This Row],[Age Days]]&lt;=30,"Perlu Ditindaklanjuti","Overdue")))</f>
        <v>Overdue</v>
      </c>
    </row>
    <row r="471" spans="1:15" x14ac:dyDescent="0.3">
      <c r="A471" t="s">
        <v>555</v>
      </c>
      <c r="B471" s="3">
        <v>46139</v>
      </c>
      <c r="C471" t="s">
        <v>38</v>
      </c>
      <c r="D471" t="s">
        <v>39</v>
      </c>
      <c r="E471" t="s">
        <v>24</v>
      </c>
      <c r="F471" t="s">
        <v>20</v>
      </c>
      <c r="G471" t="s">
        <v>28</v>
      </c>
      <c r="H471" s="5">
        <v>355000</v>
      </c>
      <c r="I471" s="5">
        <v>0</v>
      </c>
      <c r="J471" s="5">
        <v>0</v>
      </c>
      <c r="K471" s="5">
        <f>Table2[[#This Row],[Advance Amount]]-Table2[[#This Row],[Expense Amount]]-Table2[[#This Row],[Return Amount]]</f>
        <v>355000</v>
      </c>
      <c r="L471" s="5" t="str">
        <f>IF(Table2[[#This Row],[Outstanding]]=0,"Settled",IF(Table2[[#This Row],[Outstanding]]&gt;0,"Outstanding"))</f>
        <v>Outstanding</v>
      </c>
      <c r="M471" s="5" t="str">
        <f>IF(Table2[[#This Row],[Advance Amount]]=Table2[[#This Row],[Expense Amount]]+Table2[[#This Row],[Return Amount]]+Table2[[#This Row],[Outstanding]],"Ok","Check")</f>
        <v>Ok</v>
      </c>
      <c r="N471" s="11">
        <f>IF(Table2[[#This Row],[Status]]="Settled",0,$Q$2-Table2[[#This Row],[Date]])</f>
        <v>126</v>
      </c>
      <c r="O471" s="5" t="str">
        <f>IF(Table2[[#This Row],[Age Days]]&lt;=7,"Normal",IF(Table2[[#This Row],[Age Days]]&lt;=14,"Perlu Dipantau",IF(Table2[[#This Row],[Age Days]]&lt;=30,"Perlu Ditindaklanjuti","Overdue")))</f>
        <v>Overdue</v>
      </c>
    </row>
    <row r="472" spans="1:15" x14ac:dyDescent="0.3">
      <c r="A472" t="s">
        <v>556</v>
      </c>
      <c r="B472" s="3">
        <v>46139</v>
      </c>
      <c r="C472" t="s">
        <v>53</v>
      </c>
      <c r="D472" t="s">
        <v>54</v>
      </c>
      <c r="E472" t="s">
        <v>43</v>
      </c>
      <c r="F472" t="s">
        <v>14</v>
      </c>
      <c r="G472" t="s">
        <v>28</v>
      </c>
      <c r="H472" s="5">
        <v>55000</v>
      </c>
      <c r="I472" s="5">
        <v>50000</v>
      </c>
      <c r="J472" s="5">
        <v>5000</v>
      </c>
      <c r="K472" s="5">
        <f>Table2[[#This Row],[Advance Amount]]-Table2[[#This Row],[Expense Amount]]-Table2[[#This Row],[Return Amount]]</f>
        <v>0</v>
      </c>
      <c r="L472" s="5" t="str">
        <f>IF(Table2[[#This Row],[Outstanding]]=0,"Settled",IF(Table2[[#This Row],[Outstanding]]&gt;0,"Outstanding"))</f>
        <v>Settled</v>
      </c>
      <c r="M472" s="5" t="str">
        <f>IF(Table2[[#This Row],[Advance Amount]]=Table2[[#This Row],[Expense Amount]]+Table2[[#This Row],[Return Amount]]+Table2[[#This Row],[Outstanding]],"Ok","Check")</f>
        <v>Ok</v>
      </c>
      <c r="N472" s="11">
        <f>IF(Table2[[#This Row],[Status]]="Settled",0,$Q$2-Table2[[#This Row],[Date]])</f>
        <v>0</v>
      </c>
      <c r="O472" s="5" t="str">
        <f>IF(Table2[[#This Row],[Age Days]]&lt;=7,"Normal",IF(Table2[[#This Row],[Age Days]]&lt;=14,"Perlu Dipantau",IF(Table2[[#This Row],[Age Days]]&lt;=30,"Perlu Ditindaklanjuti","Overdue")))</f>
        <v>Normal</v>
      </c>
    </row>
    <row r="473" spans="1:15" x14ac:dyDescent="0.3">
      <c r="A473" t="s">
        <v>557</v>
      </c>
      <c r="B473" s="3">
        <v>46140</v>
      </c>
      <c r="C473" t="s">
        <v>29</v>
      </c>
      <c r="D473" t="s">
        <v>30</v>
      </c>
      <c r="E473" t="s">
        <v>13</v>
      </c>
      <c r="F473" t="s">
        <v>14</v>
      </c>
      <c r="G473" t="s">
        <v>61</v>
      </c>
      <c r="H473" s="5">
        <v>400000</v>
      </c>
      <c r="I473" s="5">
        <v>350000</v>
      </c>
      <c r="J473" s="5">
        <v>50000</v>
      </c>
      <c r="K473" s="5">
        <f>Table2[[#This Row],[Advance Amount]]-Table2[[#This Row],[Expense Amount]]-Table2[[#This Row],[Return Amount]]</f>
        <v>0</v>
      </c>
      <c r="L473" s="5" t="str">
        <f>IF(Table2[[#This Row],[Outstanding]]=0,"Settled",IF(Table2[[#This Row],[Outstanding]]&gt;0,"Outstanding"))</f>
        <v>Settled</v>
      </c>
      <c r="M473" s="5" t="str">
        <f>IF(Table2[[#This Row],[Advance Amount]]=Table2[[#This Row],[Expense Amount]]+Table2[[#This Row],[Return Amount]]+Table2[[#This Row],[Outstanding]],"Ok","Check")</f>
        <v>Ok</v>
      </c>
      <c r="N473" s="11">
        <f>IF(Table2[[#This Row],[Status]]="Settled",0,$Q$2-Table2[[#This Row],[Date]])</f>
        <v>0</v>
      </c>
      <c r="O473" s="5" t="str">
        <f>IF(Table2[[#This Row],[Age Days]]&lt;=7,"Normal",IF(Table2[[#This Row],[Age Days]]&lt;=14,"Perlu Dipantau",IF(Table2[[#This Row],[Age Days]]&lt;=30,"Perlu Ditindaklanjuti","Overdue")))</f>
        <v>Normal</v>
      </c>
    </row>
    <row r="474" spans="1:15" x14ac:dyDescent="0.3">
      <c r="A474" t="s">
        <v>558</v>
      </c>
      <c r="B474" s="3">
        <v>46140</v>
      </c>
      <c r="C474" t="s">
        <v>38</v>
      </c>
      <c r="D474" t="s">
        <v>39</v>
      </c>
      <c r="E474" t="s">
        <v>24</v>
      </c>
      <c r="F474" t="s">
        <v>20</v>
      </c>
      <c r="G474" t="s">
        <v>58</v>
      </c>
      <c r="H474" s="5">
        <v>825000</v>
      </c>
      <c r="I474" s="5">
        <v>0</v>
      </c>
      <c r="J474" s="5">
        <v>0</v>
      </c>
      <c r="K474" s="5">
        <f>Table2[[#This Row],[Advance Amount]]-Table2[[#This Row],[Expense Amount]]-Table2[[#This Row],[Return Amount]]</f>
        <v>825000</v>
      </c>
      <c r="L474" s="5" t="str">
        <f>IF(Table2[[#This Row],[Outstanding]]=0,"Settled",IF(Table2[[#This Row],[Outstanding]]&gt;0,"Outstanding"))</f>
        <v>Outstanding</v>
      </c>
      <c r="M474" s="5" t="str">
        <f>IF(Table2[[#This Row],[Advance Amount]]=Table2[[#This Row],[Expense Amount]]+Table2[[#This Row],[Return Amount]]+Table2[[#This Row],[Outstanding]],"Ok","Check")</f>
        <v>Ok</v>
      </c>
      <c r="N474" s="11">
        <f>IF(Table2[[#This Row],[Status]]="Settled",0,$Q$2-Table2[[#This Row],[Date]])</f>
        <v>125</v>
      </c>
      <c r="O474" s="5" t="str">
        <f>IF(Table2[[#This Row],[Age Days]]&lt;=7,"Normal",IF(Table2[[#This Row],[Age Days]]&lt;=14,"Perlu Dipantau",IF(Table2[[#This Row],[Age Days]]&lt;=30,"Perlu Ditindaklanjuti","Overdue")))</f>
        <v>Overdue</v>
      </c>
    </row>
    <row r="475" spans="1:15" x14ac:dyDescent="0.3">
      <c r="A475" t="s">
        <v>559</v>
      </c>
      <c r="B475" s="3">
        <v>46140</v>
      </c>
      <c r="C475" t="s">
        <v>68</v>
      </c>
      <c r="D475" t="s">
        <v>69</v>
      </c>
      <c r="E475" t="s">
        <v>27</v>
      </c>
      <c r="F475" t="s">
        <v>20</v>
      </c>
      <c r="G475" t="s">
        <v>34</v>
      </c>
      <c r="H475" s="5">
        <v>425000</v>
      </c>
      <c r="I475" s="5">
        <v>325000</v>
      </c>
      <c r="J475" s="5">
        <v>100000</v>
      </c>
      <c r="K475" s="5">
        <f>Table2[[#This Row],[Advance Amount]]-Table2[[#This Row],[Expense Amount]]-Table2[[#This Row],[Return Amount]]</f>
        <v>0</v>
      </c>
      <c r="L475" s="5" t="str">
        <f>IF(Table2[[#This Row],[Outstanding]]=0,"Settled",IF(Table2[[#This Row],[Outstanding]]&gt;0,"Outstanding"))</f>
        <v>Settled</v>
      </c>
      <c r="M475" s="5" t="str">
        <f>IF(Table2[[#This Row],[Advance Amount]]=Table2[[#This Row],[Expense Amount]]+Table2[[#This Row],[Return Amount]]+Table2[[#This Row],[Outstanding]],"Ok","Check")</f>
        <v>Ok</v>
      </c>
      <c r="N475" s="11">
        <f>IF(Table2[[#This Row],[Status]]="Settled",0,$Q$2-Table2[[#This Row],[Date]])</f>
        <v>0</v>
      </c>
      <c r="O475" s="5" t="str">
        <f>IF(Table2[[#This Row],[Age Days]]&lt;=7,"Normal",IF(Table2[[#This Row],[Age Days]]&lt;=14,"Perlu Dipantau",IF(Table2[[#This Row],[Age Days]]&lt;=30,"Perlu Ditindaklanjuti","Overdue")))</f>
        <v>Normal</v>
      </c>
    </row>
    <row r="476" spans="1:15" x14ac:dyDescent="0.3">
      <c r="A476" t="s">
        <v>560</v>
      </c>
      <c r="B476" s="3">
        <v>46140</v>
      </c>
      <c r="C476" t="s">
        <v>44</v>
      </c>
      <c r="D476" t="s">
        <v>45</v>
      </c>
      <c r="E476" t="s">
        <v>43</v>
      </c>
      <c r="F476" t="s">
        <v>20</v>
      </c>
      <c r="G476" t="s">
        <v>58</v>
      </c>
      <c r="H476" s="5">
        <v>1075000</v>
      </c>
      <c r="I476" s="5">
        <v>0</v>
      </c>
      <c r="J476" s="5">
        <v>0</v>
      </c>
      <c r="K476" s="5">
        <f>Table2[[#This Row],[Advance Amount]]-Table2[[#This Row],[Expense Amount]]-Table2[[#This Row],[Return Amount]]</f>
        <v>1075000</v>
      </c>
      <c r="L476" s="5" t="str">
        <f>IF(Table2[[#This Row],[Outstanding]]=0,"Settled",IF(Table2[[#This Row],[Outstanding]]&gt;0,"Outstanding"))</f>
        <v>Outstanding</v>
      </c>
      <c r="M476" s="5" t="str">
        <f>IF(Table2[[#This Row],[Advance Amount]]=Table2[[#This Row],[Expense Amount]]+Table2[[#This Row],[Return Amount]]+Table2[[#This Row],[Outstanding]],"Ok","Check")</f>
        <v>Ok</v>
      </c>
      <c r="N476" s="11">
        <f>IF(Table2[[#This Row],[Status]]="Settled",0,$Q$2-Table2[[#This Row],[Date]])</f>
        <v>125</v>
      </c>
      <c r="O476" s="5" t="str">
        <f>IF(Table2[[#This Row],[Age Days]]&lt;=7,"Normal",IF(Table2[[#This Row],[Age Days]]&lt;=14,"Perlu Dipantau",IF(Table2[[#This Row],[Age Days]]&lt;=30,"Perlu Ditindaklanjuti","Overdue")))</f>
        <v>Overdue</v>
      </c>
    </row>
    <row r="477" spans="1:15" x14ac:dyDescent="0.3">
      <c r="A477" t="s">
        <v>561</v>
      </c>
      <c r="B477" s="3">
        <v>46140</v>
      </c>
      <c r="C477" t="s">
        <v>50</v>
      </c>
      <c r="D477" t="s">
        <v>51</v>
      </c>
      <c r="E477" t="s">
        <v>52</v>
      </c>
      <c r="F477" t="s">
        <v>14</v>
      </c>
      <c r="G477" t="s">
        <v>58</v>
      </c>
      <c r="H477" s="5">
        <v>625000</v>
      </c>
      <c r="I477" s="5">
        <v>0</v>
      </c>
      <c r="J477" s="5">
        <v>0</v>
      </c>
      <c r="K477" s="5">
        <f>Table2[[#This Row],[Advance Amount]]-Table2[[#This Row],[Expense Amount]]-Table2[[#This Row],[Return Amount]]</f>
        <v>625000</v>
      </c>
      <c r="L477" s="5" t="str">
        <f>IF(Table2[[#This Row],[Outstanding]]=0,"Settled",IF(Table2[[#This Row],[Outstanding]]&gt;0,"Outstanding"))</f>
        <v>Outstanding</v>
      </c>
      <c r="M477" s="5" t="str">
        <f>IF(Table2[[#This Row],[Advance Amount]]=Table2[[#This Row],[Expense Amount]]+Table2[[#This Row],[Return Amount]]+Table2[[#This Row],[Outstanding]],"Ok","Check")</f>
        <v>Ok</v>
      </c>
      <c r="N477" s="11">
        <f>IF(Table2[[#This Row],[Status]]="Settled",0,$Q$2-Table2[[#This Row],[Date]])</f>
        <v>125</v>
      </c>
      <c r="O477" s="5" t="str">
        <f>IF(Table2[[#This Row],[Age Days]]&lt;=7,"Normal",IF(Table2[[#This Row],[Age Days]]&lt;=14,"Perlu Dipantau",IF(Table2[[#This Row],[Age Days]]&lt;=30,"Perlu Ditindaklanjuti","Overdue")))</f>
        <v>Overdue</v>
      </c>
    </row>
    <row r="478" spans="1:15" x14ac:dyDescent="0.3">
      <c r="A478" t="s">
        <v>562</v>
      </c>
      <c r="B478" s="3">
        <v>46140</v>
      </c>
      <c r="C478" t="s">
        <v>64</v>
      </c>
      <c r="D478" t="s">
        <v>65</v>
      </c>
      <c r="E478" t="s">
        <v>37</v>
      </c>
      <c r="F478" t="s">
        <v>14</v>
      </c>
      <c r="G478" t="s">
        <v>61</v>
      </c>
      <c r="H478" s="5">
        <v>200000</v>
      </c>
      <c r="I478" s="5">
        <v>0</v>
      </c>
      <c r="J478" s="5">
        <v>0</v>
      </c>
      <c r="K478" s="5">
        <f>Table2[[#This Row],[Advance Amount]]-Table2[[#This Row],[Expense Amount]]-Table2[[#This Row],[Return Amount]]</f>
        <v>200000</v>
      </c>
      <c r="L478" s="5" t="str">
        <f>IF(Table2[[#This Row],[Outstanding]]=0,"Settled",IF(Table2[[#This Row],[Outstanding]]&gt;0,"Outstanding"))</f>
        <v>Outstanding</v>
      </c>
      <c r="M478" s="5" t="str">
        <f>IF(Table2[[#This Row],[Advance Amount]]=Table2[[#This Row],[Expense Amount]]+Table2[[#This Row],[Return Amount]]+Table2[[#This Row],[Outstanding]],"Ok","Check")</f>
        <v>Ok</v>
      </c>
      <c r="N478" s="11">
        <f>IF(Table2[[#This Row],[Status]]="Settled",0,$Q$2-Table2[[#This Row],[Date]])</f>
        <v>125</v>
      </c>
      <c r="O478" s="5" t="str">
        <f>IF(Table2[[#This Row],[Age Days]]&lt;=7,"Normal",IF(Table2[[#This Row],[Age Days]]&lt;=14,"Perlu Dipantau",IF(Table2[[#This Row],[Age Days]]&lt;=30,"Perlu Ditindaklanjuti","Overdue")))</f>
        <v>Overdue</v>
      </c>
    </row>
    <row r="479" spans="1:15" x14ac:dyDescent="0.3">
      <c r="A479" t="s">
        <v>563</v>
      </c>
      <c r="B479" s="3">
        <v>46141</v>
      </c>
      <c r="C479" t="s">
        <v>44</v>
      </c>
      <c r="D479" t="s">
        <v>45</v>
      </c>
      <c r="E479" t="s">
        <v>43</v>
      </c>
      <c r="F479" t="s">
        <v>20</v>
      </c>
      <c r="G479" t="s">
        <v>34</v>
      </c>
      <c r="H479" s="5">
        <v>500000</v>
      </c>
      <c r="I479" s="5">
        <v>375000</v>
      </c>
      <c r="J479" s="5">
        <v>125000</v>
      </c>
      <c r="K479" s="5">
        <f>Table2[[#This Row],[Advance Amount]]-Table2[[#This Row],[Expense Amount]]-Table2[[#This Row],[Return Amount]]</f>
        <v>0</v>
      </c>
      <c r="L479" s="5" t="str">
        <f>IF(Table2[[#This Row],[Outstanding]]=0,"Settled",IF(Table2[[#This Row],[Outstanding]]&gt;0,"Outstanding"))</f>
        <v>Settled</v>
      </c>
      <c r="M479" s="5" t="str">
        <f>IF(Table2[[#This Row],[Advance Amount]]=Table2[[#This Row],[Expense Amount]]+Table2[[#This Row],[Return Amount]]+Table2[[#This Row],[Outstanding]],"Ok","Check")</f>
        <v>Ok</v>
      </c>
      <c r="N479" s="11">
        <f>IF(Table2[[#This Row],[Status]]="Settled",0,$Q$2-Table2[[#This Row],[Date]])</f>
        <v>0</v>
      </c>
      <c r="O479" s="5" t="str">
        <f>IF(Table2[[#This Row],[Age Days]]&lt;=7,"Normal",IF(Table2[[#This Row],[Age Days]]&lt;=14,"Perlu Dipantau",IF(Table2[[#This Row],[Age Days]]&lt;=30,"Perlu Ditindaklanjuti","Overdue")))</f>
        <v>Normal</v>
      </c>
    </row>
    <row r="480" spans="1:15" x14ac:dyDescent="0.3">
      <c r="A480" t="s">
        <v>564</v>
      </c>
      <c r="B480" s="3">
        <v>46142</v>
      </c>
      <c r="C480" t="s">
        <v>55</v>
      </c>
      <c r="D480" t="s">
        <v>56</v>
      </c>
      <c r="E480" t="s">
        <v>24</v>
      </c>
      <c r="F480" t="s">
        <v>20</v>
      </c>
      <c r="G480" t="s">
        <v>28</v>
      </c>
      <c r="H480" s="5">
        <v>405000</v>
      </c>
      <c r="I480" s="5">
        <v>400000</v>
      </c>
      <c r="J480" s="5">
        <v>5000</v>
      </c>
      <c r="K480" s="5">
        <f>Table2[[#This Row],[Advance Amount]]-Table2[[#This Row],[Expense Amount]]-Table2[[#This Row],[Return Amount]]</f>
        <v>0</v>
      </c>
      <c r="L480" s="5" t="str">
        <f>IF(Table2[[#This Row],[Outstanding]]=0,"Settled",IF(Table2[[#This Row],[Outstanding]]&gt;0,"Outstanding"))</f>
        <v>Settled</v>
      </c>
      <c r="M480" s="5" t="str">
        <f>IF(Table2[[#This Row],[Advance Amount]]=Table2[[#This Row],[Expense Amount]]+Table2[[#This Row],[Return Amount]]+Table2[[#This Row],[Outstanding]],"Ok","Check")</f>
        <v>Ok</v>
      </c>
      <c r="N480" s="11">
        <f>IF(Table2[[#This Row],[Status]]="Settled",0,$Q$2-Table2[[#This Row],[Date]])</f>
        <v>0</v>
      </c>
      <c r="O480" s="5" t="str">
        <f>IF(Table2[[#This Row],[Age Days]]&lt;=7,"Normal",IF(Table2[[#This Row],[Age Days]]&lt;=14,"Perlu Dipantau",IF(Table2[[#This Row],[Age Days]]&lt;=30,"Perlu Ditindaklanjuti","Overdue")))</f>
        <v>Normal</v>
      </c>
    </row>
    <row r="481" spans="1:15" x14ac:dyDescent="0.3">
      <c r="A481" t="s">
        <v>565</v>
      </c>
      <c r="B481" s="3">
        <v>46142</v>
      </c>
      <c r="C481" t="s">
        <v>38</v>
      </c>
      <c r="D481" t="s">
        <v>39</v>
      </c>
      <c r="E481" t="s">
        <v>24</v>
      </c>
      <c r="F481" t="s">
        <v>20</v>
      </c>
      <c r="G481" t="s">
        <v>61</v>
      </c>
      <c r="H481" s="5">
        <v>475000</v>
      </c>
      <c r="I481" s="5">
        <v>400000</v>
      </c>
      <c r="J481" s="5">
        <v>75000</v>
      </c>
      <c r="K481" s="5">
        <f>Table2[[#This Row],[Advance Amount]]-Table2[[#This Row],[Expense Amount]]-Table2[[#This Row],[Return Amount]]</f>
        <v>0</v>
      </c>
      <c r="L481" s="5" t="str">
        <f>IF(Table2[[#This Row],[Outstanding]]=0,"Settled",IF(Table2[[#This Row],[Outstanding]]&gt;0,"Outstanding"))</f>
        <v>Settled</v>
      </c>
      <c r="M481" s="5" t="str">
        <f>IF(Table2[[#This Row],[Advance Amount]]=Table2[[#This Row],[Expense Amount]]+Table2[[#This Row],[Return Amount]]+Table2[[#This Row],[Outstanding]],"Ok","Check")</f>
        <v>Ok</v>
      </c>
      <c r="N481" s="11">
        <f>IF(Table2[[#This Row],[Status]]="Settled",0,$Q$2-Table2[[#This Row],[Date]])</f>
        <v>0</v>
      </c>
      <c r="O481" s="5" t="str">
        <f>IF(Table2[[#This Row],[Age Days]]&lt;=7,"Normal",IF(Table2[[#This Row],[Age Days]]&lt;=14,"Perlu Dipantau",IF(Table2[[#This Row],[Age Days]]&lt;=30,"Perlu Ditindaklanjuti","Overdue")))</f>
        <v>Normal</v>
      </c>
    </row>
    <row r="482" spans="1:15" x14ac:dyDescent="0.3">
      <c r="A482" t="s">
        <v>566</v>
      </c>
      <c r="B482" s="3">
        <v>46142</v>
      </c>
      <c r="C482" t="s">
        <v>66</v>
      </c>
      <c r="D482" t="s">
        <v>67</v>
      </c>
      <c r="E482" t="s">
        <v>13</v>
      </c>
      <c r="F482" t="s">
        <v>20</v>
      </c>
      <c r="G482" t="s">
        <v>57</v>
      </c>
      <c r="H482" s="5">
        <v>480000</v>
      </c>
      <c r="I482" s="5">
        <v>0</v>
      </c>
      <c r="J482" s="5">
        <v>0</v>
      </c>
      <c r="K482" s="5">
        <f>Table2[[#This Row],[Advance Amount]]-Table2[[#This Row],[Expense Amount]]-Table2[[#This Row],[Return Amount]]</f>
        <v>480000</v>
      </c>
      <c r="L482" s="5" t="str">
        <f>IF(Table2[[#This Row],[Outstanding]]=0,"Settled",IF(Table2[[#This Row],[Outstanding]]&gt;0,"Outstanding"))</f>
        <v>Outstanding</v>
      </c>
      <c r="M482" s="5" t="str">
        <f>IF(Table2[[#This Row],[Advance Amount]]=Table2[[#This Row],[Expense Amount]]+Table2[[#This Row],[Return Amount]]+Table2[[#This Row],[Outstanding]],"Ok","Check")</f>
        <v>Ok</v>
      </c>
      <c r="N482" s="11">
        <f>IF(Table2[[#This Row],[Status]]="Settled",0,$Q$2-Table2[[#This Row],[Date]])</f>
        <v>123</v>
      </c>
      <c r="O482" s="5" t="str">
        <f>IF(Table2[[#This Row],[Age Days]]&lt;=7,"Normal",IF(Table2[[#This Row],[Age Days]]&lt;=14,"Perlu Dipantau",IF(Table2[[#This Row],[Age Days]]&lt;=30,"Perlu Ditindaklanjuti","Overdue")))</f>
        <v>Overdue</v>
      </c>
    </row>
    <row r="483" spans="1:15" x14ac:dyDescent="0.3">
      <c r="A483" t="s">
        <v>567</v>
      </c>
      <c r="B483" s="3">
        <v>46142</v>
      </c>
      <c r="C483" t="s">
        <v>53</v>
      </c>
      <c r="D483" t="s">
        <v>54</v>
      </c>
      <c r="E483" t="s">
        <v>43</v>
      </c>
      <c r="F483" t="s">
        <v>14</v>
      </c>
      <c r="G483" t="s">
        <v>31</v>
      </c>
      <c r="H483" s="5">
        <v>1450000</v>
      </c>
      <c r="I483" s="5">
        <v>1100000</v>
      </c>
      <c r="J483" s="5">
        <v>350000</v>
      </c>
      <c r="K483" s="5">
        <f>Table2[[#This Row],[Advance Amount]]-Table2[[#This Row],[Expense Amount]]-Table2[[#This Row],[Return Amount]]</f>
        <v>0</v>
      </c>
      <c r="L483" s="5" t="str">
        <f>IF(Table2[[#This Row],[Outstanding]]=0,"Settled",IF(Table2[[#This Row],[Outstanding]]&gt;0,"Outstanding"))</f>
        <v>Settled</v>
      </c>
      <c r="M483" s="5" t="str">
        <f>IF(Table2[[#This Row],[Advance Amount]]=Table2[[#This Row],[Expense Amount]]+Table2[[#This Row],[Return Amount]]+Table2[[#This Row],[Outstanding]],"Ok","Check")</f>
        <v>Ok</v>
      </c>
      <c r="N483" s="11">
        <f>IF(Table2[[#This Row],[Status]]="Settled",0,$Q$2-Table2[[#This Row],[Date]])</f>
        <v>0</v>
      </c>
      <c r="O483" s="5" t="str">
        <f>IF(Table2[[#This Row],[Age Days]]&lt;=7,"Normal",IF(Table2[[#This Row],[Age Days]]&lt;=14,"Perlu Dipantau",IF(Table2[[#This Row],[Age Days]]&lt;=30,"Perlu Ditindaklanjuti","Overdue")))</f>
        <v>Normal</v>
      </c>
    </row>
    <row r="484" spans="1:15" x14ac:dyDescent="0.3">
      <c r="A484" t="s">
        <v>568</v>
      </c>
      <c r="B484" s="3">
        <v>46143</v>
      </c>
      <c r="C484" t="s">
        <v>55</v>
      </c>
      <c r="D484" t="s">
        <v>56</v>
      </c>
      <c r="E484" t="s">
        <v>24</v>
      </c>
      <c r="F484" t="s">
        <v>14</v>
      </c>
      <c r="G484" t="s">
        <v>28</v>
      </c>
      <c r="H484" s="5">
        <v>405000</v>
      </c>
      <c r="I484" s="5">
        <v>375000</v>
      </c>
      <c r="J484" s="5">
        <v>30000</v>
      </c>
      <c r="K484" s="5">
        <f>Table2[[#This Row],[Advance Amount]]-Table2[[#This Row],[Expense Amount]]-Table2[[#This Row],[Return Amount]]</f>
        <v>0</v>
      </c>
      <c r="L484" s="5" t="str">
        <f>IF(Table2[[#This Row],[Outstanding]]=0,"Settled",IF(Table2[[#This Row],[Outstanding]]&gt;0,"Outstanding"))</f>
        <v>Settled</v>
      </c>
      <c r="M484" s="5" t="str">
        <f>IF(Table2[[#This Row],[Advance Amount]]=Table2[[#This Row],[Expense Amount]]+Table2[[#This Row],[Return Amount]]+Table2[[#This Row],[Outstanding]],"Ok","Check")</f>
        <v>Ok</v>
      </c>
      <c r="N484" s="11">
        <f>IF(Table2[[#This Row],[Status]]="Settled",0,$Q$2-Table2[[#This Row],[Date]])</f>
        <v>0</v>
      </c>
      <c r="O484" s="5" t="str">
        <f>IF(Table2[[#This Row],[Age Days]]&lt;=7,"Normal",IF(Table2[[#This Row],[Age Days]]&lt;=14,"Perlu Dipantau",IF(Table2[[#This Row],[Age Days]]&lt;=30,"Perlu Ditindaklanjuti","Overdue")))</f>
        <v>Normal</v>
      </c>
    </row>
    <row r="485" spans="1:15" x14ac:dyDescent="0.3">
      <c r="A485" t="s">
        <v>569</v>
      </c>
      <c r="B485" s="3">
        <v>46143</v>
      </c>
      <c r="C485" t="s">
        <v>41</v>
      </c>
      <c r="D485" t="s">
        <v>42</v>
      </c>
      <c r="E485" t="s">
        <v>43</v>
      </c>
      <c r="F485" t="s">
        <v>20</v>
      </c>
      <c r="G485" t="s">
        <v>58</v>
      </c>
      <c r="H485" s="5">
        <v>400000</v>
      </c>
      <c r="I485" s="5">
        <v>0</v>
      </c>
      <c r="J485" s="5">
        <v>0</v>
      </c>
      <c r="K485" s="5">
        <f>Table2[[#This Row],[Advance Amount]]-Table2[[#This Row],[Expense Amount]]-Table2[[#This Row],[Return Amount]]</f>
        <v>400000</v>
      </c>
      <c r="L485" s="5" t="str">
        <f>IF(Table2[[#This Row],[Outstanding]]=0,"Settled",IF(Table2[[#This Row],[Outstanding]]&gt;0,"Outstanding"))</f>
        <v>Outstanding</v>
      </c>
      <c r="M485" s="5" t="str">
        <f>IF(Table2[[#This Row],[Advance Amount]]=Table2[[#This Row],[Expense Amount]]+Table2[[#This Row],[Return Amount]]+Table2[[#This Row],[Outstanding]],"Ok","Check")</f>
        <v>Ok</v>
      </c>
      <c r="N485" s="11">
        <f>IF(Table2[[#This Row],[Status]]="Settled",0,$Q$2-Table2[[#This Row],[Date]])</f>
        <v>122</v>
      </c>
      <c r="O485" s="5" t="str">
        <f>IF(Table2[[#This Row],[Age Days]]&lt;=7,"Normal",IF(Table2[[#This Row],[Age Days]]&lt;=14,"Perlu Dipantau",IF(Table2[[#This Row],[Age Days]]&lt;=30,"Perlu Ditindaklanjuti","Overdue")))</f>
        <v>Overdue</v>
      </c>
    </row>
    <row r="486" spans="1:15" x14ac:dyDescent="0.3">
      <c r="A486" t="s">
        <v>570</v>
      </c>
      <c r="B486" s="3">
        <v>46144</v>
      </c>
      <c r="C486" t="s">
        <v>17</v>
      </c>
      <c r="D486" t="s">
        <v>18</v>
      </c>
      <c r="E486" t="s">
        <v>19</v>
      </c>
      <c r="F486" t="s">
        <v>20</v>
      </c>
      <c r="G486" t="s">
        <v>40</v>
      </c>
      <c r="H486" s="5">
        <v>125000</v>
      </c>
      <c r="I486" s="5">
        <v>125000</v>
      </c>
      <c r="J486" s="5">
        <v>0</v>
      </c>
      <c r="K486" s="5">
        <f>Table2[[#This Row],[Advance Amount]]-Table2[[#This Row],[Expense Amount]]-Table2[[#This Row],[Return Amount]]</f>
        <v>0</v>
      </c>
      <c r="L486" s="5" t="str">
        <f>IF(Table2[[#This Row],[Outstanding]]=0,"Settled",IF(Table2[[#This Row],[Outstanding]]&gt;0,"Outstanding"))</f>
        <v>Settled</v>
      </c>
      <c r="M486" s="5" t="str">
        <f>IF(Table2[[#This Row],[Advance Amount]]=Table2[[#This Row],[Expense Amount]]+Table2[[#This Row],[Return Amount]]+Table2[[#This Row],[Outstanding]],"Ok","Check")</f>
        <v>Ok</v>
      </c>
      <c r="N486" s="11">
        <f>IF(Table2[[#This Row],[Status]]="Settled",0,$Q$2-Table2[[#This Row],[Date]])</f>
        <v>0</v>
      </c>
      <c r="O486" s="5" t="str">
        <f>IF(Table2[[#This Row],[Age Days]]&lt;=7,"Normal",IF(Table2[[#This Row],[Age Days]]&lt;=14,"Perlu Dipantau",IF(Table2[[#This Row],[Age Days]]&lt;=30,"Perlu Ditindaklanjuti","Overdue")))</f>
        <v>Normal</v>
      </c>
    </row>
    <row r="487" spans="1:15" x14ac:dyDescent="0.3">
      <c r="A487" t="s">
        <v>571</v>
      </c>
      <c r="B487" s="3">
        <v>46144</v>
      </c>
      <c r="C487" t="s">
        <v>25</v>
      </c>
      <c r="D487" t="s">
        <v>26</v>
      </c>
      <c r="E487" t="s">
        <v>27</v>
      </c>
      <c r="F487" t="s">
        <v>20</v>
      </c>
      <c r="G487" t="s">
        <v>28</v>
      </c>
      <c r="H487" s="5">
        <v>205000</v>
      </c>
      <c r="I487" s="5">
        <v>200000</v>
      </c>
      <c r="J487" s="5">
        <v>5000</v>
      </c>
      <c r="K487" s="5">
        <f>Table2[[#This Row],[Advance Amount]]-Table2[[#This Row],[Expense Amount]]-Table2[[#This Row],[Return Amount]]</f>
        <v>0</v>
      </c>
      <c r="L487" s="5" t="str">
        <f>IF(Table2[[#This Row],[Outstanding]]=0,"Settled",IF(Table2[[#This Row],[Outstanding]]&gt;0,"Outstanding"))</f>
        <v>Settled</v>
      </c>
      <c r="M487" s="5" t="str">
        <f>IF(Table2[[#This Row],[Advance Amount]]=Table2[[#This Row],[Expense Amount]]+Table2[[#This Row],[Return Amount]]+Table2[[#This Row],[Outstanding]],"Ok","Check")</f>
        <v>Ok</v>
      </c>
      <c r="N487" s="11">
        <f>IF(Table2[[#This Row],[Status]]="Settled",0,$Q$2-Table2[[#This Row],[Date]])</f>
        <v>0</v>
      </c>
      <c r="O487" s="5" t="str">
        <f>IF(Table2[[#This Row],[Age Days]]&lt;=7,"Normal",IF(Table2[[#This Row],[Age Days]]&lt;=14,"Perlu Dipantau",IF(Table2[[#This Row],[Age Days]]&lt;=30,"Perlu Ditindaklanjuti","Overdue")))</f>
        <v>Normal</v>
      </c>
    </row>
    <row r="488" spans="1:15" x14ac:dyDescent="0.3">
      <c r="A488" t="s">
        <v>572</v>
      </c>
      <c r="B488" s="3">
        <v>46145</v>
      </c>
      <c r="C488" t="s">
        <v>38</v>
      </c>
      <c r="D488" t="s">
        <v>39</v>
      </c>
      <c r="E488" t="s">
        <v>24</v>
      </c>
      <c r="F488" t="s">
        <v>20</v>
      </c>
      <c r="G488" t="s">
        <v>31</v>
      </c>
      <c r="H488" s="5">
        <v>700000</v>
      </c>
      <c r="I488" s="5">
        <v>650000</v>
      </c>
      <c r="J488" s="5">
        <v>50000</v>
      </c>
      <c r="K488" s="5">
        <f>Table2[[#This Row],[Advance Amount]]-Table2[[#This Row],[Expense Amount]]-Table2[[#This Row],[Return Amount]]</f>
        <v>0</v>
      </c>
      <c r="L488" s="5" t="str">
        <f>IF(Table2[[#This Row],[Outstanding]]=0,"Settled",IF(Table2[[#This Row],[Outstanding]]&gt;0,"Outstanding"))</f>
        <v>Settled</v>
      </c>
      <c r="M488" s="5" t="str">
        <f>IF(Table2[[#This Row],[Advance Amount]]=Table2[[#This Row],[Expense Amount]]+Table2[[#This Row],[Return Amount]]+Table2[[#This Row],[Outstanding]],"Ok","Check")</f>
        <v>Ok</v>
      </c>
      <c r="N488" s="11">
        <f>IF(Table2[[#This Row],[Status]]="Settled",0,$Q$2-Table2[[#This Row],[Date]])</f>
        <v>0</v>
      </c>
      <c r="O488" s="5" t="str">
        <f>IF(Table2[[#This Row],[Age Days]]&lt;=7,"Normal",IF(Table2[[#This Row],[Age Days]]&lt;=14,"Perlu Dipantau",IF(Table2[[#This Row],[Age Days]]&lt;=30,"Perlu Ditindaklanjuti","Overdue")))</f>
        <v>Normal</v>
      </c>
    </row>
    <row r="489" spans="1:15" x14ac:dyDescent="0.3">
      <c r="A489" t="s">
        <v>573</v>
      </c>
      <c r="B489" s="3">
        <v>46145</v>
      </c>
      <c r="C489" t="s">
        <v>53</v>
      </c>
      <c r="D489" t="s">
        <v>54</v>
      </c>
      <c r="E489" t="s">
        <v>43</v>
      </c>
      <c r="F489" t="s">
        <v>20</v>
      </c>
      <c r="G489" t="s">
        <v>28</v>
      </c>
      <c r="H489" s="5">
        <v>80000</v>
      </c>
      <c r="I489" s="5">
        <v>75000</v>
      </c>
      <c r="J489" s="5">
        <v>5000</v>
      </c>
      <c r="K489" s="5">
        <f>Table2[[#This Row],[Advance Amount]]-Table2[[#This Row],[Expense Amount]]-Table2[[#This Row],[Return Amount]]</f>
        <v>0</v>
      </c>
      <c r="L489" s="5" t="str">
        <f>IF(Table2[[#This Row],[Outstanding]]=0,"Settled",IF(Table2[[#This Row],[Outstanding]]&gt;0,"Outstanding"))</f>
        <v>Settled</v>
      </c>
      <c r="M489" s="5" t="str">
        <f>IF(Table2[[#This Row],[Advance Amount]]=Table2[[#This Row],[Expense Amount]]+Table2[[#This Row],[Return Amount]]+Table2[[#This Row],[Outstanding]],"Ok","Check")</f>
        <v>Ok</v>
      </c>
      <c r="N489" s="11">
        <f>IF(Table2[[#This Row],[Status]]="Settled",0,$Q$2-Table2[[#This Row],[Date]])</f>
        <v>0</v>
      </c>
      <c r="O489" s="5" t="str">
        <f>IF(Table2[[#This Row],[Age Days]]&lt;=7,"Normal",IF(Table2[[#This Row],[Age Days]]&lt;=14,"Perlu Dipantau",IF(Table2[[#This Row],[Age Days]]&lt;=30,"Perlu Ditindaklanjuti","Overdue")))</f>
        <v>Normal</v>
      </c>
    </row>
    <row r="490" spans="1:15" x14ac:dyDescent="0.3">
      <c r="A490" t="s">
        <v>574</v>
      </c>
      <c r="B490" s="3">
        <v>46145</v>
      </c>
      <c r="C490" t="s">
        <v>22</v>
      </c>
      <c r="D490" t="s">
        <v>23</v>
      </c>
      <c r="E490" t="s">
        <v>24</v>
      </c>
      <c r="F490" t="s">
        <v>14</v>
      </c>
      <c r="G490" t="s">
        <v>31</v>
      </c>
      <c r="H490" s="5">
        <v>575000</v>
      </c>
      <c r="I490" s="5">
        <v>550000</v>
      </c>
      <c r="J490" s="5">
        <v>25000</v>
      </c>
      <c r="K490" s="5">
        <f>Table2[[#This Row],[Advance Amount]]-Table2[[#This Row],[Expense Amount]]-Table2[[#This Row],[Return Amount]]</f>
        <v>0</v>
      </c>
      <c r="L490" s="5" t="str">
        <f>IF(Table2[[#This Row],[Outstanding]]=0,"Settled",IF(Table2[[#This Row],[Outstanding]]&gt;0,"Outstanding"))</f>
        <v>Settled</v>
      </c>
      <c r="M490" s="5" t="str">
        <f>IF(Table2[[#This Row],[Advance Amount]]=Table2[[#This Row],[Expense Amount]]+Table2[[#This Row],[Return Amount]]+Table2[[#This Row],[Outstanding]],"Ok","Check")</f>
        <v>Ok</v>
      </c>
      <c r="N490" s="11">
        <f>IF(Table2[[#This Row],[Status]]="Settled",0,$Q$2-Table2[[#This Row],[Date]])</f>
        <v>0</v>
      </c>
      <c r="O490" s="5" t="str">
        <f>IF(Table2[[#This Row],[Age Days]]&lt;=7,"Normal",IF(Table2[[#This Row],[Age Days]]&lt;=14,"Perlu Dipantau",IF(Table2[[#This Row],[Age Days]]&lt;=30,"Perlu Ditindaklanjuti","Overdue")))</f>
        <v>Normal</v>
      </c>
    </row>
    <row r="491" spans="1:15" x14ac:dyDescent="0.3">
      <c r="A491" t="s">
        <v>575</v>
      </c>
      <c r="B491" s="3">
        <v>46145</v>
      </c>
      <c r="C491" t="s">
        <v>59</v>
      </c>
      <c r="D491" t="s">
        <v>60</v>
      </c>
      <c r="E491" t="s">
        <v>19</v>
      </c>
      <c r="F491" t="s">
        <v>14</v>
      </c>
      <c r="G491" t="s">
        <v>34</v>
      </c>
      <c r="H491" s="5">
        <v>575000</v>
      </c>
      <c r="I491" s="5">
        <v>0</v>
      </c>
      <c r="J491" s="5">
        <v>0</v>
      </c>
      <c r="K491" s="5">
        <f>Table2[[#This Row],[Advance Amount]]-Table2[[#This Row],[Expense Amount]]-Table2[[#This Row],[Return Amount]]</f>
        <v>575000</v>
      </c>
      <c r="L491" s="5" t="str">
        <f>IF(Table2[[#This Row],[Outstanding]]=0,"Settled",IF(Table2[[#This Row],[Outstanding]]&gt;0,"Outstanding"))</f>
        <v>Outstanding</v>
      </c>
      <c r="M491" s="5" t="str">
        <f>IF(Table2[[#This Row],[Advance Amount]]=Table2[[#This Row],[Expense Amount]]+Table2[[#This Row],[Return Amount]]+Table2[[#This Row],[Outstanding]],"Ok","Check")</f>
        <v>Ok</v>
      </c>
      <c r="N491" s="11">
        <f>IF(Table2[[#This Row],[Status]]="Settled",0,$Q$2-Table2[[#This Row],[Date]])</f>
        <v>120</v>
      </c>
      <c r="O491" s="5" t="str">
        <f>IF(Table2[[#This Row],[Age Days]]&lt;=7,"Normal",IF(Table2[[#This Row],[Age Days]]&lt;=14,"Perlu Dipantau",IF(Table2[[#This Row],[Age Days]]&lt;=30,"Perlu Ditindaklanjuti","Overdue")))</f>
        <v>Overdue</v>
      </c>
    </row>
    <row r="492" spans="1:15" x14ac:dyDescent="0.3">
      <c r="A492" t="s">
        <v>576</v>
      </c>
      <c r="B492" s="3">
        <v>46146</v>
      </c>
      <c r="C492" t="s">
        <v>48</v>
      </c>
      <c r="D492" t="s">
        <v>49</v>
      </c>
      <c r="E492" t="s">
        <v>19</v>
      </c>
      <c r="F492" t="s">
        <v>14</v>
      </c>
      <c r="G492" t="s">
        <v>31</v>
      </c>
      <c r="H492" s="5">
        <v>100000</v>
      </c>
      <c r="I492" s="5">
        <v>75000</v>
      </c>
      <c r="J492" s="5">
        <v>25000</v>
      </c>
      <c r="K492" s="5">
        <f>Table2[[#This Row],[Advance Amount]]-Table2[[#This Row],[Expense Amount]]-Table2[[#This Row],[Return Amount]]</f>
        <v>0</v>
      </c>
      <c r="L492" s="5" t="str">
        <f>IF(Table2[[#This Row],[Outstanding]]=0,"Settled",IF(Table2[[#This Row],[Outstanding]]&gt;0,"Outstanding"))</f>
        <v>Settled</v>
      </c>
      <c r="M492" s="5" t="str">
        <f>IF(Table2[[#This Row],[Advance Amount]]=Table2[[#This Row],[Expense Amount]]+Table2[[#This Row],[Return Amount]]+Table2[[#This Row],[Outstanding]],"Ok","Check")</f>
        <v>Ok</v>
      </c>
      <c r="N492" s="11">
        <f>IF(Table2[[#This Row],[Status]]="Settled",0,$Q$2-Table2[[#This Row],[Date]])</f>
        <v>0</v>
      </c>
      <c r="O492" s="5" t="str">
        <f>IF(Table2[[#This Row],[Age Days]]&lt;=7,"Normal",IF(Table2[[#This Row],[Age Days]]&lt;=14,"Perlu Dipantau",IF(Table2[[#This Row],[Age Days]]&lt;=30,"Perlu Ditindaklanjuti","Overdue")))</f>
        <v>Normal</v>
      </c>
    </row>
    <row r="493" spans="1:15" x14ac:dyDescent="0.3">
      <c r="A493" t="s">
        <v>577</v>
      </c>
      <c r="B493" s="3">
        <v>46146</v>
      </c>
      <c r="C493" t="s">
        <v>48</v>
      </c>
      <c r="D493" t="s">
        <v>49</v>
      </c>
      <c r="E493" t="s">
        <v>19</v>
      </c>
      <c r="F493" t="s">
        <v>14</v>
      </c>
      <c r="G493" t="s">
        <v>58</v>
      </c>
      <c r="H493" s="5">
        <v>800000</v>
      </c>
      <c r="I493" s="5">
        <v>0</v>
      </c>
      <c r="J493" s="5">
        <v>0</v>
      </c>
      <c r="K493" s="5">
        <f>Table2[[#This Row],[Advance Amount]]-Table2[[#This Row],[Expense Amount]]-Table2[[#This Row],[Return Amount]]</f>
        <v>800000</v>
      </c>
      <c r="L493" s="5" t="str">
        <f>IF(Table2[[#This Row],[Outstanding]]=0,"Settled",IF(Table2[[#This Row],[Outstanding]]&gt;0,"Outstanding"))</f>
        <v>Outstanding</v>
      </c>
      <c r="M493" s="5" t="str">
        <f>IF(Table2[[#This Row],[Advance Amount]]=Table2[[#This Row],[Expense Amount]]+Table2[[#This Row],[Return Amount]]+Table2[[#This Row],[Outstanding]],"Ok","Check")</f>
        <v>Ok</v>
      </c>
      <c r="N493" s="11">
        <f>IF(Table2[[#This Row],[Status]]="Settled",0,$Q$2-Table2[[#This Row],[Date]])</f>
        <v>119</v>
      </c>
      <c r="O493" s="5" t="str">
        <f>IF(Table2[[#This Row],[Age Days]]&lt;=7,"Normal",IF(Table2[[#This Row],[Age Days]]&lt;=14,"Perlu Dipantau",IF(Table2[[#This Row],[Age Days]]&lt;=30,"Perlu Ditindaklanjuti","Overdue")))</f>
        <v>Overdue</v>
      </c>
    </row>
    <row r="494" spans="1:15" x14ac:dyDescent="0.3">
      <c r="A494" t="s">
        <v>578</v>
      </c>
      <c r="B494" s="3">
        <v>46146</v>
      </c>
      <c r="C494" t="s">
        <v>41</v>
      </c>
      <c r="D494" t="s">
        <v>42</v>
      </c>
      <c r="E494" t="s">
        <v>43</v>
      </c>
      <c r="F494" t="s">
        <v>14</v>
      </c>
      <c r="G494" t="s">
        <v>61</v>
      </c>
      <c r="H494" s="5">
        <v>300000</v>
      </c>
      <c r="I494" s="5">
        <v>250000</v>
      </c>
      <c r="J494" s="5">
        <v>50000</v>
      </c>
      <c r="K494" s="5">
        <f>Table2[[#This Row],[Advance Amount]]-Table2[[#This Row],[Expense Amount]]-Table2[[#This Row],[Return Amount]]</f>
        <v>0</v>
      </c>
      <c r="L494" s="5" t="str">
        <f>IF(Table2[[#This Row],[Outstanding]]=0,"Settled",IF(Table2[[#This Row],[Outstanding]]&gt;0,"Outstanding"))</f>
        <v>Settled</v>
      </c>
      <c r="M494" s="5" t="str">
        <f>IF(Table2[[#This Row],[Advance Amount]]=Table2[[#This Row],[Expense Amount]]+Table2[[#This Row],[Return Amount]]+Table2[[#This Row],[Outstanding]],"Ok","Check")</f>
        <v>Ok</v>
      </c>
      <c r="N494" s="11">
        <f>IF(Table2[[#This Row],[Status]]="Settled",0,$Q$2-Table2[[#This Row],[Date]])</f>
        <v>0</v>
      </c>
      <c r="O494" s="5" t="str">
        <f>IF(Table2[[#This Row],[Age Days]]&lt;=7,"Normal",IF(Table2[[#This Row],[Age Days]]&lt;=14,"Perlu Dipantau",IF(Table2[[#This Row],[Age Days]]&lt;=30,"Perlu Ditindaklanjuti","Overdue")))</f>
        <v>Normal</v>
      </c>
    </row>
    <row r="495" spans="1:15" x14ac:dyDescent="0.3">
      <c r="A495" t="s">
        <v>579</v>
      </c>
      <c r="B495" s="3">
        <v>46146</v>
      </c>
      <c r="C495" t="s">
        <v>66</v>
      </c>
      <c r="D495" t="s">
        <v>67</v>
      </c>
      <c r="E495" t="s">
        <v>13</v>
      </c>
      <c r="F495" t="s">
        <v>14</v>
      </c>
      <c r="G495" t="s">
        <v>28</v>
      </c>
      <c r="H495" s="5">
        <v>55000</v>
      </c>
      <c r="I495" s="5">
        <v>0</v>
      </c>
      <c r="J495" s="5">
        <v>0</v>
      </c>
      <c r="K495" s="5">
        <f>Table2[[#This Row],[Advance Amount]]-Table2[[#This Row],[Expense Amount]]-Table2[[#This Row],[Return Amount]]</f>
        <v>55000</v>
      </c>
      <c r="L495" s="5" t="str">
        <f>IF(Table2[[#This Row],[Outstanding]]=0,"Settled",IF(Table2[[#This Row],[Outstanding]]&gt;0,"Outstanding"))</f>
        <v>Outstanding</v>
      </c>
      <c r="M495" s="5" t="str">
        <f>IF(Table2[[#This Row],[Advance Amount]]=Table2[[#This Row],[Expense Amount]]+Table2[[#This Row],[Return Amount]]+Table2[[#This Row],[Outstanding]],"Ok","Check")</f>
        <v>Ok</v>
      </c>
      <c r="N495" s="11">
        <f>IF(Table2[[#This Row],[Status]]="Settled",0,$Q$2-Table2[[#This Row],[Date]])</f>
        <v>119</v>
      </c>
      <c r="O495" s="5" t="str">
        <f>IF(Table2[[#This Row],[Age Days]]&lt;=7,"Normal",IF(Table2[[#This Row],[Age Days]]&lt;=14,"Perlu Dipantau",IF(Table2[[#This Row],[Age Days]]&lt;=30,"Perlu Ditindaklanjuti","Overdue")))</f>
        <v>Overdue</v>
      </c>
    </row>
    <row r="496" spans="1:15" x14ac:dyDescent="0.3">
      <c r="A496" t="s">
        <v>580</v>
      </c>
      <c r="B496" s="3">
        <v>46146</v>
      </c>
      <c r="C496" t="s">
        <v>22</v>
      </c>
      <c r="D496" t="s">
        <v>23</v>
      </c>
      <c r="E496" t="s">
        <v>24</v>
      </c>
      <c r="F496" t="s">
        <v>14</v>
      </c>
      <c r="G496" t="s">
        <v>15</v>
      </c>
      <c r="H496" s="5">
        <v>2950000</v>
      </c>
      <c r="I496" s="5">
        <v>2225000</v>
      </c>
      <c r="J496" s="5">
        <v>725000</v>
      </c>
      <c r="K496" s="5">
        <f>Table2[[#This Row],[Advance Amount]]-Table2[[#This Row],[Expense Amount]]-Table2[[#This Row],[Return Amount]]</f>
        <v>0</v>
      </c>
      <c r="L496" s="5" t="str">
        <f>IF(Table2[[#This Row],[Outstanding]]=0,"Settled",IF(Table2[[#This Row],[Outstanding]]&gt;0,"Outstanding"))</f>
        <v>Settled</v>
      </c>
      <c r="M496" s="5" t="str">
        <f>IF(Table2[[#This Row],[Advance Amount]]=Table2[[#This Row],[Expense Amount]]+Table2[[#This Row],[Return Amount]]+Table2[[#This Row],[Outstanding]],"Ok","Check")</f>
        <v>Ok</v>
      </c>
      <c r="N496" s="11">
        <f>IF(Table2[[#This Row],[Status]]="Settled",0,$Q$2-Table2[[#This Row],[Date]])</f>
        <v>0</v>
      </c>
      <c r="O496" s="5" t="str">
        <f>IF(Table2[[#This Row],[Age Days]]&lt;=7,"Normal",IF(Table2[[#This Row],[Age Days]]&lt;=14,"Perlu Dipantau",IF(Table2[[#This Row],[Age Days]]&lt;=30,"Perlu Ditindaklanjuti","Overdue")))</f>
        <v>Normal</v>
      </c>
    </row>
    <row r="497" spans="1:15" x14ac:dyDescent="0.3">
      <c r="A497" t="s">
        <v>581</v>
      </c>
      <c r="B497" s="3">
        <v>46146</v>
      </c>
      <c r="C497" t="s">
        <v>25</v>
      </c>
      <c r="D497" t="s">
        <v>26</v>
      </c>
      <c r="E497" t="s">
        <v>27</v>
      </c>
      <c r="F497" t="s">
        <v>20</v>
      </c>
      <c r="G497" t="s">
        <v>61</v>
      </c>
      <c r="H497" s="5">
        <v>475000</v>
      </c>
      <c r="I497" s="5">
        <v>0</v>
      </c>
      <c r="J497" s="5">
        <v>0</v>
      </c>
      <c r="K497" s="5">
        <f>Table2[[#This Row],[Advance Amount]]-Table2[[#This Row],[Expense Amount]]-Table2[[#This Row],[Return Amount]]</f>
        <v>475000</v>
      </c>
      <c r="L497" s="5" t="str">
        <f>IF(Table2[[#This Row],[Outstanding]]=0,"Settled",IF(Table2[[#This Row],[Outstanding]]&gt;0,"Outstanding"))</f>
        <v>Outstanding</v>
      </c>
      <c r="M497" s="5" t="str">
        <f>IF(Table2[[#This Row],[Advance Amount]]=Table2[[#This Row],[Expense Amount]]+Table2[[#This Row],[Return Amount]]+Table2[[#This Row],[Outstanding]],"Ok","Check")</f>
        <v>Ok</v>
      </c>
      <c r="N497" s="11">
        <f>IF(Table2[[#This Row],[Status]]="Settled",0,$Q$2-Table2[[#This Row],[Date]])</f>
        <v>119</v>
      </c>
      <c r="O497" s="5" t="str">
        <f>IF(Table2[[#This Row],[Age Days]]&lt;=7,"Normal",IF(Table2[[#This Row],[Age Days]]&lt;=14,"Perlu Dipantau",IF(Table2[[#This Row],[Age Days]]&lt;=30,"Perlu Ditindaklanjuti","Overdue")))</f>
        <v>Overdue</v>
      </c>
    </row>
    <row r="498" spans="1:15" x14ac:dyDescent="0.3">
      <c r="A498" t="s">
        <v>582</v>
      </c>
      <c r="B498" s="3">
        <v>46147</v>
      </c>
      <c r="C498" t="s">
        <v>44</v>
      </c>
      <c r="D498" t="s">
        <v>45</v>
      </c>
      <c r="E498" t="s">
        <v>43</v>
      </c>
      <c r="F498" t="s">
        <v>20</v>
      </c>
      <c r="G498" t="s">
        <v>34</v>
      </c>
      <c r="H498" s="5">
        <v>400000</v>
      </c>
      <c r="I498" s="5">
        <v>325000</v>
      </c>
      <c r="J498" s="5">
        <v>75000</v>
      </c>
      <c r="K498" s="5">
        <f>Table2[[#This Row],[Advance Amount]]-Table2[[#This Row],[Expense Amount]]-Table2[[#This Row],[Return Amount]]</f>
        <v>0</v>
      </c>
      <c r="L498" s="5" t="str">
        <f>IF(Table2[[#This Row],[Outstanding]]=0,"Settled",IF(Table2[[#This Row],[Outstanding]]&gt;0,"Outstanding"))</f>
        <v>Settled</v>
      </c>
      <c r="M498" s="5" t="str">
        <f>IF(Table2[[#This Row],[Advance Amount]]=Table2[[#This Row],[Expense Amount]]+Table2[[#This Row],[Return Amount]]+Table2[[#This Row],[Outstanding]],"Ok","Check")</f>
        <v>Ok</v>
      </c>
      <c r="N498" s="11">
        <f>IF(Table2[[#This Row],[Status]]="Settled",0,$Q$2-Table2[[#This Row],[Date]])</f>
        <v>0</v>
      </c>
      <c r="O498" s="5" t="str">
        <f>IF(Table2[[#This Row],[Age Days]]&lt;=7,"Normal",IF(Table2[[#This Row],[Age Days]]&lt;=14,"Perlu Dipantau",IF(Table2[[#This Row],[Age Days]]&lt;=30,"Perlu Ditindaklanjuti","Overdue")))</f>
        <v>Normal</v>
      </c>
    </row>
    <row r="499" spans="1:15" x14ac:dyDescent="0.3">
      <c r="A499" t="s">
        <v>583</v>
      </c>
      <c r="B499" s="3">
        <v>46147</v>
      </c>
      <c r="C499" t="s">
        <v>22</v>
      </c>
      <c r="D499" t="s">
        <v>23</v>
      </c>
      <c r="E499" t="s">
        <v>24</v>
      </c>
      <c r="F499" t="s">
        <v>14</v>
      </c>
      <c r="G499" t="s">
        <v>57</v>
      </c>
      <c r="H499" s="5">
        <v>230000</v>
      </c>
      <c r="I499" s="5">
        <v>225000</v>
      </c>
      <c r="J499" s="5">
        <v>5000</v>
      </c>
      <c r="K499" s="5">
        <f>Table2[[#This Row],[Advance Amount]]-Table2[[#This Row],[Expense Amount]]-Table2[[#This Row],[Return Amount]]</f>
        <v>0</v>
      </c>
      <c r="L499" s="5" t="str">
        <f>IF(Table2[[#This Row],[Outstanding]]=0,"Settled",IF(Table2[[#This Row],[Outstanding]]&gt;0,"Outstanding"))</f>
        <v>Settled</v>
      </c>
      <c r="M499" s="5" t="str">
        <f>IF(Table2[[#This Row],[Advance Amount]]=Table2[[#This Row],[Expense Amount]]+Table2[[#This Row],[Return Amount]]+Table2[[#This Row],[Outstanding]],"Ok","Check")</f>
        <v>Ok</v>
      </c>
      <c r="N499" s="11">
        <f>IF(Table2[[#This Row],[Status]]="Settled",0,$Q$2-Table2[[#This Row],[Date]])</f>
        <v>0</v>
      </c>
      <c r="O499" s="5" t="str">
        <f>IF(Table2[[#This Row],[Age Days]]&lt;=7,"Normal",IF(Table2[[#This Row],[Age Days]]&lt;=14,"Perlu Dipantau",IF(Table2[[#This Row],[Age Days]]&lt;=30,"Perlu Ditindaklanjuti","Overdue")))</f>
        <v>Normal</v>
      </c>
    </row>
    <row r="500" spans="1:15" x14ac:dyDescent="0.3">
      <c r="A500" t="s">
        <v>584</v>
      </c>
      <c r="B500" s="3">
        <v>46148</v>
      </c>
      <c r="C500" t="s">
        <v>32</v>
      </c>
      <c r="D500" t="s">
        <v>33</v>
      </c>
      <c r="E500" t="s">
        <v>27</v>
      </c>
      <c r="F500" t="s">
        <v>14</v>
      </c>
      <c r="G500" t="s">
        <v>28</v>
      </c>
      <c r="H500" s="5">
        <v>280000</v>
      </c>
      <c r="I500" s="5">
        <v>250000</v>
      </c>
      <c r="J500" s="5">
        <v>30000</v>
      </c>
      <c r="K500" s="5">
        <f>Table2[[#This Row],[Advance Amount]]-Table2[[#This Row],[Expense Amount]]-Table2[[#This Row],[Return Amount]]</f>
        <v>0</v>
      </c>
      <c r="L500" s="5" t="str">
        <f>IF(Table2[[#This Row],[Outstanding]]=0,"Settled",IF(Table2[[#This Row],[Outstanding]]&gt;0,"Outstanding"))</f>
        <v>Settled</v>
      </c>
      <c r="M500" s="5" t="str">
        <f>IF(Table2[[#This Row],[Advance Amount]]=Table2[[#This Row],[Expense Amount]]+Table2[[#This Row],[Return Amount]]+Table2[[#This Row],[Outstanding]],"Ok","Check")</f>
        <v>Ok</v>
      </c>
      <c r="N500" s="11">
        <f>IF(Table2[[#This Row],[Status]]="Settled",0,$Q$2-Table2[[#This Row],[Date]])</f>
        <v>0</v>
      </c>
      <c r="O500" s="5" t="str">
        <f>IF(Table2[[#This Row],[Age Days]]&lt;=7,"Normal",IF(Table2[[#This Row],[Age Days]]&lt;=14,"Perlu Dipantau",IF(Table2[[#This Row],[Age Days]]&lt;=30,"Perlu Ditindaklanjuti","Overdue")))</f>
        <v>Normal</v>
      </c>
    </row>
    <row r="501" spans="1:15" x14ac:dyDescent="0.3">
      <c r="A501" t="s">
        <v>585</v>
      </c>
      <c r="B501" s="3">
        <v>46148</v>
      </c>
      <c r="C501" t="s">
        <v>62</v>
      </c>
      <c r="D501" t="s">
        <v>63</v>
      </c>
      <c r="E501" t="s">
        <v>52</v>
      </c>
      <c r="F501" t="s">
        <v>14</v>
      </c>
      <c r="G501" t="s">
        <v>15</v>
      </c>
      <c r="H501" s="5">
        <v>2675000</v>
      </c>
      <c r="I501" s="5">
        <v>2125000</v>
      </c>
      <c r="J501" s="5">
        <v>550000</v>
      </c>
      <c r="K501" s="5">
        <f>Table2[[#This Row],[Advance Amount]]-Table2[[#This Row],[Expense Amount]]-Table2[[#This Row],[Return Amount]]</f>
        <v>0</v>
      </c>
      <c r="L501" s="5" t="str">
        <f>IF(Table2[[#This Row],[Outstanding]]=0,"Settled",IF(Table2[[#This Row],[Outstanding]]&gt;0,"Outstanding"))</f>
        <v>Settled</v>
      </c>
      <c r="M501" s="5" t="str">
        <f>IF(Table2[[#This Row],[Advance Amount]]=Table2[[#This Row],[Expense Amount]]+Table2[[#This Row],[Return Amount]]+Table2[[#This Row],[Outstanding]],"Ok","Check")</f>
        <v>Ok</v>
      </c>
      <c r="N501" s="11">
        <f>IF(Table2[[#This Row],[Status]]="Settled",0,$Q$2-Table2[[#This Row],[Date]])</f>
        <v>0</v>
      </c>
      <c r="O501" s="5" t="str">
        <f>IF(Table2[[#This Row],[Age Days]]&lt;=7,"Normal",IF(Table2[[#This Row],[Age Days]]&lt;=14,"Perlu Dipantau",IF(Table2[[#This Row],[Age Days]]&lt;=30,"Perlu Ditindaklanjuti","Overdue")))</f>
        <v>Normal</v>
      </c>
    </row>
    <row r="502" spans="1:15" x14ac:dyDescent="0.3">
      <c r="A502" t="s">
        <v>586</v>
      </c>
      <c r="B502" s="3">
        <v>46148</v>
      </c>
      <c r="C502" t="s">
        <v>64</v>
      </c>
      <c r="D502" t="s">
        <v>65</v>
      </c>
      <c r="E502" t="s">
        <v>37</v>
      </c>
      <c r="F502" t="s">
        <v>20</v>
      </c>
      <c r="G502" t="s">
        <v>34</v>
      </c>
      <c r="H502" s="5">
        <v>425000</v>
      </c>
      <c r="I502" s="5">
        <v>400000</v>
      </c>
      <c r="J502" s="5">
        <v>25000</v>
      </c>
      <c r="K502" s="5">
        <f>Table2[[#This Row],[Advance Amount]]-Table2[[#This Row],[Expense Amount]]-Table2[[#This Row],[Return Amount]]</f>
        <v>0</v>
      </c>
      <c r="L502" s="5" t="str">
        <f>IF(Table2[[#This Row],[Outstanding]]=0,"Settled",IF(Table2[[#This Row],[Outstanding]]&gt;0,"Outstanding"))</f>
        <v>Settled</v>
      </c>
      <c r="M502" s="5" t="str">
        <f>IF(Table2[[#This Row],[Advance Amount]]=Table2[[#This Row],[Expense Amount]]+Table2[[#This Row],[Return Amount]]+Table2[[#This Row],[Outstanding]],"Ok","Check")</f>
        <v>Ok</v>
      </c>
      <c r="N502" s="11">
        <f>IF(Table2[[#This Row],[Status]]="Settled",0,$Q$2-Table2[[#This Row],[Date]])</f>
        <v>0</v>
      </c>
      <c r="O502" s="5" t="str">
        <f>IF(Table2[[#This Row],[Age Days]]&lt;=7,"Normal",IF(Table2[[#This Row],[Age Days]]&lt;=14,"Perlu Dipantau",IF(Table2[[#This Row],[Age Days]]&lt;=30,"Perlu Ditindaklanjuti","Overdue")))</f>
        <v>Normal</v>
      </c>
    </row>
    <row r="503" spans="1:15" x14ac:dyDescent="0.3">
      <c r="A503" t="s">
        <v>587</v>
      </c>
      <c r="B503" s="3">
        <v>46148</v>
      </c>
      <c r="C503" t="s">
        <v>59</v>
      </c>
      <c r="D503" t="s">
        <v>60</v>
      </c>
      <c r="E503" t="s">
        <v>19</v>
      </c>
      <c r="F503" t="s">
        <v>20</v>
      </c>
      <c r="G503" t="s">
        <v>15</v>
      </c>
      <c r="H503" s="5">
        <v>775000</v>
      </c>
      <c r="I503" s="5">
        <v>0</v>
      </c>
      <c r="J503" s="5">
        <v>0</v>
      </c>
      <c r="K503" s="5">
        <f>Table2[[#This Row],[Advance Amount]]-Table2[[#This Row],[Expense Amount]]-Table2[[#This Row],[Return Amount]]</f>
        <v>775000</v>
      </c>
      <c r="L503" s="5" t="str">
        <f>IF(Table2[[#This Row],[Outstanding]]=0,"Settled",IF(Table2[[#This Row],[Outstanding]]&gt;0,"Outstanding"))</f>
        <v>Outstanding</v>
      </c>
      <c r="M503" s="5" t="str">
        <f>IF(Table2[[#This Row],[Advance Amount]]=Table2[[#This Row],[Expense Amount]]+Table2[[#This Row],[Return Amount]]+Table2[[#This Row],[Outstanding]],"Ok","Check")</f>
        <v>Ok</v>
      </c>
      <c r="N503" s="11">
        <f>IF(Table2[[#This Row],[Status]]="Settled",0,$Q$2-Table2[[#This Row],[Date]])</f>
        <v>117</v>
      </c>
      <c r="O503" s="5" t="str">
        <f>IF(Table2[[#This Row],[Age Days]]&lt;=7,"Normal",IF(Table2[[#This Row],[Age Days]]&lt;=14,"Perlu Dipantau",IF(Table2[[#This Row],[Age Days]]&lt;=30,"Perlu Ditindaklanjuti","Overdue")))</f>
        <v>Overdue</v>
      </c>
    </row>
    <row r="504" spans="1:15" x14ac:dyDescent="0.3">
      <c r="A504" t="s">
        <v>588</v>
      </c>
      <c r="B504" s="3">
        <v>46148</v>
      </c>
      <c r="C504" t="s">
        <v>59</v>
      </c>
      <c r="D504" t="s">
        <v>60</v>
      </c>
      <c r="E504" t="s">
        <v>19</v>
      </c>
      <c r="F504" t="s">
        <v>14</v>
      </c>
      <c r="G504" t="s">
        <v>61</v>
      </c>
      <c r="H504" s="5">
        <v>150000</v>
      </c>
      <c r="I504" s="5">
        <v>125000</v>
      </c>
      <c r="J504" s="5">
        <v>25000</v>
      </c>
      <c r="K504" s="5">
        <f>Table2[[#This Row],[Advance Amount]]-Table2[[#This Row],[Expense Amount]]-Table2[[#This Row],[Return Amount]]</f>
        <v>0</v>
      </c>
      <c r="L504" s="5" t="str">
        <f>IF(Table2[[#This Row],[Outstanding]]=0,"Settled",IF(Table2[[#This Row],[Outstanding]]&gt;0,"Outstanding"))</f>
        <v>Settled</v>
      </c>
      <c r="M504" s="5" t="str">
        <f>IF(Table2[[#This Row],[Advance Amount]]=Table2[[#This Row],[Expense Amount]]+Table2[[#This Row],[Return Amount]]+Table2[[#This Row],[Outstanding]],"Ok","Check")</f>
        <v>Ok</v>
      </c>
      <c r="N504" s="11">
        <f>IF(Table2[[#This Row],[Status]]="Settled",0,$Q$2-Table2[[#This Row],[Date]])</f>
        <v>0</v>
      </c>
      <c r="O504" s="5" t="str">
        <f>IF(Table2[[#This Row],[Age Days]]&lt;=7,"Normal",IF(Table2[[#This Row],[Age Days]]&lt;=14,"Perlu Dipantau",IF(Table2[[#This Row],[Age Days]]&lt;=30,"Perlu Ditindaklanjuti","Overdue")))</f>
        <v>Normal</v>
      </c>
    </row>
    <row r="505" spans="1:15" x14ac:dyDescent="0.3">
      <c r="A505" t="s">
        <v>589</v>
      </c>
      <c r="B505" s="3">
        <v>46149</v>
      </c>
      <c r="C505" t="s">
        <v>64</v>
      </c>
      <c r="D505" t="s">
        <v>65</v>
      </c>
      <c r="E505" t="s">
        <v>37</v>
      </c>
      <c r="F505" t="s">
        <v>14</v>
      </c>
      <c r="G505" t="s">
        <v>61</v>
      </c>
      <c r="H505" s="5">
        <v>375000</v>
      </c>
      <c r="I505" s="5">
        <v>300000</v>
      </c>
      <c r="J505" s="5">
        <v>75000</v>
      </c>
      <c r="K505" s="5">
        <f>Table2[[#This Row],[Advance Amount]]-Table2[[#This Row],[Expense Amount]]-Table2[[#This Row],[Return Amount]]</f>
        <v>0</v>
      </c>
      <c r="L505" s="5" t="str">
        <f>IF(Table2[[#This Row],[Outstanding]]=0,"Settled",IF(Table2[[#This Row],[Outstanding]]&gt;0,"Outstanding"))</f>
        <v>Settled</v>
      </c>
      <c r="M505" s="5" t="str">
        <f>IF(Table2[[#This Row],[Advance Amount]]=Table2[[#This Row],[Expense Amount]]+Table2[[#This Row],[Return Amount]]+Table2[[#This Row],[Outstanding]],"Ok","Check")</f>
        <v>Ok</v>
      </c>
      <c r="N505" s="11">
        <f>IF(Table2[[#This Row],[Status]]="Settled",0,$Q$2-Table2[[#This Row],[Date]])</f>
        <v>0</v>
      </c>
      <c r="O505" s="5" t="str">
        <f>IF(Table2[[#This Row],[Age Days]]&lt;=7,"Normal",IF(Table2[[#This Row],[Age Days]]&lt;=14,"Perlu Dipantau",IF(Table2[[#This Row],[Age Days]]&lt;=30,"Perlu Ditindaklanjuti","Overdue")))</f>
        <v>Normal</v>
      </c>
    </row>
    <row r="506" spans="1:15" x14ac:dyDescent="0.3">
      <c r="A506" t="s">
        <v>590</v>
      </c>
      <c r="B506" s="3">
        <v>46149</v>
      </c>
      <c r="C506" t="s">
        <v>64</v>
      </c>
      <c r="D506" t="s">
        <v>65</v>
      </c>
      <c r="E506" t="s">
        <v>37</v>
      </c>
      <c r="F506" t="s">
        <v>14</v>
      </c>
      <c r="G506" t="s">
        <v>40</v>
      </c>
      <c r="H506" s="5">
        <v>425000</v>
      </c>
      <c r="I506" s="5">
        <v>350000</v>
      </c>
      <c r="J506" s="5">
        <v>75000</v>
      </c>
      <c r="K506" s="5">
        <f>Table2[[#This Row],[Advance Amount]]-Table2[[#This Row],[Expense Amount]]-Table2[[#This Row],[Return Amount]]</f>
        <v>0</v>
      </c>
      <c r="L506" s="5" t="str">
        <f>IF(Table2[[#This Row],[Outstanding]]=0,"Settled",IF(Table2[[#This Row],[Outstanding]]&gt;0,"Outstanding"))</f>
        <v>Settled</v>
      </c>
      <c r="M506" s="5" t="str">
        <f>IF(Table2[[#This Row],[Advance Amount]]=Table2[[#This Row],[Expense Amount]]+Table2[[#This Row],[Return Amount]]+Table2[[#This Row],[Outstanding]],"Ok","Check")</f>
        <v>Ok</v>
      </c>
      <c r="N506" s="11">
        <f>IF(Table2[[#This Row],[Status]]="Settled",0,$Q$2-Table2[[#This Row],[Date]])</f>
        <v>0</v>
      </c>
      <c r="O506" s="5" t="str">
        <f>IF(Table2[[#This Row],[Age Days]]&lt;=7,"Normal",IF(Table2[[#This Row],[Age Days]]&lt;=14,"Perlu Dipantau",IF(Table2[[#This Row],[Age Days]]&lt;=30,"Perlu Ditindaklanjuti","Overdue")))</f>
        <v>Normal</v>
      </c>
    </row>
    <row r="507" spans="1:15" x14ac:dyDescent="0.3">
      <c r="A507" t="s">
        <v>591</v>
      </c>
      <c r="B507" s="3">
        <v>46150</v>
      </c>
      <c r="C507" t="s">
        <v>11</v>
      </c>
      <c r="D507" t="s">
        <v>12</v>
      </c>
      <c r="E507" t="s">
        <v>13</v>
      </c>
      <c r="F507" t="s">
        <v>14</v>
      </c>
      <c r="G507" t="s">
        <v>31</v>
      </c>
      <c r="H507" s="5">
        <v>875000</v>
      </c>
      <c r="I507" s="5">
        <v>775000</v>
      </c>
      <c r="J507" s="5">
        <v>100000</v>
      </c>
      <c r="K507" s="5">
        <f>Table2[[#This Row],[Advance Amount]]-Table2[[#This Row],[Expense Amount]]-Table2[[#This Row],[Return Amount]]</f>
        <v>0</v>
      </c>
      <c r="L507" s="5" t="str">
        <f>IF(Table2[[#This Row],[Outstanding]]=0,"Settled",IF(Table2[[#This Row],[Outstanding]]&gt;0,"Outstanding"))</f>
        <v>Settled</v>
      </c>
      <c r="M507" s="5" t="str">
        <f>IF(Table2[[#This Row],[Advance Amount]]=Table2[[#This Row],[Expense Amount]]+Table2[[#This Row],[Return Amount]]+Table2[[#This Row],[Outstanding]],"Ok","Check")</f>
        <v>Ok</v>
      </c>
      <c r="N507" s="11">
        <f>IF(Table2[[#This Row],[Status]]="Settled",0,$Q$2-Table2[[#This Row],[Date]])</f>
        <v>0</v>
      </c>
      <c r="O507" s="5" t="str">
        <f>IF(Table2[[#This Row],[Age Days]]&lt;=7,"Normal",IF(Table2[[#This Row],[Age Days]]&lt;=14,"Perlu Dipantau",IF(Table2[[#This Row],[Age Days]]&lt;=30,"Perlu Ditindaklanjuti","Overdue")))</f>
        <v>Normal</v>
      </c>
    </row>
    <row r="508" spans="1:15" x14ac:dyDescent="0.3">
      <c r="A508" t="s">
        <v>592</v>
      </c>
      <c r="B508" s="3">
        <v>46150</v>
      </c>
      <c r="C508" t="s">
        <v>38</v>
      </c>
      <c r="D508" t="s">
        <v>39</v>
      </c>
      <c r="E508" t="s">
        <v>24</v>
      </c>
      <c r="F508" t="s">
        <v>14</v>
      </c>
      <c r="G508" t="s">
        <v>31</v>
      </c>
      <c r="H508" s="5">
        <v>1500000</v>
      </c>
      <c r="I508" s="5">
        <v>1300000</v>
      </c>
      <c r="J508" s="5">
        <v>200000</v>
      </c>
      <c r="K508" s="5">
        <f>Table2[[#This Row],[Advance Amount]]-Table2[[#This Row],[Expense Amount]]-Table2[[#This Row],[Return Amount]]</f>
        <v>0</v>
      </c>
      <c r="L508" s="5" t="str">
        <f>IF(Table2[[#This Row],[Outstanding]]=0,"Settled",IF(Table2[[#This Row],[Outstanding]]&gt;0,"Outstanding"))</f>
        <v>Settled</v>
      </c>
      <c r="M508" s="5" t="str">
        <f>IF(Table2[[#This Row],[Advance Amount]]=Table2[[#This Row],[Expense Amount]]+Table2[[#This Row],[Return Amount]]+Table2[[#This Row],[Outstanding]],"Ok","Check")</f>
        <v>Ok</v>
      </c>
      <c r="N508" s="11">
        <f>IF(Table2[[#This Row],[Status]]="Settled",0,$Q$2-Table2[[#This Row],[Date]])</f>
        <v>0</v>
      </c>
      <c r="O508" s="5" t="str">
        <f>IF(Table2[[#This Row],[Age Days]]&lt;=7,"Normal",IF(Table2[[#This Row],[Age Days]]&lt;=14,"Perlu Dipantau",IF(Table2[[#This Row],[Age Days]]&lt;=30,"Perlu Ditindaklanjuti","Overdue")))</f>
        <v>Normal</v>
      </c>
    </row>
    <row r="509" spans="1:15" x14ac:dyDescent="0.3">
      <c r="A509" t="s">
        <v>593</v>
      </c>
      <c r="B509" s="3">
        <v>46150</v>
      </c>
      <c r="C509" t="s">
        <v>50</v>
      </c>
      <c r="D509" t="s">
        <v>51</v>
      </c>
      <c r="E509" t="s">
        <v>52</v>
      </c>
      <c r="F509" t="s">
        <v>20</v>
      </c>
      <c r="G509" t="s">
        <v>58</v>
      </c>
      <c r="H509" s="5">
        <v>1000000</v>
      </c>
      <c r="I509" s="5">
        <v>0</v>
      </c>
      <c r="J509" s="5">
        <v>0</v>
      </c>
      <c r="K509" s="5">
        <f>Table2[[#This Row],[Advance Amount]]-Table2[[#This Row],[Expense Amount]]-Table2[[#This Row],[Return Amount]]</f>
        <v>1000000</v>
      </c>
      <c r="L509" s="5" t="str">
        <f>IF(Table2[[#This Row],[Outstanding]]=0,"Settled",IF(Table2[[#This Row],[Outstanding]]&gt;0,"Outstanding"))</f>
        <v>Outstanding</v>
      </c>
      <c r="M509" s="5" t="str">
        <f>IF(Table2[[#This Row],[Advance Amount]]=Table2[[#This Row],[Expense Amount]]+Table2[[#This Row],[Return Amount]]+Table2[[#This Row],[Outstanding]],"Ok","Check")</f>
        <v>Ok</v>
      </c>
      <c r="N509" s="11">
        <f>IF(Table2[[#This Row],[Status]]="Settled",0,$Q$2-Table2[[#This Row],[Date]])</f>
        <v>115</v>
      </c>
      <c r="O509" s="5" t="str">
        <f>IF(Table2[[#This Row],[Age Days]]&lt;=7,"Normal",IF(Table2[[#This Row],[Age Days]]&lt;=14,"Perlu Dipantau",IF(Table2[[#This Row],[Age Days]]&lt;=30,"Perlu Ditindaklanjuti","Overdue")))</f>
        <v>Overdue</v>
      </c>
    </row>
    <row r="510" spans="1:15" x14ac:dyDescent="0.3">
      <c r="A510" t="s">
        <v>594</v>
      </c>
      <c r="B510" s="3">
        <v>46150</v>
      </c>
      <c r="C510" t="s">
        <v>53</v>
      </c>
      <c r="D510" t="s">
        <v>54</v>
      </c>
      <c r="E510" t="s">
        <v>43</v>
      </c>
      <c r="F510" t="s">
        <v>14</v>
      </c>
      <c r="G510" t="s">
        <v>40</v>
      </c>
      <c r="H510" s="5">
        <v>250000</v>
      </c>
      <c r="I510" s="5">
        <v>200000</v>
      </c>
      <c r="J510" s="5">
        <v>50000</v>
      </c>
      <c r="K510" s="5">
        <f>Table2[[#This Row],[Advance Amount]]-Table2[[#This Row],[Expense Amount]]-Table2[[#This Row],[Return Amount]]</f>
        <v>0</v>
      </c>
      <c r="L510" s="5" t="str">
        <f>IF(Table2[[#This Row],[Outstanding]]=0,"Settled",IF(Table2[[#This Row],[Outstanding]]&gt;0,"Outstanding"))</f>
        <v>Settled</v>
      </c>
      <c r="M510" s="5" t="str">
        <f>IF(Table2[[#This Row],[Advance Amount]]=Table2[[#This Row],[Expense Amount]]+Table2[[#This Row],[Return Amount]]+Table2[[#This Row],[Outstanding]],"Ok","Check")</f>
        <v>Ok</v>
      </c>
      <c r="N510" s="11">
        <f>IF(Table2[[#This Row],[Status]]="Settled",0,$Q$2-Table2[[#This Row],[Date]])</f>
        <v>0</v>
      </c>
      <c r="O510" s="5" t="str">
        <f>IF(Table2[[#This Row],[Age Days]]&lt;=7,"Normal",IF(Table2[[#This Row],[Age Days]]&lt;=14,"Perlu Dipantau",IF(Table2[[#This Row],[Age Days]]&lt;=30,"Perlu Ditindaklanjuti","Overdue")))</f>
        <v>Normal</v>
      </c>
    </row>
    <row r="511" spans="1:15" x14ac:dyDescent="0.3">
      <c r="A511" t="s">
        <v>595</v>
      </c>
      <c r="B511" s="3">
        <v>46151</v>
      </c>
      <c r="C511" t="s">
        <v>46</v>
      </c>
      <c r="D511" t="s">
        <v>47</v>
      </c>
      <c r="E511" t="s">
        <v>37</v>
      </c>
      <c r="F511" t="s">
        <v>20</v>
      </c>
      <c r="G511" t="s">
        <v>15</v>
      </c>
      <c r="H511" s="5">
        <v>2425000</v>
      </c>
      <c r="I511" s="5">
        <v>0</v>
      </c>
      <c r="J511" s="5">
        <v>0</v>
      </c>
      <c r="K511" s="5">
        <f>Table2[[#This Row],[Advance Amount]]-Table2[[#This Row],[Expense Amount]]-Table2[[#This Row],[Return Amount]]</f>
        <v>2425000</v>
      </c>
      <c r="L511" s="5" t="str">
        <f>IF(Table2[[#This Row],[Outstanding]]=0,"Settled",IF(Table2[[#This Row],[Outstanding]]&gt;0,"Outstanding"))</f>
        <v>Outstanding</v>
      </c>
      <c r="M511" s="5" t="str">
        <f>IF(Table2[[#This Row],[Advance Amount]]=Table2[[#This Row],[Expense Amount]]+Table2[[#This Row],[Return Amount]]+Table2[[#This Row],[Outstanding]],"Ok","Check")</f>
        <v>Ok</v>
      </c>
      <c r="N511" s="11">
        <f>IF(Table2[[#This Row],[Status]]="Settled",0,$Q$2-Table2[[#This Row],[Date]])</f>
        <v>114</v>
      </c>
      <c r="O511" s="5" t="str">
        <f>IF(Table2[[#This Row],[Age Days]]&lt;=7,"Normal",IF(Table2[[#This Row],[Age Days]]&lt;=14,"Perlu Dipantau",IF(Table2[[#This Row],[Age Days]]&lt;=30,"Perlu Ditindaklanjuti","Overdue")))</f>
        <v>Overdue</v>
      </c>
    </row>
    <row r="512" spans="1:15" x14ac:dyDescent="0.3">
      <c r="A512" t="s">
        <v>596</v>
      </c>
      <c r="B512" s="3">
        <v>46151</v>
      </c>
      <c r="C512" t="s">
        <v>29</v>
      </c>
      <c r="D512" t="s">
        <v>30</v>
      </c>
      <c r="E512" t="s">
        <v>13</v>
      </c>
      <c r="F512" t="s">
        <v>20</v>
      </c>
      <c r="G512" t="s">
        <v>28</v>
      </c>
      <c r="H512" s="5">
        <v>305000</v>
      </c>
      <c r="I512" s="5">
        <v>0</v>
      </c>
      <c r="J512" s="5">
        <v>0</v>
      </c>
      <c r="K512" s="5">
        <f>Table2[[#This Row],[Advance Amount]]-Table2[[#This Row],[Expense Amount]]-Table2[[#This Row],[Return Amount]]</f>
        <v>305000</v>
      </c>
      <c r="L512" s="5" t="str">
        <f>IF(Table2[[#This Row],[Outstanding]]=0,"Settled",IF(Table2[[#This Row],[Outstanding]]&gt;0,"Outstanding"))</f>
        <v>Outstanding</v>
      </c>
      <c r="M512" s="5" t="str">
        <f>IF(Table2[[#This Row],[Advance Amount]]=Table2[[#This Row],[Expense Amount]]+Table2[[#This Row],[Return Amount]]+Table2[[#This Row],[Outstanding]],"Ok","Check")</f>
        <v>Ok</v>
      </c>
      <c r="N512" s="11">
        <f>IF(Table2[[#This Row],[Status]]="Settled",0,$Q$2-Table2[[#This Row],[Date]])</f>
        <v>114</v>
      </c>
      <c r="O512" s="5" t="str">
        <f>IF(Table2[[#This Row],[Age Days]]&lt;=7,"Normal",IF(Table2[[#This Row],[Age Days]]&lt;=14,"Perlu Dipantau",IF(Table2[[#This Row],[Age Days]]&lt;=30,"Perlu Ditindaklanjuti","Overdue")))</f>
        <v>Overdue</v>
      </c>
    </row>
    <row r="513" spans="1:15" x14ac:dyDescent="0.3">
      <c r="A513" t="s">
        <v>597</v>
      </c>
      <c r="B513" s="3">
        <v>46151</v>
      </c>
      <c r="C513" t="s">
        <v>55</v>
      </c>
      <c r="D513" t="s">
        <v>56</v>
      </c>
      <c r="E513" t="s">
        <v>24</v>
      </c>
      <c r="F513" t="s">
        <v>20</v>
      </c>
      <c r="G513" t="s">
        <v>40</v>
      </c>
      <c r="H513" s="5">
        <v>225000</v>
      </c>
      <c r="I513" s="5">
        <v>175000</v>
      </c>
      <c r="J513" s="5">
        <v>50000</v>
      </c>
      <c r="K513" s="5">
        <f>Table2[[#This Row],[Advance Amount]]-Table2[[#This Row],[Expense Amount]]-Table2[[#This Row],[Return Amount]]</f>
        <v>0</v>
      </c>
      <c r="L513" s="5" t="str">
        <f>IF(Table2[[#This Row],[Outstanding]]=0,"Settled",IF(Table2[[#This Row],[Outstanding]]&gt;0,"Outstanding"))</f>
        <v>Settled</v>
      </c>
      <c r="M513" s="5" t="str">
        <f>IF(Table2[[#This Row],[Advance Amount]]=Table2[[#This Row],[Expense Amount]]+Table2[[#This Row],[Return Amount]]+Table2[[#This Row],[Outstanding]],"Ok","Check")</f>
        <v>Ok</v>
      </c>
      <c r="N513" s="11">
        <f>IF(Table2[[#This Row],[Status]]="Settled",0,$Q$2-Table2[[#This Row],[Date]])</f>
        <v>0</v>
      </c>
      <c r="O513" s="5" t="str">
        <f>IF(Table2[[#This Row],[Age Days]]&lt;=7,"Normal",IF(Table2[[#This Row],[Age Days]]&lt;=14,"Perlu Dipantau",IF(Table2[[#This Row],[Age Days]]&lt;=30,"Perlu Ditindaklanjuti","Overdue")))</f>
        <v>Normal</v>
      </c>
    </row>
    <row r="514" spans="1:15" x14ac:dyDescent="0.3">
      <c r="A514" t="s">
        <v>598</v>
      </c>
      <c r="B514" s="3">
        <v>46151</v>
      </c>
      <c r="C514" t="s">
        <v>62</v>
      </c>
      <c r="D514" t="s">
        <v>63</v>
      </c>
      <c r="E514" t="s">
        <v>52</v>
      </c>
      <c r="F514" t="s">
        <v>14</v>
      </c>
      <c r="G514" t="s">
        <v>58</v>
      </c>
      <c r="H514" s="5">
        <v>1150000</v>
      </c>
      <c r="I514" s="5">
        <v>850000</v>
      </c>
      <c r="J514" s="5">
        <v>300000</v>
      </c>
      <c r="K514" s="5">
        <f>Table2[[#This Row],[Advance Amount]]-Table2[[#This Row],[Expense Amount]]-Table2[[#This Row],[Return Amount]]</f>
        <v>0</v>
      </c>
      <c r="L514" s="5" t="str">
        <f>IF(Table2[[#This Row],[Outstanding]]=0,"Settled",IF(Table2[[#This Row],[Outstanding]]&gt;0,"Outstanding"))</f>
        <v>Settled</v>
      </c>
      <c r="M514" s="5" t="str">
        <f>IF(Table2[[#This Row],[Advance Amount]]=Table2[[#This Row],[Expense Amount]]+Table2[[#This Row],[Return Amount]]+Table2[[#This Row],[Outstanding]],"Ok","Check")</f>
        <v>Ok</v>
      </c>
      <c r="N514" s="11">
        <f>IF(Table2[[#This Row],[Status]]="Settled",0,$Q$2-Table2[[#This Row],[Date]])</f>
        <v>0</v>
      </c>
      <c r="O514" s="5" t="str">
        <f>IF(Table2[[#This Row],[Age Days]]&lt;=7,"Normal",IF(Table2[[#This Row],[Age Days]]&lt;=14,"Perlu Dipantau",IF(Table2[[#This Row],[Age Days]]&lt;=30,"Perlu Ditindaklanjuti","Overdue")))</f>
        <v>Normal</v>
      </c>
    </row>
    <row r="515" spans="1:15" x14ac:dyDescent="0.3">
      <c r="A515" t="s">
        <v>599</v>
      </c>
      <c r="B515" s="3">
        <v>46152</v>
      </c>
      <c r="C515" t="s">
        <v>46</v>
      </c>
      <c r="D515" t="s">
        <v>47</v>
      </c>
      <c r="E515" t="s">
        <v>37</v>
      </c>
      <c r="F515" t="s">
        <v>20</v>
      </c>
      <c r="G515" t="s">
        <v>57</v>
      </c>
      <c r="H515" s="5">
        <v>155000</v>
      </c>
      <c r="I515" s="5">
        <v>125000</v>
      </c>
      <c r="J515" s="5">
        <v>30000</v>
      </c>
      <c r="K515" s="5">
        <f>Table2[[#This Row],[Advance Amount]]-Table2[[#This Row],[Expense Amount]]-Table2[[#This Row],[Return Amount]]</f>
        <v>0</v>
      </c>
      <c r="L515" s="5" t="str">
        <f>IF(Table2[[#This Row],[Outstanding]]=0,"Settled",IF(Table2[[#This Row],[Outstanding]]&gt;0,"Outstanding"))</f>
        <v>Settled</v>
      </c>
      <c r="M515" s="5" t="str">
        <f>IF(Table2[[#This Row],[Advance Amount]]=Table2[[#This Row],[Expense Amount]]+Table2[[#This Row],[Return Amount]]+Table2[[#This Row],[Outstanding]],"Ok","Check")</f>
        <v>Ok</v>
      </c>
      <c r="N515" s="11">
        <f>IF(Table2[[#This Row],[Status]]="Settled",0,$Q$2-Table2[[#This Row],[Date]])</f>
        <v>0</v>
      </c>
      <c r="O515" s="5" t="str">
        <f>IF(Table2[[#This Row],[Age Days]]&lt;=7,"Normal",IF(Table2[[#This Row],[Age Days]]&lt;=14,"Perlu Dipantau",IF(Table2[[#This Row],[Age Days]]&lt;=30,"Perlu Ditindaklanjuti","Overdue")))</f>
        <v>Normal</v>
      </c>
    </row>
    <row r="516" spans="1:15" x14ac:dyDescent="0.3">
      <c r="A516" t="s">
        <v>600</v>
      </c>
      <c r="B516" s="3">
        <v>46152</v>
      </c>
      <c r="C516" t="s">
        <v>32</v>
      </c>
      <c r="D516" t="s">
        <v>33</v>
      </c>
      <c r="E516" t="s">
        <v>27</v>
      </c>
      <c r="F516" t="s">
        <v>20</v>
      </c>
      <c r="G516" t="s">
        <v>58</v>
      </c>
      <c r="H516" s="5">
        <v>225000</v>
      </c>
      <c r="I516" s="5">
        <v>175000</v>
      </c>
      <c r="J516" s="5">
        <v>50000</v>
      </c>
      <c r="K516" s="5">
        <f>Table2[[#This Row],[Advance Amount]]-Table2[[#This Row],[Expense Amount]]-Table2[[#This Row],[Return Amount]]</f>
        <v>0</v>
      </c>
      <c r="L516" s="5" t="str">
        <f>IF(Table2[[#This Row],[Outstanding]]=0,"Settled",IF(Table2[[#This Row],[Outstanding]]&gt;0,"Outstanding"))</f>
        <v>Settled</v>
      </c>
      <c r="M516" s="5" t="str">
        <f>IF(Table2[[#This Row],[Advance Amount]]=Table2[[#This Row],[Expense Amount]]+Table2[[#This Row],[Return Amount]]+Table2[[#This Row],[Outstanding]],"Ok","Check")</f>
        <v>Ok</v>
      </c>
      <c r="N516" s="11">
        <f>IF(Table2[[#This Row],[Status]]="Settled",0,$Q$2-Table2[[#This Row],[Date]])</f>
        <v>0</v>
      </c>
      <c r="O516" s="5" t="str">
        <f>IF(Table2[[#This Row],[Age Days]]&lt;=7,"Normal",IF(Table2[[#This Row],[Age Days]]&lt;=14,"Perlu Dipantau",IF(Table2[[#This Row],[Age Days]]&lt;=30,"Perlu Ditindaklanjuti","Overdue")))</f>
        <v>Normal</v>
      </c>
    </row>
    <row r="517" spans="1:15" x14ac:dyDescent="0.3">
      <c r="A517" t="s">
        <v>601</v>
      </c>
      <c r="B517" s="3">
        <v>46152</v>
      </c>
      <c r="C517" t="s">
        <v>62</v>
      </c>
      <c r="D517" t="s">
        <v>63</v>
      </c>
      <c r="E517" t="s">
        <v>52</v>
      </c>
      <c r="F517" t="s">
        <v>20</v>
      </c>
      <c r="G517" t="s">
        <v>58</v>
      </c>
      <c r="H517" s="5">
        <v>325000</v>
      </c>
      <c r="I517" s="5">
        <v>300000</v>
      </c>
      <c r="J517" s="5">
        <v>25000</v>
      </c>
      <c r="K517" s="5">
        <f>Table2[[#This Row],[Advance Amount]]-Table2[[#This Row],[Expense Amount]]-Table2[[#This Row],[Return Amount]]</f>
        <v>0</v>
      </c>
      <c r="L517" s="5" t="str">
        <f>IF(Table2[[#This Row],[Outstanding]]=0,"Settled",IF(Table2[[#This Row],[Outstanding]]&gt;0,"Outstanding"))</f>
        <v>Settled</v>
      </c>
      <c r="M517" s="5" t="str">
        <f>IF(Table2[[#This Row],[Advance Amount]]=Table2[[#This Row],[Expense Amount]]+Table2[[#This Row],[Return Amount]]+Table2[[#This Row],[Outstanding]],"Ok","Check")</f>
        <v>Ok</v>
      </c>
      <c r="N517" s="11">
        <f>IF(Table2[[#This Row],[Status]]="Settled",0,$Q$2-Table2[[#This Row],[Date]])</f>
        <v>0</v>
      </c>
      <c r="O517" s="5" t="str">
        <f>IF(Table2[[#This Row],[Age Days]]&lt;=7,"Normal",IF(Table2[[#This Row],[Age Days]]&lt;=14,"Perlu Dipantau",IF(Table2[[#This Row],[Age Days]]&lt;=30,"Perlu Ditindaklanjuti","Overdue")))</f>
        <v>Normal</v>
      </c>
    </row>
    <row r="518" spans="1:15" x14ac:dyDescent="0.3">
      <c r="A518" t="s">
        <v>602</v>
      </c>
      <c r="B518" s="3">
        <v>46152</v>
      </c>
      <c r="C518" t="s">
        <v>11</v>
      </c>
      <c r="D518" t="s">
        <v>12</v>
      </c>
      <c r="E518" t="s">
        <v>13</v>
      </c>
      <c r="F518" t="s">
        <v>20</v>
      </c>
      <c r="G518" t="s">
        <v>58</v>
      </c>
      <c r="H518" s="5">
        <v>250000</v>
      </c>
      <c r="I518" s="5">
        <v>0</v>
      </c>
      <c r="J518" s="5">
        <v>0</v>
      </c>
      <c r="K518" s="5">
        <f>Table2[[#This Row],[Advance Amount]]-Table2[[#This Row],[Expense Amount]]-Table2[[#This Row],[Return Amount]]</f>
        <v>250000</v>
      </c>
      <c r="L518" s="5" t="str">
        <f>IF(Table2[[#This Row],[Outstanding]]=0,"Settled",IF(Table2[[#This Row],[Outstanding]]&gt;0,"Outstanding"))</f>
        <v>Outstanding</v>
      </c>
      <c r="M518" s="5" t="str">
        <f>IF(Table2[[#This Row],[Advance Amount]]=Table2[[#This Row],[Expense Amount]]+Table2[[#This Row],[Return Amount]]+Table2[[#This Row],[Outstanding]],"Ok","Check")</f>
        <v>Ok</v>
      </c>
      <c r="N518" s="11">
        <f>IF(Table2[[#This Row],[Status]]="Settled",0,$Q$2-Table2[[#This Row],[Date]])</f>
        <v>113</v>
      </c>
      <c r="O518" s="5" t="str">
        <f>IF(Table2[[#This Row],[Age Days]]&lt;=7,"Normal",IF(Table2[[#This Row],[Age Days]]&lt;=14,"Perlu Dipantau",IF(Table2[[#This Row],[Age Days]]&lt;=30,"Perlu Ditindaklanjuti","Overdue")))</f>
        <v>Overdue</v>
      </c>
    </row>
    <row r="519" spans="1:15" x14ac:dyDescent="0.3">
      <c r="A519" t="s">
        <v>603</v>
      </c>
      <c r="B519" s="3">
        <v>46152</v>
      </c>
      <c r="C519" t="s">
        <v>35</v>
      </c>
      <c r="D519" t="s">
        <v>36</v>
      </c>
      <c r="E519" t="s">
        <v>37</v>
      </c>
      <c r="F519" t="s">
        <v>20</v>
      </c>
      <c r="G519" t="s">
        <v>34</v>
      </c>
      <c r="H519" s="5">
        <v>550000</v>
      </c>
      <c r="I519" s="5">
        <v>450000</v>
      </c>
      <c r="J519" s="5">
        <v>100000</v>
      </c>
      <c r="K519" s="5">
        <f>Table2[[#This Row],[Advance Amount]]-Table2[[#This Row],[Expense Amount]]-Table2[[#This Row],[Return Amount]]</f>
        <v>0</v>
      </c>
      <c r="L519" s="5" t="str">
        <f>IF(Table2[[#This Row],[Outstanding]]=0,"Settled",IF(Table2[[#This Row],[Outstanding]]&gt;0,"Outstanding"))</f>
        <v>Settled</v>
      </c>
      <c r="M519" s="5" t="str">
        <f>IF(Table2[[#This Row],[Advance Amount]]=Table2[[#This Row],[Expense Amount]]+Table2[[#This Row],[Return Amount]]+Table2[[#This Row],[Outstanding]],"Ok","Check")</f>
        <v>Ok</v>
      </c>
      <c r="N519" s="11">
        <f>IF(Table2[[#This Row],[Status]]="Settled",0,$Q$2-Table2[[#This Row],[Date]])</f>
        <v>0</v>
      </c>
      <c r="O519" s="5" t="str">
        <f>IF(Table2[[#This Row],[Age Days]]&lt;=7,"Normal",IF(Table2[[#This Row],[Age Days]]&lt;=14,"Perlu Dipantau",IF(Table2[[#This Row],[Age Days]]&lt;=30,"Perlu Ditindaklanjuti","Overdue")))</f>
        <v>Normal</v>
      </c>
    </row>
    <row r="520" spans="1:15" x14ac:dyDescent="0.3">
      <c r="A520" t="s">
        <v>604</v>
      </c>
      <c r="B520" s="3">
        <v>46152</v>
      </c>
      <c r="C520" t="s">
        <v>44</v>
      </c>
      <c r="D520" t="s">
        <v>45</v>
      </c>
      <c r="E520" t="s">
        <v>43</v>
      </c>
      <c r="F520" t="s">
        <v>14</v>
      </c>
      <c r="G520" t="s">
        <v>31</v>
      </c>
      <c r="H520" s="5">
        <v>1450000</v>
      </c>
      <c r="I520" s="5">
        <v>0</v>
      </c>
      <c r="J520" s="5">
        <v>0</v>
      </c>
      <c r="K520" s="5">
        <f>Table2[[#This Row],[Advance Amount]]-Table2[[#This Row],[Expense Amount]]-Table2[[#This Row],[Return Amount]]</f>
        <v>1450000</v>
      </c>
      <c r="L520" s="5" t="str">
        <f>IF(Table2[[#This Row],[Outstanding]]=0,"Settled",IF(Table2[[#This Row],[Outstanding]]&gt;0,"Outstanding"))</f>
        <v>Outstanding</v>
      </c>
      <c r="M520" s="5" t="str">
        <f>IF(Table2[[#This Row],[Advance Amount]]=Table2[[#This Row],[Expense Amount]]+Table2[[#This Row],[Return Amount]]+Table2[[#This Row],[Outstanding]],"Ok","Check")</f>
        <v>Ok</v>
      </c>
      <c r="N520" s="11">
        <f>IF(Table2[[#This Row],[Status]]="Settled",0,$Q$2-Table2[[#This Row],[Date]])</f>
        <v>113</v>
      </c>
      <c r="O520" s="5" t="str">
        <f>IF(Table2[[#This Row],[Age Days]]&lt;=7,"Normal",IF(Table2[[#This Row],[Age Days]]&lt;=14,"Perlu Dipantau",IF(Table2[[#This Row],[Age Days]]&lt;=30,"Perlu Ditindaklanjuti","Overdue")))</f>
        <v>Overdue</v>
      </c>
    </row>
    <row r="521" spans="1:15" x14ac:dyDescent="0.3">
      <c r="A521" t="s">
        <v>605</v>
      </c>
      <c r="B521" s="3">
        <v>46153</v>
      </c>
      <c r="C521" t="s">
        <v>32</v>
      </c>
      <c r="D521" t="s">
        <v>33</v>
      </c>
      <c r="E521" t="s">
        <v>27</v>
      </c>
      <c r="F521" t="s">
        <v>20</v>
      </c>
      <c r="G521" t="s">
        <v>40</v>
      </c>
      <c r="H521" s="5">
        <v>725000</v>
      </c>
      <c r="I521" s="5">
        <v>700000</v>
      </c>
      <c r="J521" s="5">
        <v>25000</v>
      </c>
      <c r="K521" s="5">
        <f>Table2[[#This Row],[Advance Amount]]-Table2[[#This Row],[Expense Amount]]-Table2[[#This Row],[Return Amount]]</f>
        <v>0</v>
      </c>
      <c r="L521" s="5" t="str">
        <f>IF(Table2[[#This Row],[Outstanding]]=0,"Settled",IF(Table2[[#This Row],[Outstanding]]&gt;0,"Outstanding"))</f>
        <v>Settled</v>
      </c>
      <c r="M521" s="5" t="str">
        <f>IF(Table2[[#This Row],[Advance Amount]]=Table2[[#This Row],[Expense Amount]]+Table2[[#This Row],[Return Amount]]+Table2[[#This Row],[Outstanding]],"Ok","Check")</f>
        <v>Ok</v>
      </c>
      <c r="N521" s="11">
        <f>IF(Table2[[#This Row],[Status]]="Settled",0,$Q$2-Table2[[#This Row],[Date]])</f>
        <v>0</v>
      </c>
      <c r="O521" s="5" t="str">
        <f>IF(Table2[[#This Row],[Age Days]]&lt;=7,"Normal",IF(Table2[[#This Row],[Age Days]]&lt;=14,"Perlu Dipantau",IF(Table2[[#This Row],[Age Days]]&lt;=30,"Perlu Ditindaklanjuti","Overdue")))</f>
        <v>Normal</v>
      </c>
    </row>
    <row r="522" spans="1:15" x14ac:dyDescent="0.3">
      <c r="A522" t="s">
        <v>606</v>
      </c>
      <c r="B522" s="3">
        <v>46153</v>
      </c>
      <c r="C522" t="s">
        <v>44</v>
      </c>
      <c r="D522" t="s">
        <v>45</v>
      </c>
      <c r="E522" t="s">
        <v>43</v>
      </c>
      <c r="F522" t="s">
        <v>14</v>
      </c>
      <c r="G522" t="s">
        <v>28</v>
      </c>
      <c r="H522" s="5">
        <v>455000</v>
      </c>
      <c r="I522" s="5">
        <v>350000</v>
      </c>
      <c r="J522" s="5">
        <v>105000</v>
      </c>
      <c r="K522" s="5">
        <f>Table2[[#This Row],[Advance Amount]]-Table2[[#This Row],[Expense Amount]]-Table2[[#This Row],[Return Amount]]</f>
        <v>0</v>
      </c>
      <c r="L522" s="5" t="str">
        <f>IF(Table2[[#This Row],[Outstanding]]=0,"Settled",IF(Table2[[#This Row],[Outstanding]]&gt;0,"Outstanding"))</f>
        <v>Settled</v>
      </c>
      <c r="M522" s="5" t="str">
        <f>IF(Table2[[#This Row],[Advance Amount]]=Table2[[#This Row],[Expense Amount]]+Table2[[#This Row],[Return Amount]]+Table2[[#This Row],[Outstanding]],"Ok","Check")</f>
        <v>Ok</v>
      </c>
      <c r="N522" s="11">
        <f>IF(Table2[[#This Row],[Status]]="Settled",0,$Q$2-Table2[[#This Row],[Date]])</f>
        <v>0</v>
      </c>
      <c r="O522" s="5" t="str">
        <f>IF(Table2[[#This Row],[Age Days]]&lt;=7,"Normal",IF(Table2[[#This Row],[Age Days]]&lt;=14,"Perlu Dipantau",IF(Table2[[#This Row],[Age Days]]&lt;=30,"Perlu Ditindaklanjuti","Overdue")))</f>
        <v>Normal</v>
      </c>
    </row>
    <row r="523" spans="1:15" x14ac:dyDescent="0.3">
      <c r="A523" t="s">
        <v>607</v>
      </c>
      <c r="B523" s="3">
        <v>46153</v>
      </c>
      <c r="C523" t="s">
        <v>64</v>
      </c>
      <c r="D523" t="s">
        <v>65</v>
      </c>
      <c r="E523" t="s">
        <v>37</v>
      </c>
      <c r="F523" t="s">
        <v>20</v>
      </c>
      <c r="G523" t="s">
        <v>34</v>
      </c>
      <c r="H523" s="5">
        <v>600000</v>
      </c>
      <c r="I523" s="5">
        <v>450000</v>
      </c>
      <c r="J523" s="5">
        <v>150000</v>
      </c>
      <c r="K523" s="5">
        <f>Table2[[#This Row],[Advance Amount]]-Table2[[#This Row],[Expense Amount]]-Table2[[#This Row],[Return Amount]]</f>
        <v>0</v>
      </c>
      <c r="L523" s="5" t="str">
        <f>IF(Table2[[#This Row],[Outstanding]]=0,"Settled",IF(Table2[[#This Row],[Outstanding]]&gt;0,"Outstanding"))</f>
        <v>Settled</v>
      </c>
      <c r="M523" s="5" t="str">
        <f>IF(Table2[[#This Row],[Advance Amount]]=Table2[[#This Row],[Expense Amount]]+Table2[[#This Row],[Return Amount]]+Table2[[#This Row],[Outstanding]],"Ok","Check")</f>
        <v>Ok</v>
      </c>
      <c r="N523" s="11">
        <f>IF(Table2[[#This Row],[Status]]="Settled",0,$Q$2-Table2[[#This Row],[Date]])</f>
        <v>0</v>
      </c>
      <c r="O523" s="5" t="str">
        <f>IF(Table2[[#This Row],[Age Days]]&lt;=7,"Normal",IF(Table2[[#This Row],[Age Days]]&lt;=14,"Perlu Dipantau",IF(Table2[[#This Row],[Age Days]]&lt;=30,"Perlu Ditindaklanjuti","Overdue")))</f>
        <v>Normal</v>
      </c>
    </row>
    <row r="524" spans="1:15" x14ac:dyDescent="0.3">
      <c r="A524" t="s">
        <v>608</v>
      </c>
      <c r="B524" s="3">
        <v>46153</v>
      </c>
      <c r="C524" t="s">
        <v>22</v>
      </c>
      <c r="D524" t="s">
        <v>23</v>
      </c>
      <c r="E524" t="s">
        <v>24</v>
      </c>
      <c r="F524" t="s">
        <v>14</v>
      </c>
      <c r="G524" t="s">
        <v>31</v>
      </c>
      <c r="H524" s="5">
        <v>525000</v>
      </c>
      <c r="I524" s="5">
        <v>375000</v>
      </c>
      <c r="J524" s="5">
        <v>150000</v>
      </c>
      <c r="K524" s="5">
        <f>Table2[[#This Row],[Advance Amount]]-Table2[[#This Row],[Expense Amount]]-Table2[[#This Row],[Return Amount]]</f>
        <v>0</v>
      </c>
      <c r="L524" s="5" t="str">
        <f>IF(Table2[[#This Row],[Outstanding]]=0,"Settled",IF(Table2[[#This Row],[Outstanding]]&gt;0,"Outstanding"))</f>
        <v>Settled</v>
      </c>
      <c r="M524" s="5" t="str">
        <f>IF(Table2[[#This Row],[Advance Amount]]=Table2[[#This Row],[Expense Amount]]+Table2[[#This Row],[Return Amount]]+Table2[[#This Row],[Outstanding]],"Ok","Check")</f>
        <v>Ok</v>
      </c>
      <c r="N524" s="11">
        <f>IF(Table2[[#This Row],[Status]]="Settled",0,$Q$2-Table2[[#This Row],[Date]])</f>
        <v>0</v>
      </c>
      <c r="O524" s="5" t="str">
        <f>IF(Table2[[#This Row],[Age Days]]&lt;=7,"Normal",IF(Table2[[#This Row],[Age Days]]&lt;=14,"Perlu Dipantau",IF(Table2[[#This Row],[Age Days]]&lt;=30,"Perlu Ditindaklanjuti","Overdue")))</f>
        <v>Normal</v>
      </c>
    </row>
    <row r="525" spans="1:15" x14ac:dyDescent="0.3">
      <c r="A525" t="s">
        <v>609</v>
      </c>
      <c r="B525" s="3">
        <v>46153</v>
      </c>
      <c r="C525" t="s">
        <v>22</v>
      </c>
      <c r="D525" t="s">
        <v>23</v>
      </c>
      <c r="E525" t="s">
        <v>24</v>
      </c>
      <c r="F525" t="s">
        <v>14</v>
      </c>
      <c r="G525" t="s">
        <v>15</v>
      </c>
      <c r="H525" s="5">
        <v>3525000</v>
      </c>
      <c r="I525" s="5">
        <v>0</v>
      </c>
      <c r="J525" s="5">
        <v>0</v>
      </c>
      <c r="K525" s="5">
        <f>Table2[[#This Row],[Advance Amount]]-Table2[[#This Row],[Expense Amount]]-Table2[[#This Row],[Return Amount]]</f>
        <v>3525000</v>
      </c>
      <c r="L525" s="5" t="str">
        <f>IF(Table2[[#This Row],[Outstanding]]=0,"Settled",IF(Table2[[#This Row],[Outstanding]]&gt;0,"Outstanding"))</f>
        <v>Outstanding</v>
      </c>
      <c r="M525" s="5" t="str">
        <f>IF(Table2[[#This Row],[Advance Amount]]=Table2[[#This Row],[Expense Amount]]+Table2[[#This Row],[Return Amount]]+Table2[[#This Row],[Outstanding]],"Ok","Check")</f>
        <v>Ok</v>
      </c>
      <c r="N525" s="11">
        <f>IF(Table2[[#This Row],[Status]]="Settled",0,$Q$2-Table2[[#This Row],[Date]])</f>
        <v>112</v>
      </c>
      <c r="O525" s="5" t="str">
        <f>IF(Table2[[#This Row],[Age Days]]&lt;=7,"Normal",IF(Table2[[#This Row],[Age Days]]&lt;=14,"Perlu Dipantau",IF(Table2[[#This Row],[Age Days]]&lt;=30,"Perlu Ditindaklanjuti","Overdue")))</f>
        <v>Overdue</v>
      </c>
    </row>
    <row r="526" spans="1:15" x14ac:dyDescent="0.3">
      <c r="A526" t="s">
        <v>610</v>
      </c>
      <c r="B526" s="3">
        <v>46153</v>
      </c>
      <c r="C526" t="s">
        <v>59</v>
      </c>
      <c r="D526" t="s">
        <v>60</v>
      </c>
      <c r="E526" t="s">
        <v>19</v>
      </c>
      <c r="F526" t="s">
        <v>14</v>
      </c>
      <c r="G526" t="s">
        <v>57</v>
      </c>
      <c r="H526" s="5">
        <v>205000</v>
      </c>
      <c r="I526" s="5">
        <v>200000</v>
      </c>
      <c r="J526" s="5">
        <v>5000</v>
      </c>
      <c r="K526" s="5">
        <f>Table2[[#This Row],[Advance Amount]]-Table2[[#This Row],[Expense Amount]]-Table2[[#This Row],[Return Amount]]</f>
        <v>0</v>
      </c>
      <c r="L526" s="5" t="str">
        <f>IF(Table2[[#This Row],[Outstanding]]=0,"Settled",IF(Table2[[#This Row],[Outstanding]]&gt;0,"Outstanding"))</f>
        <v>Settled</v>
      </c>
      <c r="M526" s="5" t="str">
        <f>IF(Table2[[#This Row],[Advance Amount]]=Table2[[#This Row],[Expense Amount]]+Table2[[#This Row],[Return Amount]]+Table2[[#This Row],[Outstanding]],"Ok","Check")</f>
        <v>Ok</v>
      </c>
      <c r="N526" s="11">
        <f>IF(Table2[[#This Row],[Status]]="Settled",0,$Q$2-Table2[[#This Row],[Date]])</f>
        <v>0</v>
      </c>
      <c r="O526" s="5" t="str">
        <f>IF(Table2[[#This Row],[Age Days]]&lt;=7,"Normal",IF(Table2[[#This Row],[Age Days]]&lt;=14,"Perlu Dipantau",IF(Table2[[#This Row],[Age Days]]&lt;=30,"Perlu Ditindaklanjuti","Overdue")))</f>
        <v>Normal</v>
      </c>
    </row>
    <row r="527" spans="1:15" x14ac:dyDescent="0.3">
      <c r="A527" t="s">
        <v>611</v>
      </c>
      <c r="B527" s="3">
        <v>46153</v>
      </c>
      <c r="C527" t="s">
        <v>59</v>
      </c>
      <c r="D527" t="s">
        <v>60</v>
      </c>
      <c r="E527" t="s">
        <v>19</v>
      </c>
      <c r="F527" t="s">
        <v>14</v>
      </c>
      <c r="G527" t="s">
        <v>57</v>
      </c>
      <c r="H527" s="5">
        <v>30000</v>
      </c>
      <c r="I527" s="5">
        <v>25000</v>
      </c>
      <c r="J527" s="5">
        <v>5000</v>
      </c>
      <c r="K527" s="5">
        <f>Table2[[#This Row],[Advance Amount]]-Table2[[#This Row],[Expense Amount]]-Table2[[#This Row],[Return Amount]]</f>
        <v>0</v>
      </c>
      <c r="L527" s="5" t="str">
        <f>IF(Table2[[#This Row],[Outstanding]]=0,"Settled",IF(Table2[[#This Row],[Outstanding]]&gt;0,"Outstanding"))</f>
        <v>Settled</v>
      </c>
      <c r="M527" s="5" t="str">
        <f>IF(Table2[[#This Row],[Advance Amount]]=Table2[[#This Row],[Expense Amount]]+Table2[[#This Row],[Return Amount]]+Table2[[#This Row],[Outstanding]],"Ok","Check")</f>
        <v>Ok</v>
      </c>
      <c r="N527" s="11">
        <f>IF(Table2[[#This Row],[Status]]="Settled",0,$Q$2-Table2[[#This Row],[Date]])</f>
        <v>0</v>
      </c>
      <c r="O527" s="5" t="str">
        <f>IF(Table2[[#This Row],[Age Days]]&lt;=7,"Normal",IF(Table2[[#This Row],[Age Days]]&lt;=14,"Perlu Dipantau",IF(Table2[[#This Row],[Age Days]]&lt;=30,"Perlu Ditindaklanjuti","Overdue")))</f>
        <v>Normal</v>
      </c>
    </row>
    <row r="528" spans="1:15" x14ac:dyDescent="0.3">
      <c r="A528" t="s">
        <v>612</v>
      </c>
      <c r="B528" s="3">
        <v>46154</v>
      </c>
      <c r="C528" t="s">
        <v>22</v>
      </c>
      <c r="D528" t="s">
        <v>23</v>
      </c>
      <c r="E528" t="s">
        <v>24</v>
      </c>
      <c r="F528" t="s">
        <v>14</v>
      </c>
      <c r="G528" t="s">
        <v>34</v>
      </c>
      <c r="H528" s="5">
        <v>250000</v>
      </c>
      <c r="I528" s="5">
        <v>0</v>
      </c>
      <c r="J528" s="5">
        <v>0</v>
      </c>
      <c r="K528" s="5">
        <f>Table2[[#This Row],[Advance Amount]]-Table2[[#This Row],[Expense Amount]]-Table2[[#This Row],[Return Amount]]</f>
        <v>250000</v>
      </c>
      <c r="L528" s="5" t="str">
        <f>IF(Table2[[#This Row],[Outstanding]]=0,"Settled",IF(Table2[[#This Row],[Outstanding]]&gt;0,"Outstanding"))</f>
        <v>Outstanding</v>
      </c>
      <c r="M528" s="5" t="str">
        <f>IF(Table2[[#This Row],[Advance Amount]]=Table2[[#This Row],[Expense Amount]]+Table2[[#This Row],[Return Amount]]+Table2[[#This Row],[Outstanding]],"Ok","Check")</f>
        <v>Ok</v>
      </c>
      <c r="N528" s="11">
        <f>IF(Table2[[#This Row],[Status]]="Settled",0,$Q$2-Table2[[#This Row],[Date]])</f>
        <v>111</v>
      </c>
      <c r="O528" s="5" t="str">
        <f>IF(Table2[[#This Row],[Age Days]]&lt;=7,"Normal",IF(Table2[[#This Row],[Age Days]]&lt;=14,"Perlu Dipantau",IF(Table2[[#This Row],[Age Days]]&lt;=30,"Perlu Ditindaklanjuti","Overdue")))</f>
        <v>Overdue</v>
      </c>
    </row>
    <row r="529" spans="1:15" x14ac:dyDescent="0.3">
      <c r="A529" t="s">
        <v>613</v>
      </c>
      <c r="B529" s="3">
        <v>46154</v>
      </c>
      <c r="C529" t="s">
        <v>25</v>
      </c>
      <c r="D529" t="s">
        <v>26</v>
      </c>
      <c r="E529" t="s">
        <v>27</v>
      </c>
      <c r="F529" t="s">
        <v>14</v>
      </c>
      <c r="G529" t="s">
        <v>31</v>
      </c>
      <c r="H529" s="5">
        <v>500000</v>
      </c>
      <c r="I529" s="5">
        <v>375000</v>
      </c>
      <c r="J529" s="5">
        <v>125000</v>
      </c>
      <c r="K529" s="5">
        <f>Table2[[#This Row],[Advance Amount]]-Table2[[#This Row],[Expense Amount]]-Table2[[#This Row],[Return Amount]]</f>
        <v>0</v>
      </c>
      <c r="L529" s="5" t="str">
        <f>IF(Table2[[#This Row],[Outstanding]]=0,"Settled",IF(Table2[[#This Row],[Outstanding]]&gt;0,"Outstanding"))</f>
        <v>Settled</v>
      </c>
      <c r="M529" s="5" t="str">
        <f>IF(Table2[[#This Row],[Advance Amount]]=Table2[[#This Row],[Expense Amount]]+Table2[[#This Row],[Return Amount]]+Table2[[#This Row],[Outstanding]],"Ok","Check")</f>
        <v>Ok</v>
      </c>
      <c r="N529" s="11">
        <f>IF(Table2[[#This Row],[Status]]="Settled",0,$Q$2-Table2[[#This Row],[Date]])</f>
        <v>0</v>
      </c>
      <c r="O529" s="5" t="str">
        <f>IF(Table2[[#This Row],[Age Days]]&lt;=7,"Normal",IF(Table2[[#This Row],[Age Days]]&lt;=14,"Perlu Dipantau",IF(Table2[[#This Row],[Age Days]]&lt;=30,"Perlu Ditindaklanjuti","Overdue")))</f>
        <v>Normal</v>
      </c>
    </row>
    <row r="530" spans="1:15" x14ac:dyDescent="0.3">
      <c r="A530" t="s">
        <v>614</v>
      </c>
      <c r="B530" s="3">
        <v>46155</v>
      </c>
      <c r="C530" t="s">
        <v>44</v>
      </c>
      <c r="D530" t="s">
        <v>45</v>
      </c>
      <c r="E530" t="s">
        <v>43</v>
      </c>
      <c r="F530" t="s">
        <v>20</v>
      </c>
      <c r="G530" t="s">
        <v>28</v>
      </c>
      <c r="H530" s="5">
        <v>30000</v>
      </c>
      <c r="I530" s="5">
        <v>25000</v>
      </c>
      <c r="J530" s="5">
        <v>5000</v>
      </c>
      <c r="K530" s="5">
        <f>Table2[[#This Row],[Advance Amount]]-Table2[[#This Row],[Expense Amount]]-Table2[[#This Row],[Return Amount]]</f>
        <v>0</v>
      </c>
      <c r="L530" s="5" t="str">
        <f>IF(Table2[[#This Row],[Outstanding]]=0,"Settled",IF(Table2[[#This Row],[Outstanding]]&gt;0,"Outstanding"))</f>
        <v>Settled</v>
      </c>
      <c r="M530" s="5" t="str">
        <f>IF(Table2[[#This Row],[Advance Amount]]=Table2[[#This Row],[Expense Amount]]+Table2[[#This Row],[Return Amount]]+Table2[[#This Row],[Outstanding]],"Ok","Check")</f>
        <v>Ok</v>
      </c>
      <c r="N530" s="11">
        <f>IF(Table2[[#This Row],[Status]]="Settled",0,$Q$2-Table2[[#This Row],[Date]])</f>
        <v>0</v>
      </c>
      <c r="O530" s="5" t="str">
        <f>IF(Table2[[#This Row],[Age Days]]&lt;=7,"Normal",IF(Table2[[#This Row],[Age Days]]&lt;=14,"Perlu Dipantau",IF(Table2[[#This Row],[Age Days]]&lt;=30,"Perlu Ditindaklanjuti","Overdue")))</f>
        <v>Normal</v>
      </c>
    </row>
    <row r="531" spans="1:15" x14ac:dyDescent="0.3">
      <c r="A531" t="s">
        <v>615</v>
      </c>
      <c r="B531" s="3">
        <v>46155</v>
      </c>
      <c r="C531" t="s">
        <v>44</v>
      </c>
      <c r="D531" t="s">
        <v>45</v>
      </c>
      <c r="E531" t="s">
        <v>43</v>
      </c>
      <c r="F531" t="s">
        <v>20</v>
      </c>
      <c r="G531" t="s">
        <v>57</v>
      </c>
      <c r="H531" s="5">
        <v>405000</v>
      </c>
      <c r="I531" s="5">
        <v>0</v>
      </c>
      <c r="J531" s="5">
        <v>0</v>
      </c>
      <c r="K531" s="5">
        <f>Table2[[#This Row],[Advance Amount]]-Table2[[#This Row],[Expense Amount]]-Table2[[#This Row],[Return Amount]]</f>
        <v>405000</v>
      </c>
      <c r="L531" s="5" t="str">
        <f>IF(Table2[[#This Row],[Outstanding]]=0,"Settled",IF(Table2[[#This Row],[Outstanding]]&gt;0,"Outstanding"))</f>
        <v>Outstanding</v>
      </c>
      <c r="M531" s="5" t="str">
        <f>IF(Table2[[#This Row],[Advance Amount]]=Table2[[#This Row],[Expense Amount]]+Table2[[#This Row],[Return Amount]]+Table2[[#This Row],[Outstanding]],"Ok","Check")</f>
        <v>Ok</v>
      </c>
      <c r="N531" s="11">
        <f>IF(Table2[[#This Row],[Status]]="Settled",0,$Q$2-Table2[[#This Row],[Date]])</f>
        <v>110</v>
      </c>
      <c r="O531" s="5" t="str">
        <f>IF(Table2[[#This Row],[Age Days]]&lt;=7,"Normal",IF(Table2[[#This Row],[Age Days]]&lt;=14,"Perlu Dipantau",IF(Table2[[#This Row],[Age Days]]&lt;=30,"Perlu Ditindaklanjuti","Overdue")))</f>
        <v>Overdue</v>
      </c>
    </row>
    <row r="532" spans="1:15" x14ac:dyDescent="0.3">
      <c r="A532" t="s">
        <v>616</v>
      </c>
      <c r="B532" s="3">
        <v>46156</v>
      </c>
      <c r="C532" t="s">
        <v>55</v>
      </c>
      <c r="D532" t="s">
        <v>56</v>
      </c>
      <c r="E532" t="s">
        <v>24</v>
      </c>
      <c r="F532" t="s">
        <v>14</v>
      </c>
      <c r="G532" t="s">
        <v>28</v>
      </c>
      <c r="H532" s="5">
        <v>155000</v>
      </c>
      <c r="I532" s="5">
        <v>125000</v>
      </c>
      <c r="J532" s="5">
        <v>30000</v>
      </c>
      <c r="K532" s="5">
        <f>Table2[[#This Row],[Advance Amount]]-Table2[[#This Row],[Expense Amount]]-Table2[[#This Row],[Return Amount]]</f>
        <v>0</v>
      </c>
      <c r="L532" s="5" t="str">
        <f>IF(Table2[[#This Row],[Outstanding]]=0,"Settled",IF(Table2[[#This Row],[Outstanding]]&gt;0,"Outstanding"))</f>
        <v>Settled</v>
      </c>
      <c r="M532" s="5" t="str">
        <f>IF(Table2[[#This Row],[Advance Amount]]=Table2[[#This Row],[Expense Amount]]+Table2[[#This Row],[Return Amount]]+Table2[[#This Row],[Outstanding]],"Ok","Check")</f>
        <v>Ok</v>
      </c>
      <c r="N532" s="11">
        <f>IF(Table2[[#This Row],[Status]]="Settled",0,$Q$2-Table2[[#This Row],[Date]])</f>
        <v>0</v>
      </c>
      <c r="O532" s="5" t="str">
        <f>IF(Table2[[#This Row],[Age Days]]&lt;=7,"Normal",IF(Table2[[#This Row],[Age Days]]&lt;=14,"Perlu Dipantau",IF(Table2[[#This Row],[Age Days]]&lt;=30,"Perlu Ditindaklanjuti","Overdue")))</f>
        <v>Normal</v>
      </c>
    </row>
    <row r="533" spans="1:15" x14ac:dyDescent="0.3">
      <c r="A533" t="s">
        <v>617</v>
      </c>
      <c r="B533" s="3">
        <v>46156</v>
      </c>
      <c r="C533" t="s">
        <v>62</v>
      </c>
      <c r="D533" t="s">
        <v>63</v>
      </c>
      <c r="E533" t="s">
        <v>52</v>
      </c>
      <c r="F533" t="s">
        <v>20</v>
      </c>
      <c r="G533" t="s">
        <v>40</v>
      </c>
      <c r="H533" s="5">
        <v>525000</v>
      </c>
      <c r="I533" s="5">
        <v>525000</v>
      </c>
      <c r="J533" s="5">
        <v>0</v>
      </c>
      <c r="K533" s="5">
        <f>Table2[[#This Row],[Advance Amount]]-Table2[[#This Row],[Expense Amount]]-Table2[[#This Row],[Return Amount]]</f>
        <v>0</v>
      </c>
      <c r="L533" s="5" t="str">
        <f>IF(Table2[[#This Row],[Outstanding]]=0,"Settled",IF(Table2[[#This Row],[Outstanding]]&gt;0,"Outstanding"))</f>
        <v>Settled</v>
      </c>
      <c r="M533" s="5" t="str">
        <f>IF(Table2[[#This Row],[Advance Amount]]=Table2[[#This Row],[Expense Amount]]+Table2[[#This Row],[Return Amount]]+Table2[[#This Row],[Outstanding]],"Ok","Check")</f>
        <v>Ok</v>
      </c>
      <c r="N533" s="11">
        <f>IF(Table2[[#This Row],[Status]]="Settled",0,$Q$2-Table2[[#This Row],[Date]])</f>
        <v>0</v>
      </c>
      <c r="O533" s="5" t="str">
        <f>IF(Table2[[#This Row],[Age Days]]&lt;=7,"Normal",IF(Table2[[#This Row],[Age Days]]&lt;=14,"Perlu Dipantau",IF(Table2[[#This Row],[Age Days]]&lt;=30,"Perlu Ditindaklanjuti","Overdue")))</f>
        <v>Normal</v>
      </c>
    </row>
    <row r="534" spans="1:15" x14ac:dyDescent="0.3">
      <c r="A534" t="s">
        <v>618</v>
      </c>
      <c r="B534" s="3">
        <v>46156</v>
      </c>
      <c r="C534" t="s">
        <v>41</v>
      </c>
      <c r="D534" t="s">
        <v>42</v>
      </c>
      <c r="E534" t="s">
        <v>43</v>
      </c>
      <c r="F534" t="s">
        <v>14</v>
      </c>
      <c r="G534" t="s">
        <v>34</v>
      </c>
      <c r="H534" s="5">
        <v>100000</v>
      </c>
      <c r="I534" s="5">
        <v>0</v>
      </c>
      <c r="J534" s="5">
        <v>0</v>
      </c>
      <c r="K534" s="5">
        <f>Table2[[#This Row],[Advance Amount]]-Table2[[#This Row],[Expense Amount]]-Table2[[#This Row],[Return Amount]]</f>
        <v>100000</v>
      </c>
      <c r="L534" s="5" t="str">
        <f>IF(Table2[[#This Row],[Outstanding]]=0,"Settled",IF(Table2[[#This Row],[Outstanding]]&gt;0,"Outstanding"))</f>
        <v>Outstanding</v>
      </c>
      <c r="M534" s="5" t="str">
        <f>IF(Table2[[#This Row],[Advance Amount]]=Table2[[#This Row],[Expense Amount]]+Table2[[#This Row],[Return Amount]]+Table2[[#This Row],[Outstanding]],"Ok","Check")</f>
        <v>Ok</v>
      </c>
      <c r="N534" s="11">
        <f>IF(Table2[[#This Row],[Status]]="Settled",0,$Q$2-Table2[[#This Row],[Date]])</f>
        <v>109</v>
      </c>
      <c r="O534" s="5" t="str">
        <f>IF(Table2[[#This Row],[Age Days]]&lt;=7,"Normal",IF(Table2[[#This Row],[Age Days]]&lt;=14,"Perlu Dipantau",IF(Table2[[#This Row],[Age Days]]&lt;=30,"Perlu Ditindaklanjuti","Overdue")))</f>
        <v>Overdue</v>
      </c>
    </row>
    <row r="535" spans="1:15" x14ac:dyDescent="0.3">
      <c r="A535" t="s">
        <v>619</v>
      </c>
      <c r="B535" s="3">
        <v>46156</v>
      </c>
      <c r="C535" t="s">
        <v>11</v>
      </c>
      <c r="D535" t="s">
        <v>12</v>
      </c>
      <c r="E535" t="s">
        <v>13</v>
      </c>
      <c r="F535" t="s">
        <v>14</v>
      </c>
      <c r="G535" t="s">
        <v>58</v>
      </c>
      <c r="H535" s="5">
        <v>925000</v>
      </c>
      <c r="I535" s="5">
        <v>0</v>
      </c>
      <c r="J535" s="5">
        <v>0</v>
      </c>
      <c r="K535" s="5">
        <f>Table2[[#This Row],[Advance Amount]]-Table2[[#This Row],[Expense Amount]]-Table2[[#This Row],[Return Amount]]</f>
        <v>925000</v>
      </c>
      <c r="L535" s="5" t="str">
        <f>IF(Table2[[#This Row],[Outstanding]]=0,"Settled",IF(Table2[[#This Row],[Outstanding]]&gt;0,"Outstanding"))</f>
        <v>Outstanding</v>
      </c>
      <c r="M535" s="5" t="str">
        <f>IF(Table2[[#This Row],[Advance Amount]]=Table2[[#This Row],[Expense Amount]]+Table2[[#This Row],[Return Amount]]+Table2[[#This Row],[Outstanding]],"Ok","Check")</f>
        <v>Ok</v>
      </c>
      <c r="N535" s="11">
        <f>IF(Table2[[#This Row],[Status]]="Settled",0,$Q$2-Table2[[#This Row],[Date]])</f>
        <v>109</v>
      </c>
      <c r="O535" s="5" t="str">
        <f>IF(Table2[[#This Row],[Age Days]]&lt;=7,"Normal",IF(Table2[[#This Row],[Age Days]]&lt;=14,"Perlu Dipantau",IF(Table2[[#This Row],[Age Days]]&lt;=30,"Perlu Ditindaklanjuti","Overdue")))</f>
        <v>Overdue</v>
      </c>
    </row>
    <row r="536" spans="1:15" x14ac:dyDescent="0.3">
      <c r="A536" t="s">
        <v>620</v>
      </c>
      <c r="B536" s="3">
        <v>46157</v>
      </c>
      <c r="C536" t="s">
        <v>55</v>
      </c>
      <c r="D536" t="s">
        <v>56</v>
      </c>
      <c r="E536" t="s">
        <v>24</v>
      </c>
      <c r="F536" t="s">
        <v>20</v>
      </c>
      <c r="G536" t="s">
        <v>31</v>
      </c>
      <c r="H536" s="5">
        <v>850000</v>
      </c>
      <c r="I536" s="5">
        <v>0</v>
      </c>
      <c r="J536" s="5">
        <v>0</v>
      </c>
      <c r="K536" s="5">
        <f>Table2[[#This Row],[Advance Amount]]-Table2[[#This Row],[Expense Amount]]-Table2[[#This Row],[Return Amount]]</f>
        <v>850000</v>
      </c>
      <c r="L536" s="5" t="str">
        <f>IF(Table2[[#This Row],[Outstanding]]=0,"Settled",IF(Table2[[#This Row],[Outstanding]]&gt;0,"Outstanding"))</f>
        <v>Outstanding</v>
      </c>
      <c r="M536" s="5" t="str">
        <f>IF(Table2[[#This Row],[Advance Amount]]=Table2[[#This Row],[Expense Amount]]+Table2[[#This Row],[Return Amount]]+Table2[[#This Row],[Outstanding]],"Ok","Check")</f>
        <v>Ok</v>
      </c>
      <c r="N536" s="11">
        <f>IF(Table2[[#This Row],[Status]]="Settled",0,$Q$2-Table2[[#This Row],[Date]])</f>
        <v>108</v>
      </c>
      <c r="O536" s="5" t="str">
        <f>IF(Table2[[#This Row],[Age Days]]&lt;=7,"Normal",IF(Table2[[#This Row],[Age Days]]&lt;=14,"Perlu Dipantau",IF(Table2[[#This Row],[Age Days]]&lt;=30,"Perlu Ditindaklanjuti","Overdue")))</f>
        <v>Overdue</v>
      </c>
    </row>
    <row r="537" spans="1:15" x14ac:dyDescent="0.3">
      <c r="A537" t="s">
        <v>621</v>
      </c>
      <c r="B537" s="3">
        <v>46157</v>
      </c>
      <c r="C537" t="s">
        <v>41</v>
      </c>
      <c r="D537" t="s">
        <v>42</v>
      </c>
      <c r="E537" t="s">
        <v>43</v>
      </c>
      <c r="F537" t="s">
        <v>20</v>
      </c>
      <c r="G537" t="s">
        <v>57</v>
      </c>
      <c r="H537" s="5">
        <v>105000</v>
      </c>
      <c r="I537" s="5">
        <v>100000</v>
      </c>
      <c r="J537" s="5">
        <v>5000</v>
      </c>
      <c r="K537" s="5">
        <f>Table2[[#This Row],[Advance Amount]]-Table2[[#This Row],[Expense Amount]]-Table2[[#This Row],[Return Amount]]</f>
        <v>0</v>
      </c>
      <c r="L537" s="5" t="str">
        <f>IF(Table2[[#This Row],[Outstanding]]=0,"Settled",IF(Table2[[#This Row],[Outstanding]]&gt;0,"Outstanding"))</f>
        <v>Settled</v>
      </c>
      <c r="M537" s="5" t="str">
        <f>IF(Table2[[#This Row],[Advance Amount]]=Table2[[#This Row],[Expense Amount]]+Table2[[#This Row],[Return Amount]]+Table2[[#This Row],[Outstanding]],"Ok","Check")</f>
        <v>Ok</v>
      </c>
      <c r="N537" s="11">
        <f>IF(Table2[[#This Row],[Status]]="Settled",0,$Q$2-Table2[[#This Row],[Date]])</f>
        <v>0</v>
      </c>
      <c r="O537" s="5" t="str">
        <f>IF(Table2[[#This Row],[Age Days]]&lt;=7,"Normal",IF(Table2[[#This Row],[Age Days]]&lt;=14,"Perlu Dipantau",IF(Table2[[#This Row],[Age Days]]&lt;=30,"Perlu Ditindaklanjuti","Overdue")))</f>
        <v>Normal</v>
      </c>
    </row>
    <row r="538" spans="1:15" x14ac:dyDescent="0.3">
      <c r="A538" t="s">
        <v>622</v>
      </c>
      <c r="B538" s="3">
        <v>46157</v>
      </c>
      <c r="C538" t="s">
        <v>41</v>
      </c>
      <c r="D538" t="s">
        <v>42</v>
      </c>
      <c r="E538" t="s">
        <v>43</v>
      </c>
      <c r="F538" t="s">
        <v>20</v>
      </c>
      <c r="G538" t="s">
        <v>61</v>
      </c>
      <c r="H538" s="5">
        <v>700000</v>
      </c>
      <c r="I538" s="5">
        <v>525000</v>
      </c>
      <c r="J538" s="5">
        <v>175000</v>
      </c>
      <c r="K538" s="5">
        <f>Table2[[#This Row],[Advance Amount]]-Table2[[#This Row],[Expense Amount]]-Table2[[#This Row],[Return Amount]]</f>
        <v>0</v>
      </c>
      <c r="L538" s="5" t="str">
        <f>IF(Table2[[#This Row],[Outstanding]]=0,"Settled",IF(Table2[[#This Row],[Outstanding]]&gt;0,"Outstanding"))</f>
        <v>Settled</v>
      </c>
      <c r="M538" s="5" t="str">
        <f>IF(Table2[[#This Row],[Advance Amount]]=Table2[[#This Row],[Expense Amount]]+Table2[[#This Row],[Return Amount]]+Table2[[#This Row],[Outstanding]],"Ok","Check")</f>
        <v>Ok</v>
      </c>
      <c r="N538" s="11">
        <f>IF(Table2[[#This Row],[Status]]="Settled",0,$Q$2-Table2[[#This Row],[Date]])</f>
        <v>0</v>
      </c>
      <c r="O538" s="5" t="str">
        <f>IF(Table2[[#This Row],[Age Days]]&lt;=7,"Normal",IF(Table2[[#This Row],[Age Days]]&lt;=14,"Perlu Dipantau",IF(Table2[[#This Row],[Age Days]]&lt;=30,"Perlu Ditindaklanjuti","Overdue")))</f>
        <v>Normal</v>
      </c>
    </row>
    <row r="539" spans="1:15" x14ac:dyDescent="0.3">
      <c r="A539" t="s">
        <v>623</v>
      </c>
      <c r="B539" s="3">
        <v>46157</v>
      </c>
      <c r="C539" t="s">
        <v>41</v>
      </c>
      <c r="D539" t="s">
        <v>42</v>
      </c>
      <c r="E539" t="s">
        <v>43</v>
      </c>
      <c r="F539" t="s">
        <v>14</v>
      </c>
      <c r="G539" t="s">
        <v>28</v>
      </c>
      <c r="H539" s="5">
        <v>280000</v>
      </c>
      <c r="I539" s="5">
        <v>250000</v>
      </c>
      <c r="J539" s="5">
        <v>30000</v>
      </c>
      <c r="K539" s="5">
        <f>Table2[[#This Row],[Advance Amount]]-Table2[[#This Row],[Expense Amount]]-Table2[[#This Row],[Return Amount]]</f>
        <v>0</v>
      </c>
      <c r="L539" s="5" t="str">
        <f>IF(Table2[[#This Row],[Outstanding]]=0,"Settled",IF(Table2[[#This Row],[Outstanding]]&gt;0,"Outstanding"))</f>
        <v>Settled</v>
      </c>
      <c r="M539" s="5" t="str">
        <f>IF(Table2[[#This Row],[Advance Amount]]=Table2[[#This Row],[Expense Amount]]+Table2[[#This Row],[Return Amount]]+Table2[[#This Row],[Outstanding]],"Ok","Check")</f>
        <v>Ok</v>
      </c>
      <c r="N539" s="11">
        <f>IF(Table2[[#This Row],[Status]]="Settled",0,$Q$2-Table2[[#This Row],[Date]])</f>
        <v>0</v>
      </c>
      <c r="O539" s="5" t="str">
        <f>IF(Table2[[#This Row],[Age Days]]&lt;=7,"Normal",IF(Table2[[#This Row],[Age Days]]&lt;=14,"Perlu Dipantau",IF(Table2[[#This Row],[Age Days]]&lt;=30,"Perlu Ditindaklanjuti","Overdue")))</f>
        <v>Normal</v>
      </c>
    </row>
    <row r="540" spans="1:15" x14ac:dyDescent="0.3">
      <c r="A540" t="s">
        <v>624</v>
      </c>
      <c r="B540" s="3">
        <v>46157</v>
      </c>
      <c r="C540" t="s">
        <v>59</v>
      </c>
      <c r="D540" t="s">
        <v>60</v>
      </c>
      <c r="E540" t="s">
        <v>19</v>
      </c>
      <c r="F540" t="s">
        <v>20</v>
      </c>
      <c r="G540" t="s">
        <v>61</v>
      </c>
      <c r="H540" s="5">
        <v>175000</v>
      </c>
      <c r="I540" s="5">
        <v>125000</v>
      </c>
      <c r="J540" s="5">
        <v>50000</v>
      </c>
      <c r="K540" s="5">
        <f>Table2[[#This Row],[Advance Amount]]-Table2[[#This Row],[Expense Amount]]-Table2[[#This Row],[Return Amount]]</f>
        <v>0</v>
      </c>
      <c r="L540" s="5" t="str">
        <f>IF(Table2[[#This Row],[Outstanding]]=0,"Settled",IF(Table2[[#This Row],[Outstanding]]&gt;0,"Outstanding"))</f>
        <v>Settled</v>
      </c>
      <c r="M540" s="5" t="str">
        <f>IF(Table2[[#This Row],[Advance Amount]]=Table2[[#This Row],[Expense Amount]]+Table2[[#This Row],[Return Amount]]+Table2[[#This Row],[Outstanding]],"Ok","Check")</f>
        <v>Ok</v>
      </c>
      <c r="N540" s="11">
        <f>IF(Table2[[#This Row],[Status]]="Settled",0,$Q$2-Table2[[#This Row],[Date]])</f>
        <v>0</v>
      </c>
      <c r="O540" s="5" t="str">
        <f>IF(Table2[[#This Row],[Age Days]]&lt;=7,"Normal",IF(Table2[[#This Row],[Age Days]]&lt;=14,"Perlu Dipantau",IF(Table2[[#This Row],[Age Days]]&lt;=30,"Perlu Ditindaklanjuti","Overdue")))</f>
        <v>Normal</v>
      </c>
    </row>
    <row r="541" spans="1:15" x14ac:dyDescent="0.3">
      <c r="A541" t="s">
        <v>625</v>
      </c>
      <c r="B541" s="3">
        <v>46158</v>
      </c>
      <c r="C541" t="s">
        <v>29</v>
      </c>
      <c r="D541" t="s">
        <v>30</v>
      </c>
      <c r="E541" t="s">
        <v>13</v>
      </c>
      <c r="F541" t="s">
        <v>14</v>
      </c>
      <c r="G541" t="s">
        <v>34</v>
      </c>
      <c r="H541" s="5">
        <v>575000</v>
      </c>
      <c r="I541" s="5">
        <v>425000</v>
      </c>
      <c r="J541" s="5">
        <v>150000</v>
      </c>
      <c r="K541" s="5">
        <f>Table2[[#This Row],[Advance Amount]]-Table2[[#This Row],[Expense Amount]]-Table2[[#This Row],[Return Amount]]</f>
        <v>0</v>
      </c>
      <c r="L541" s="5" t="str">
        <f>IF(Table2[[#This Row],[Outstanding]]=0,"Settled",IF(Table2[[#This Row],[Outstanding]]&gt;0,"Outstanding"))</f>
        <v>Settled</v>
      </c>
      <c r="M541" s="5" t="str">
        <f>IF(Table2[[#This Row],[Advance Amount]]=Table2[[#This Row],[Expense Amount]]+Table2[[#This Row],[Return Amount]]+Table2[[#This Row],[Outstanding]],"Ok","Check")</f>
        <v>Ok</v>
      </c>
      <c r="N541" s="11">
        <f>IF(Table2[[#This Row],[Status]]="Settled",0,$Q$2-Table2[[#This Row],[Date]])</f>
        <v>0</v>
      </c>
      <c r="O541" s="5" t="str">
        <f>IF(Table2[[#This Row],[Age Days]]&lt;=7,"Normal",IF(Table2[[#This Row],[Age Days]]&lt;=14,"Perlu Dipantau",IF(Table2[[#This Row],[Age Days]]&lt;=30,"Perlu Ditindaklanjuti","Overdue")))</f>
        <v>Normal</v>
      </c>
    </row>
    <row r="542" spans="1:15" x14ac:dyDescent="0.3">
      <c r="A542" t="s">
        <v>626</v>
      </c>
      <c r="B542" s="3">
        <v>46158</v>
      </c>
      <c r="C542" t="s">
        <v>32</v>
      </c>
      <c r="D542" t="s">
        <v>33</v>
      </c>
      <c r="E542" t="s">
        <v>27</v>
      </c>
      <c r="F542" t="s">
        <v>14</v>
      </c>
      <c r="G542" t="s">
        <v>58</v>
      </c>
      <c r="H542" s="5">
        <v>250000</v>
      </c>
      <c r="I542" s="5">
        <v>250000</v>
      </c>
      <c r="J542" s="5">
        <v>0</v>
      </c>
      <c r="K542" s="5">
        <f>Table2[[#This Row],[Advance Amount]]-Table2[[#This Row],[Expense Amount]]-Table2[[#This Row],[Return Amount]]</f>
        <v>0</v>
      </c>
      <c r="L542" s="5" t="str">
        <f>IF(Table2[[#This Row],[Outstanding]]=0,"Settled",IF(Table2[[#This Row],[Outstanding]]&gt;0,"Outstanding"))</f>
        <v>Settled</v>
      </c>
      <c r="M542" s="5" t="str">
        <f>IF(Table2[[#This Row],[Advance Amount]]=Table2[[#This Row],[Expense Amount]]+Table2[[#This Row],[Return Amount]]+Table2[[#This Row],[Outstanding]],"Ok","Check")</f>
        <v>Ok</v>
      </c>
      <c r="N542" s="11">
        <f>IF(Table2[[#This Row],[Status]]="Settled",0,$Q$2-Table2[[#This Row],[Date]])</f>
        <v>0</v>
      </c>
      <c r="O542" s="5" t="str">
        <f>IF(Table2[[#This Row],[Age Days]]&lt;=7,"Normal",IF(Table2[[#This Row],[Age Days]]&lt;=14,"Perlu Dipantau",IF(Table2[[#This Row],[Age Days]]&lt;=30,"Perlu Ditindaklanjuti","Overdue")))</f>
        <v>Normal</v>
      </c>
    </row>
    <row r="543" spans="1:15" x14ac:dyDescent="0.3">
      <c r="A543" t="s">
        <v>627</v>
      </c>
      <c r="B543" s="3">
        <v>46158</v>
      </c>
      <c r="C543" t="s">
        <v>32</v>
      </c>
      <c r="D543" t="s">
        <v>33</v>
      </c>
      <c r="E543" t="s">
        <v>27</v>
      </c>
      <c r="F543" t="s">
        <v>20</v>
      </c>
      <c r="G543" t="s">
        <v>28</v>
      </c>
      <c r="H543" s="5">
        <v>330000</v>
      </c>
      <c r="I543" s="5">
        <v>300000</v>
      </c>
      <c r="J543" s="5">
        <v>30000</v>
      </c>
      <c r="K543" s="5">
        <f>Table2[[#This Row],[Advance Amount]]-Table2[[#This Row],[Expense Amount]]-Table2[[#This Row],[Return Amount]]</f>
        <v>0</v>
      </c>
      <c r="L543" s="5" t="str">
        <f>IF(Table2[[#This Row],[Outstanding]]=0,"Settled",IF(Table2[[#This Row],[Outstanding]]&gt;0,"Outstanding"))</f>
        <v>Settled</v>
      </c>
      <c r="M543" s="5" t="str">
        <f>IF(Table2[[#This Row],[Advance Amount]]=Table2[[#This Row],[Expense Amount]]+Table2[[#This Row],[Return Amount]]+Table2[[#This Row],[Outstanding]],"Ok","Check")</f>
        <v>Ok</v>
      </c>
      <c r="N543" s="11">
        <f>IF(Table2[[#This Row],[Status]]="Settled",0,$Q$2-Table2[[#This Row],[Date]])</f>
        <v>0</v>
      </c>
      <c r="O543" s="5" t="str">
        <f>IF(Table2[[#This Row],[Age Days]]&lt;=7,"Normal",IF(Table2[[#This Row],[Age Days]]&lt;=14,"Perlu Dipantau",IF(Table2[[#This Row],[Age Days]]&lt;=30,"Perlu Ditindaklanjuti","Overdue")))</f>
        <v>Normal</v>
      </c>
    </row>
    <row r="544" spans="1:15" x14ac:dyDescent="0.3">
      <c r="A544" t="s">
        <v>628</v>
      </c>
      <c r="B544" s="3">
        <v>46158</v>
      </c>
      <c r="C544" t="s">
        <v>66</v>
      </c>
      <c r="D544" t="s">
        <v>67</v>
      </c>
      <c r="E544" t="s">
        <v>13</v>
      </c>
      <c r="F544" t="s">
        <v>14</v>
      </c>
      <c r="G544" t="s">
        <v>61</v>
      </c>
      <c r="H544" s="5">
        <v>700000</v>
      </c>
      <c r="I544" s="5">
        <v>625000</v>
      </c>
      <c r="J544" s="5">
        <v>75000</v>
      </c>
      <c r="K544" s="5">
        <f>Table2[[#This Row],[Advance Amount]]-Table2[[#This Row],[Expense Amount]]-Table2[[#This Row],[Return Amount]]</f>
        <v>0</v>
      </c>
      <c r="L544" s="5" t="str">
        <f>IF(Table2[[#This Row],[Outstanding]]=0,"Settled",IF(Table2[[#This Row],[Outstanding]]&gt;0,"Outstanding"))</f>
        <v>Settled</v>
      </c>
      <c r="M544" s="5" t="str">
        <f>IF(Table2[[#This Row],[Advance Amount]]=Table2[[#This Row],[Expense Amount]]+Table2[[#This Row],[Return Amount]]+Table2[[#This Row],[Outstanding]],"Ok","Check")</f>
        <v>Ok</v>
      </c>
      <c r="N544" s="11">
        <f>IF(Table2[[#This Row],[Status]]="Settled",0,$Q$2-Table2[[#This Row],[Date]])</f>
        <v>0</v>
      </c>
      <c r="O544" s="5" t="str">
        <f>IF(Table2[[#This Row],[Age Days]]&lt;=7,"Normal",IF(Table2[[#This Row],[Age Days]]&lt;=14,"Perlu Dipantau",IF(Table2[[#This Row],[Age Days]]&lt;=30,"Perlu Ditindaklanjuti","Overdue")))</f>
        <v>Normal</v>
      </c>
    </row>
    <row r="545" spans="1:15" x14ac:dyDescent="0.3">
      <c r="A545" t="s">
        <v>629</v>
      </c>
      <c r="B545" s="3">
        <v>46159</v>
      </c>
      <c r="C545" t="s">
        <v>44</v>
      </c>
      <c r="D545" t="s">
        <v>45</v>
      </c>
      <c r="E545" t="s">
        <v>43</v>
      </c>
      <c r="F545" t="s">
        <v>20</v>
      </c>
      <c r="G545" t="s">
        <v>15</v>
      </c>
      <c r="H545" s="5">
        <v>1550000</v>
      </c>
      <c r="I545" s="5">
        <v>0</v>
      </c>
      <c r="J545" s="5">
        <v>0</v>
      </c>
      <c r="K545" s="5">
        <f>Table2[[#This Row],[Advance Amount]]-Table2[[#This Row],[Expense Amount]]-Table2[[#This Row],[Return Amount]]</f>
        <v>1550000</v>
      </c>
      <c r="L545" s="5" t="str">
        <f>IF(Table2[[#This Row],[Outstanding]]=0,"Settled",IF(Table2[[#This Row],[Outstanding]]&gt;0,"Outstanding"))</f>
        <v>Outstanding</v>
      </c>
      <c r="M545" s="5" t="str">
        <f>IF(Table2[[#This Row],[Advance Amount]]=Table2[[#This Row],[Expense Amount]]+Table2[[#This Row],[Return Amount]]+Table2[[#This Row],[Outstanding]],"Ok","Check")</f>
        <v>Ok</v>
      </c>
      <c r="N545" s="11">
        <f>IF(Table2[[#This Row],[Status]]="Settled",0,$Q$2-Table2[[#This Row],[Date]])</f>
        <v>106</v>
      </c>
      <c r="O545" s="5" t="str">
        <f>IF(Table2[[#This Row],[Age Days]]&lt;=7,"Normal",IF(Table2[[#This Row],[Age Days]]&lt;=14,"Perlu Dipantau",IF(Table2[[#This Row],[Age Days]]&lt;=30,"Perlu Ditindaklanjuti","Overdue")))</f>
        <v>Overdue</v>
      </c>
    </row>
    <row r="546" spans="1:15" x14ac:dyDescent="0.3">
      <c r="A546" t="s">
        <v>630</v>
      </c>
      <c r="B546" s="3">
        <v>46159</v>
      </c>
      <c r="C546" t="s">
        <v>17</v>
      </c>
      <c r="D546" t="s">
        <v>18</v>
      </c>
      <c r="E546" t="s">
        <v>19</v>
      </c>
      <c r="F546" t="s">
        <v>14</v>
      </c>
      <c r="G546" t="s">
        <v>31</v>
      </c>
      <c r="H546" s="5">
        <v>1425000</v>
      </c>
      <c r="I546" s="5">
        <v>1025000</v>
      </c>
      <c r="J546" s="5">
        <v>400000</v>
      </c>
      <c r="K546" s="5">
        <f>Table2[[#This Row],[Advance Amount]]-Table2[[#This Row],[Expense Amount]]-Table2[[#This Row],[Return Amount]]</f>
        <v>0</v>
      </c>
      <c r="L546" s="5" t="str">
        <f>IF(Table2[[#This Row],[Outstanding]]=0,"Settled",IF(Table2[[#This Row],[Outstanding]]&gt;0,"Outstanding"))</f>
        <v>Settled</v>
      </c>
      <c r="M546" s="5" t="str">
        <f>IF(Table2[[#This Row],[Advance Amount]]=Table2[[#This Row],[Expense Amount]]+Table2[[#This Row],[Return Amount]]+Table2[[#This Row],[Outstanding]],"Ok","Check")</f>
        <v>Ok</v>
      </c>
      <c r="N546" s="11">
        <f>IF(Table2[[#This Row],[Status]]="Settled",0,$Q$2-Table2[[#This Row],[Date]])</f>
        <v>0</v>
      </c>
      <c r="O546" s="5" t="str">
        <f>IF(Table2[[#This Row],[Age Days]]&lt;=7,"Normal",IF(Table2[[#This Row],[Age Days]]&lt;=14,"Perlu Dipantau",IF(Table2[[#This Row],[Age Days]]&lt;=30,"Perlu Ditindaklanjuti","Overdue")))</f>
        <v>Normal</v>
      </c>
    </row>
    <row r="547" spans="1:15" x14ac:dyDescent="0.3">
      <c r="A547" t="s">
        <v>631</v>
      </c>
      <c r="B547" s="3">
        <v>46159</v>
      </c>
      <c r="C547" t="s">
        <v>17</v>
      </c>
      <c r="D547" t="s">
        <v>18</v>
      </c>
      <c r="E547" t="s">
        <v>19</v>
      </c>
      <c r="F547" t="s">
        <v>14</v>
      </c>
      <c r="G547" t="s">
        <v>40</v>
      </c>
      <c r="H547" s="5">
        <v>300000</v>
      </c>
      <c r="I547" s="5">
        <v>225000</v>
      </c>
      <c r="J547" s="5">
        <v>75000</v>
      </c>
      <c r="K547" s="5">
        <f>Table2[[#This Row],[Advance Amount]]-Table2[[#This Row],[Expense Amount]]-Table2[[#This Row],[Return Amount]]</f>
        <v>0</v>
      </c>
      <c r="L547" s="5" t="str">
        <f>IF(Table2[[#This Row],[Outstanding]]=0,"Settled",IF(Table2[[#This Row],[Outstanding]]&gt;0,"Outstanding"))</f>
        <v>Settled</v>
      </c>
      <c r="M547" s="5" t="str">
        <f>IF(Table2[[#This Row],[Advance Amount]]=Table2[[#This Row],[Expense Amount]]+Table2[[#This Row],[Return Amount]]+Table2[[#This Row],[Outstanding]],"Ok","Check")</f>
        <v>Ok</v>
      </c>
      <c r="N547" s="11">
        <f>IF(Table2[[#This Row],[Status]]="Settled",0,$Q$2-Table2[[#This Row],[Date]])</f>
        <v>0</v>
      </c>
      <c r="O547" s="5" t="str">
        <f>IF(Table2[[#This Row],[Age Days]]&lt;=7,"Normal",IF(Table2[[#This Row],[Age Days]]&lt;=14,"Perlu Dipantau",IF(Table2[[#This Row],[Age Days]]&lt;=30,"Perlu Ditindaklanjuti","Overdue")))</f>
        <v>Normal</v>
      </c>
    </row>
    <row r="548" spans="1:15" x14ac:dyDescent="0.3">
      <c r="A548" t="s">
        <v>632</v>
      </c>
      <c r="B548" s="3">
        <v>46159</v>
      </c>
      <c r="C548" t="s">
        <v>50</v>
      </c>
      <c r="D548" t="s">
        <v>51</v>
      </c>
      <c r="E548" t="s">
        <v>52</v>
      </c>
      <c r="F548" t="s">
        <v>14</v>
      </c>
      <c r="G548" t="s">
        <v>34</v>
      </c>
      <c r="H548" s="5">
        <v>400000</v>
      </c>
      <c r="I548" s="5">
        <v>350000</v>
      </c>
      <c r="J548" s="5">
        <v>50000</v>
      </c>
      <c r="K548" s="5">
        <f>Table2[[#This Row],[Advance Amount]]-Table2[[#This Row],[Expense Amount]]-Table2[[#This Row],[Return Amount]]</f>
        <v>0</v>
      </c>
      <c r="L548" s="5" t="str">
        <f>IF(Table2[[#This Row],[Outstanding]]=0,"Settled",IF(Table2[[#This Row],[Outstanding]]&gt;0,"Outstanding"))</f>
        <v>Settled</v>
      </c>
      <c r="M548" s="5" t="str">
        <f>IF(Table2[[#This Row],[Advance Amount]]=Table2[[#This Row],[Expense Amount]]+Table2[[#This Row],[Return Amount]]+Table2[[#This Row],[Outstanding]],"Ok","Check")</f>
        <v>Ok</v>
      </c>
      <c r="N548" s="11">
        <f>IF(Table2[[#This Row],[Status]]="Settled",0,$Q$2-Table2[[#This Row],[Date]])</f>
        <v>0</v>
      </c>
      <c r="O548" s="5" t="str">
        <f>IF(Table2[[#This Row],[Age Days]]&lt;=7,"Normal",IF(Table2[[#This Row],[Age Days]]&lt;=14,"Perlu Dipantau",IF(Table2[[#This Row],[Age Days]]&lt;=30,"Perlu Ditindaklanjuti","Overdue")))</f>
        <v>Normal</v>
      </c>
    </row>
    <row r="549" spans="1:15" x14ac:dyDescent="0.3">
      <c r="A549" t="s">
        <v>633</v>
      </c>
      <c r="B549" s="3">
        <v>46159</v>
      </c>
      <c r="C549" t="s">
        <v>22</v>
      </c>
      <c r="D549" t="s">
        <v>23</v>
      </c>
      <c r="E549" t="s">
        <v>24</v>
      </c>
      <c r="F549" t="s">
        <v>14</v>
      </c>
      <c r="G549" t="s">
        <v>58</v>
      </c>
      <c r="H549" s="5">
        <v>700000</v>
      </c>
      <c r="I549" s="5">
        <v>650000</v>
      </c>
      <c r="J549" s="5">
        <v>50000</v>
      </c>
      <c r="K549" s="5">
        <f>Table2[[#This Row],[Advance Amount]]-Table2[[#This Row],[Expense Amount]]-Table2[[#This Row],[Return Amount]]</f>
        <v>0</v>
      </c>
      <c r="L549" s="5" t="str">
        <f>IF(Table2[[#This Row],[Outstanding]]=0,"Settled",IF(Table2[[#This Row],[Outstanding]]&gt;0,"Outstanding"))</f>
        <v>Settled</v>
      </c>
      <c r="M549" s="5" t="str">
        <f>IF(Table2[[#This Row],[Advance Amount]]=Table2[[#This Row],[Expense Amount]]+Table2[[#This Row],[Return Amount]]+Table2[[#This Row],[Outstanding]],"Ok","Check")</f>
        <v>Ok</v>
      </c>
      <c r="N549" s="11">
        <f>IF(Table2[[#This Row],[Status]]="Settled",0,$Q$2-Table2[[#This Row],[Date]])</f>
        <v>0</v>
      </c>
      <c r="O549" s="5" t="str">
        <f>IF(Table2[[#This Row],[Age Days]]&lt;=7,"Normal",IF(Table2[[#This Row],[Age Days]]&lt;=14,"Perlu Dipantau",IF(Table2[[#This Row],[Age Days]]&lt;=30,"Perlu Ditindaklanjuti","Overdue")))</f>
        <v>Normal</v>
      </c>
    </row>
    <row r="550" spans="1:15" x14ac:dyDescent="0.3">
      <c r="A550" t="s">
        <v>634</v>
      </c>
      <c r="B550" s="3">
        <v>46159</v>
      </c>
      <c r="C550" t="s">
        <v>25</v>
      </c>
      <c r="D550" t="s">
        <v>26</v>
      </c>
      <c r="E550" t="s">
        <v>27</v>
      </c>
      <c r="F550" t="s">
        <v>14</v>
      </c>
      <c r="G550" t="s">
        <v>15</v>
      </c>
      <c r="H550" s="5">
        <v>2000000</v>
      </c>
      <c r="I550" s="5">
        <v>1600000</v>
      </c>
      <c r="J550" s="5">
        <v>400000</v>
      </c>
      <c r="K550" s="5">
        <f>Table2[[#This Row],[Advance Amount]]-Table2[[#This Row],[Expense Amount]]-Table2[[#This Row],[Return Amount]]</f>
        <v>0</v>
      </c>
      <c r="L550" s="5" t="str">
        <f>IF(Table2[[#This Row],[Outstanding]]=0,"Settled",IF(Table2[[#This Row],[Outstanding]]&gt;0,"Outstanding"))</f>
        <v>Settled</v>
      </c>
      <c r="M550" s="5" t="str">
        <f>IF(Table2[[#This Row],[Advance Amount]]=Table2[[#This Row],[Expense Amount]]+Table2[[#This Row],[Return Amount]]+Table2[[#This Row],[Outstanding]],"Ok","Check")</f>
        <v>Ok</v>
      </c>
      <c r="N550" s="11">
        <f>IF(Table2[[#This Row],[Status]]="Settled",0,$Q$2-Table2[[#This Row],[Date]])</f>
        <v>0</v>
      </c>
      <c r="O550" s="5" t="str">
        <f>IF(Table2[[#This Row],[Age Days]]&lt;=7,"Normal",IF(Table2[[#This Row],[Age Days]]&lt;=14,"Perlu Dipantau",IF(Table2[[#This Row],[Age Days]]&lt;=30,"Perlu Ditindaklanjuti","Overdue")))</f>
        <v>Normal</v>
      </c>
    </row>
    <row r="551" spans="1:15" x14ac:dyDescent="0.3">
      <c r="A551" t="s">
        <v>635</v>
      </c>
      <c r="B551" s="3">
        <v>46160</v>
      </c>
      <c r="C551" t="s">
        <v>35</v>
      </c>
      <c r="D551" t="s">
        <v>36</v>
      </c>
      <c r="E551" t="s">
        <v>37</v>
      </c>
      <c r="F551" t="s">
        <v>20</v>
      </c>
      <c r="G551" t="s">
        <v>40</v>
      </c>
      <c r="H551" s="5">
        <v>425000</v>
      </c>
      <c r="I551" s="5">
        <v>0</v>
      </c>
      <c r="J551" s="5">
        <v>0</v>
      </c>
      <c r="K551" s="5">
        <f>Table2[[#This Row],[Advance Amount]]-Table2[[#This Row],[Expense Amount]]-Table2[[#This Row],[Return Amount]]</f>
        <v>425000</v>
      </c>
      <c r="L551" s="5" t="str">
        <f>IF(Table2[[#This Row],[Outstanding]]=0,"Settled",IF(Table2[[#This Row],[Outstanding]]&gt;0,"Outstanding"))</f>
        <v>Outstanding</v>
      </c>
      <c r="M551" s="5" t="str">
        <f>IF(Table2[[#This Row],[Advance Amount]]=Table2[[#This Row],[Expense Amount]]+Table2[[#This Row],[Return Amount]]+Table2[[#This Row],[Outstanding]],"Ok","Check")</f>
        <v>Ok</v>
      </c>
      <c r="N551" s="11">
        <f>IF(Table2[[#This Row],[Status]]="Settled",0,$Q$2-Table2[[#This Row],[Date]])</f>
        <v>105</v>
      </c>
      <c r="O551" s="5" t="str">
        <f>IF(Table2[[#This Row],[Age Days]]&lt;=7,"Normal",IF(Table2[[#This Row],[Age Days]]&lt;=14,"Perlu Dipantau",IF(Table2[[#This Row],[Age Days]]&lt;=30,"Perlu Ditindaklanjuti","Overdue")))</f>
        <v>Overdue</v>
      </c>
    </row>
    <row r="552" spans="1:15" x14ac:dyDescent="0.3">
      <c r="A552" t="s">
        <v>636</v>
      </c>
      <c r="B552" s="3">
        <v>46160</v>
      </c>
      <c r="C552" t="s">
        <v>22</v>
      </c>
      <c r="D552" t="s">
        <v>23</v>
      </c>
      <c r="E552" t="s">
        <v>24</v>
      </c>
      <c r="F552" t="s">
        <v>20</v>
      </c>
      <c r="G552" t="s">
        <v>34</v>
      </c>
      <c r="H552" s="5">
        <v>175000</v>
      </c>
      <c r="I552" s="5">
        <v>0</v>
      </c>
      <c r="J552" s="5">
        <v>0</v>
      </c>
      <c r="K552" s="5">
        <f>Table2[[#This Row],[Advance Amount]]-Table2[[#This Row],[Expense Amount]]-Table2[[#This Row],[Return Amount]]</f>
        <v>175000</v>
      </c>
      <c r="L552" s="5" t="str">
        <f>IF(Table2[[#This Row],[Outstanding]]=0,"Settled",IF(Table2[[#This Row],[Outstanding]]&gt;0,"Outstanding"))</f>
        <v>Outstanding</v>
      </c>
      <c r="M552" s="5" t="str">
        <f>IF(Table2[[#This Row],[Advance Amount]]=Table2[[#This Row],[Expense Amount]]+Table2[[#This Row],[Return Amount]]+Table2[[#This Row],[Outstanding]],"Ok","Check")</f>
        <v>Ok</v>
      </c>
      <c r="N552" s="11">
        <f>IF(Table2[[#This Row],[Status]]="Settled",0,$Q$2-Table2[[#This Row],[Date]])</f>
        <v>105</v>
      </c>
      <c r="O552" s="5" t="str">
        <f>IF(Table2[[#This Row],[Age Days]]&lt;=7,"Normal",IF(Table2[[#This Row],[Age Days]]&lt;=14,"Perlu Dipantau",IF(Table2[[#This Row],[Age Days]]&lt;=30,"Perlu Ditindaklanjuti","Overdue")))</f>
        <v>Overdue</v>
      </c>
    </row>
    <row r="553" spans="1:15" x14ac:dyDescent="0.3">
      <c r="A553" t="s">
        <v>637</v>
      </c>
      <c r="B553" s="3">
        <v>46161</v>
      </c>
      <c r="C553" t="s">
        <v>48</v>
      </c>
      <c r="D553" t="s">
        <v>49</v>
      </c>
      <c r="E553" t="s">
        <v>19</v>
      </c>
      <c r="F553" t="s">
        <v>14</v>
      </c>
      <c r="G553" t="s">
        <v>34</v>
      </c>
      <c r="H553" s="5">
        <v>275000</v>
      </c>
      <c r="I553" s="5">
        <v>0</v>
      </c>
      <c r="J553" s="5">
        <v>0</v>
      </c>
      <c r="K553" s="5">
        <f>Table2[[#This Row],[Advance Amount]]-Table2[[#This Row],[Expense Amount]]-Table2[[#This Row],[Return Amount]]</f>
        <v>275000</v>
      </c>
      <c r="L553" s="5" t="str">
        <f>IF(Table2[[#This Row],[Outstanding]]=0,"Settled",IF(Table2[[#This Row],[Outstanding]]&gt;0,"Outstanding"))</f>
        <v>Outstanding</v>
      </c>
      <c r="M553" s="5" t="str">
        <f>IF(Table2[[#This Row],[Advance Amount]]=Table2[[#This Row],[Expense Amount]]+Table2[[#This Row],[Return Amount]]+Table2[[#This Row],[Outstanding]],"Ok","Check")</f>
        <v>Ok</v>
      </c>
      <c r="N553" s="11">
        <f>IF(Table2[[#This Row],[Status]]="Settled",0,$Q$2-Table2[[#This Row],[Date]])</f>
        <v>104</v>
      </c>
      <c r="O553" s="5" t="str">
        <f>IF(Table2[[#This Row],[Age Days]]&lt;=7,"Normal",IF(Table2[[#This Row],[Age Days]]&lt;=14,"Perlu Dipantau",IF(Table2[[#This Row],[Age Days]]&lt;=30,"Perlu Ditindaklanjuti","Overdue")))</f>
        <v>Overdue</v>
      </c>
    </row>
    <row r="554" spans="1:15" x14ac:dyDescent="0.3">
      <c r="A554" t="s">
        <v>638</v>
      </c>
      <c r="B554" s="3">
        <v>46161</v>
      </c>
      <c r="C554" t="s">
        <v>17</v>
      </c>
      <c r="D554" t="s">
        <v>18</v>
      </c>
      <c r="E554" t="s">
        <v>19</v>
      </c>
      <c r="F554" t="s">
        <v>20</v>
      </c>
      <c r="G554" t="s">
        <v>34</v>
      </c>
      <c r="H554" s="5">
        <v>275000</v>
      </c>
      <c r="I554" s="5">
        <v>0</v>
      </c>
      <c r="J554" s="5">
        <v>0</v>
      </c>
      <c r="K554" s="5">
        <f>Table2[[#This Row],[Advance Amount]]-Table2[[#This Row],[Expense Amount]]-Table2[[#This Row],[Return Amount]]</f>
        <v>275000</v>
      </c>
      <c r="L554" s="5" t="str">
        <f>IF(Table2[[#This Row],[Outstanding]]=0,"Settled",IF(Table2[[#This Row],[Outstanding]]&gt;0,"Outstanding"))</f>
        <v>Outstanding</v>
      </c>
      <c r="M554" s="5" t="str">
        <f>IF(Table2[[#This Row],[Advance Amount]]=Table2[[#This Row],[Expense Amount]]+Table2[[#This Row],[Return Amount]]+Table2[[#This Row],[Outstanding]],"Ok","Check")</f>
        <v>Ok</v>
      </c>
      <c r="N554" s="11">
        <f>IF(Table2[[#This Row],[Status]]="Settled",0,$Q$2-Table2[[#This Row],[Date]])</f>
        <v>104</v>
      </c>
      <c r="O554" s="5" t="str">
        <f>IF(Table2[[#This Row],[Age Days]]&lt;=7,"Normal",IF(Table2[[#This Row],[Age Days]]&lt;=14,"Perlu Dipantau",IF(Table2[[#This Row],[Age Days]]&lt;=30,"Perlu Ditindaklanjuti","Overdue")))</f>
        <v>Overdue</v>
      </c>
    </row>
    <row r="555" spans="1:15" x14ac:dyDescent="0.3">
      <c r="A555" t="s">
        <v>639</v>
      </c>
      <c r="B555" s="3">
        <v>46161</v>
      </c>
      <c r="C555" t="s">
        <v>59</v>
      </c>
      <c r="D555" t="s">
        <v>60</v>
      </c>
      <c r="E555" t="s">
        <v>19</v>
      </c>
      <c r="F555" t="s">
        <v>20</v>
      </c>
      <c r="G555" t="s">
        <v>58</v>
      </c>
      <c r="H555" s="5">
        <v>675000</v>
      </c>
      <c r="I555" s="5">
        <v>625000</v>
      </c>
      <c r="J555" s="5">
        <v>50000</v>
      </c>
      <c r="K555" s="5">
        <f>Table2[[#This Row],[Advance Amount]]-Table2[[#This Row],[Expense Amount]]-Table2[[#This Row],[Return Amount]]</f>
        <v>0</v>
      </c>
      <c r="L555" s="5" t="str">
        <f>IF(Table2[[#This Row],[Outstanding]]=0,"Settled",IF(Table2[[#This Row],[Outstanding]]&gt;0,"Outstanding"))</f>
        <v>Settled</v>
      </c>
      <c r="M555" s="5" t="str">
        <f>IF(Table2[[#This Row],[Advance Amount]]=Table2[[#This Row],[Expense Amount]]+Table2[[#This Row],[Return Amount]]+Table2[[#This Row],[Outstanding]],"Ok","Check")</f>
        <v>Ok</v>
      </c>
      <c r="N555" s="11">
        <f>IF(Table2[[#This Row],[Status]]="Settled",0,$Q$2-Table2[[#This Row],[Date]])</f>
        <v>0</v>
      </c>
      <c r="O555" s="5" t="str">
        <f>IF(Table2[[#This Row],[Age Days]]&lt;=7,"Normal",IF(Table2[[#This Row],[Age Days]]&lt;=14,"Perlu Dipantau",IF(Table2[[#This Row],[Age Days]]&lt;=30,"Perlu Ditindaklanjuti","Overdue")))</f>
        <v>Normal</v>
      </c>
    </row>
    <row r="556" spans="1:15" x14ac:dyDescent="0.3">
      <c r="A556" t="s">
        <v>640</v>
      </c>
      <c r="B556" s="3">
        <v>46161</v>
      </c>
      <c r="C556" t="s">
        <v>25</v>
      </c>
      <c r="D556" t="s">
        <v>26</v>
      </c>
      <c r="E556" t="s">
        <v>27</v>
      </c>
      <c r="F556" t="s">
        <v>14</v>
      </c>
      <c r="G556" t="s">
        <v>31</v>
      </c>
      <c r="H556" s="5">
        <v>1225000</v>
      </c>
      <c r="I556" s="5">
        <v>925000</v>
      </c>
      <c r="J556" s="5">
        <v>300000</v>
      </c>
      <c r="K556" s="5">
        <f>Table2[[#This Row],[Advance Amount]]-Table2[[#This Row],[Expense Amount]]-Table2[[#This Row],[Return Amount]]</f>
        <v>0</v>
      </c>
      <c r="L556" s="5" t="str">
        <f>IF(Table2[[#This Row],[Outstanding]]=0,"Settled",IF(Table2[[#This Row],[Outstanding]]&gt;0,"Outstanding"))</f>
        <v>Settled</v>
      </c>
      <c r="M556" s="5" t="str">
        <f>IF(Table2[[#This Row],[Advance Amount]]=Table2[[#This Row],[Expense Amount]]+Table2[[#This Row],[Return Amount]]+Table2[[#This Row],[Outstanding]],"Ok","Check")</f>
        <v>Ok</v>
      </c>
      <c r="N556" s="11">
        <f>IF(Table2[[#This Row],[Status]]="Settled",0,$Q$2-Table2[[#This Row],[Date]])</f>
        <v>0</v>
      </c>
      <c r="O556" s="5" t="str">
        <f>IF(Table2[[#This Row],[Age Days]]&lt;=7,"Normal",IF(Table2[[#This Row],[Age Days]]&lt;=14,"Perlu Dipantau",IF(Table2[[#This Row],[Age Days]]&lt;=30,"Perlu Ditindaklanjuti","Overdue")))</f>
        <v>Normal</v>
      </c>
    </row>
    <row r="557" spans="1:15" x14ac:dyDescent="0.3">
      <c r="A557" t="s">
        <v>641</v>
      </c>
      <c r="B557" s="3">
        <v>46162</v>
      </c>
      <c r="C557" t="s">
        <v>32</v>
      </c>
      <c r="D557" t="s">
        <v>33</v>
      </c>
      <c r="E557" t="s">
        <v>27</v>
      </c>
      <c r="F557" t="s">
        <v>14</v>
      </c>
      <c r="G557" t="s">
        <v>61</v>
      </c>
      <c r="H557" s="5">
        <v>600000</v>
      </c>
      <c r="I557" s="5">
        <v>575000</v>
      </c>
      <c r="J557" s="5">
        <v>25000</v>
      </c>
      <c r="K557" s="5">
        <f>Table2[[#This Row],[Advance Amount]]-Table2[[#This Row],[Expense Amount]]-Table2[[#This Row],[Return Amount]]</f>
        <v>0</v>
      </c>
      <c r="L557" s="5" t="str">
        <f>IF(Table2[[#This Row],[Outstanding]]=0,"Settled",IF(Table2[[#This Row],[Outstanding]]&gt;0,"Outstanding"))</f>
        <v>Settled</v>
      </c>
      <c r="M557" s="5" t="str">
        <f>IF(Table2[[#This Row],[Advance Amount]]=Table2[[#This Row],[Expense Amount]]+Table2[[#This Row],[Return Amount]]+Table2[[#This Row],[Outstanding]],"Ok","Check")</f>
        <v>Ok</v>
      </c>
      <c r="N557" s="11">
        <f>IF(Table2[[#This Row],[Status]]="Settled",0,$Q$2-Table2[[#This Row],[Date]])</f>
        <v>0</v>
      </c>
      <c r="O557" s="5" t="str">
        <f>IF(Table2[[#This Row],[Age Days]]&lt;=7,"Normal",IF(Table2[[#This Row],[Age Days]]&lt;=14,"Perlu Dipantau",IF(Table2[[#This Row],[Age Days]]&lt;=30,"Perlu Ditindaklanjuti","Overdue")))</f>
        <v>Normal</v>
      </c>
    </row>
    <row r="558" spans="1:15" x14ac:dyDescent="0.3">
      <c r="A558" t="s">
        <v>642</v>
      </c>
      <c r="B558" s="3">
        <v>46162</v>
      </c>
      <c r="C558" t="s">
        <v>11</v>
      </c>
      <c r="D558" t="s">
        <v>12</v>
      </c>
      <c r="E558" t="s">
        <v>13</v>
      </c>
      <c r="F558" t="s">
        <v>14</v>
      </c>
      <c r="G558" t="s">
        <v>40</v>
      </c>
      <c r="H558" s="5">
        <v>275000</v>
      </c>
      <c r="I558" s="5">
        <v>225000</v>
      </c>
      <c r="J558" s="5">
        <v>50000</v>
      </c>
      <c r="K558" s="5">
        <f>Table2[[#This Row],[Advance Amount]]-Table2[[#This Row],[Expense Amount]]-Table2[[#This Row],[Return Amount]]</f>
        <v>0</v>
      </c>
      <c r="L558" s="5" t="str">
        <f>IF(Table2[[#This Row],[Outstanding]]=0,"Settled",IF(Table2[[#This Row],[Outstanding]]&gt;0,"Outstanding"))</f>
        <v>Settled</v>
      </c>
      <c r="M558" s="5" t="str">
        <f>IF(Table2[[#This Row],[Advance Amount]]=Table2[[#This Row],[Expense Amount]]+Table2[[#This Row],[Return Amount]]+Table2[[#This Row],[Outstanding]],"Ok","Check")</f>
        <v>Ok</v>
      </c>
      <c r="N558" s="11">
        <f>IF(Table2[[#This Row],[Status]]="Settled",0,$Q$2-Table2[[#This Row],[Date]])</f>
        <v>0</v>
      </c>
      <c r="O558" s="5" t="str">
        <f>IF(Table2[[#This Row],[Age Days]]&lt;=7,"Normal",IF(Table2[[#This Row],[Age Days]]&lt;=14,"Perlu Dipantau",IF(Table2[[#This Row],[Age Days]]&lt;=30,"Perlu Ditindaklanjuti","Overdue")))</f>
        <v>Normal</v>
      </c>
    </row>
    <row r="559" spans="1:15" x14ac:dyDescent="0.3">
      <c r="A559" t="s">
        <v>643</v>
      </c>
      <c r="B559" s="3">
        <v>46162</v>
      </c>
      <c r="C559" t="s">
        <v>11</v>
      </c>
      <c r="D559" t="s">
        <v>12</v>
      </c>
      <c r="E559" t="s">
        <v>13</v>
      </c>
      <c r="F559" t="s">
        <v>14</v>
      </c>
      <c r="G559" t="s">
        <v>40</v>
      </c>
      <c r="H559" s="5">
        <v>600000</v>
      </c>
      <c r="I559" s="5">
        <v>425000</v>
      </c>
      <c r="J559" s="5">
        <v>175000</v>
      </c>
      <c r="K559" s="5">
        <f>Table2[[#This Row],[Advance Amount]]-Table2[[#This Row],[Expense Amount]]-Table2[[#This Row],[Return Amount]]</f>
        <v>0</v>
      </c>
      <c r="L559" s="5" t="str">
        <f>IF(Table2[[#This Row],[Outstanding]]=0,"Settled",IF(Table2[[#This Row],[Outstanding]]&gt;0,"Outstanding"))</f>
        <v>Settled</v>
      </c>
      <c r="M559" s="5" t="str">
        <f>IF(Table2[[#This Row],[Advance Amount]]=Table2[[#This Row],[Expense Amount]]+Table2[[#This Row],[Return Amount]]+Table2[[#This Row],[Outstanding]],"Ok","Check")</f>
        <v>Ok</v>
      </c>
      <c r="N559" s="11">
        <f>IF(Table2[[#This Row],[Status]]="Settled",0,$Q$2-Table2[[#This Row],[Date]])</f>
        <v>0</v>
      </c>
      <c r="O559" s="5" t="str">
        <f>IF(Table2[[#This Row],[Age Days]]&lt;=7,"Normal",IF(Table2[[#This Row],[Age Days]]&lt;=14,"Perlu Dipantau",IF(Table2[[#This Row],[Age Days]]&lt;=30,"Perlu Ditindaklanjuti","Overdue")))</f>
        <v>Normal</v>
      </c>
    </row>
    <row r="560" spans="1:15" x14ac:dyDescent="0.3">
      <c r="A560" t="s">
        <v>644</v>
      </c>
      <c r="B560" s="3">
        <v>46162</v>
      </c>
      <c r="C560" t="s">
        <v>35</v>
      </c>
      <c r="D560" t="s">
        <v>36</v>
      </c>
      <c r="E560" t="s">
        <v>37</v>
      </c>
      <c r="F560" t="s">
        <v>14</v>
      </c>
      <c r="G560" t="s">
        <v>40</v>
      </c>
      <c r="H560" s="5">
        <v>875000</v>
      </c>
      <c r="I560" s="5">
        <v>725000</v>
      </c>
      <c r="J560" s="5">
        <v>150000</v>
      </c>
      <c r="K560" s="5">
        <f>Table2[[#This Row],[Advance Amount]]-Table2[[#This Row],[Expense Amount]]-Table2[[#This Row],[Return Amount]]</f>
        <v>0</v>
      </c>
      <c r="L560" s="5" t="str">
        <f>IF(Table2[[#This Row],[Outstanding]]=0,"Settled",IF(Table2[[#This Row],[Outstanding]]&gt;0,"Outstanding"))</f>
        <v>Settled</v>
      </c>
      <c r="M560" s="5" t="str">
        <f>IF(Table2[[#This Row],[Advance Amount]]=Table2[[#This Row],[Expense Amount]]+Table2[[#This Row],[Return Amount]]+Table2[[#This Row],[Outstanding]],"Ok","Check")</f>
        <v>Ok</v>
      </c>
      <c r="N560" s="11">
        <f>IF(Table2[[#This Row],[Status]]="Settled",0,$Q$2-Table2[[#This Row],[Date]])</f>
        <v>0</v>
      </c>
      <c r="O560" s="5" t="str">
        <f>IF(Table2[[#This Row],[Age Days]]&lt;=7,"Normal",IF(Table2[[#This Row],[Age Days]]&lt;=14,"Perlu Dipantau",IF(Table2[[#This Row],[Age Days]]&lt;=30,"Perlu Ditindaklanjuti","Overdue")))</f>
        <v>Normal</v>
      </c>
    </row>
    <row r="561" spans="1:15" x14ac:dyDescent="0.3">
      <c r="A561" t="s">
        <v>645</v>
      </c>
      <c r="B561" s="3">
        <v>46162</v>
      </c>
      <c r="C561" t="s">
        <v>38</v>
      </c>
      <c r="D561" t="s">
        <v>39</v>
      </c>
      <c r="E561" t="s">
        <v>24</v>
      </c>
      <c r="F561" t="s">
        <v>20</v>
      </c>
      <c r="G561" t="s">
        <v>31</v>
      </c>
      <c r="H561" s="5">
        <v>1000000</v>
      </c>
      <c r="I561" s="5">
        <v>775000</v>
      </c>
      <c r="J561" s="5">
        <v>225000</v>
      </c>
      <c r="K561" s="5">
        <f>Table2[[#This Row],[Advance Amount]]-Table2[[#This Row],[Expense Amount]]-Table2[[#This Row],[Return Amount]]</f>
        <v>0</v>
      </c>
      <c r="L561" s="5" t="str">
        <f>IF(Table2[[#This Row],[Outstanding]]=0,"Settled",IF(Table2[[#This Row],[Outstanding]]&gt;0,"Outstanding"))</f>
        <v>Settled</v>
      </c>
      <c r="M561" s="5" t="str">
        <f>IF(Table2[[#This Row],[Advance Amount]]=Table2[[#This Row],[Expense Amount]]+Table2[[#This Row],[Return Amount]]+Table2[[#This Row],[Outstanding]],"Ok","Check")</f>
        <v>Ok</v>
      </c>
      <c r="N561" s="11">
        <f>IF(Table2[[#This Row],[Status]]="Settled",0,$Q$2-Table2[[#This Row],[Date]])</f>
        <v>0</v>
      </c>
      <c r="O561" s="5" t="str">
        <f>IF(Table2[[#This Row],[Age Days]]&lt;=7,"Normal",IF(Table2[[#This Row],[Age Days]]&lt;=14,"Perlu Dipantau",IF(Table2[[#This Row],[Age Days]]&lt;=30,"Perlu Ditindaklanjuti","Overdue")))</f>
        <v>Normal</v>
      </c>
    </row>
    <row r="562" spans="1:15" x14ac:dyDescent="0.3">
      <c r="A562" t="s">
        <v>646</v>
      </c>
      <c r="B562" s="3">
        <v>46162</v>
      </c>
      <c r="C562" t="s">
        <v>44</v>
      </c>
      <c r="D562" t="s">
        <v>45</v>
      </c>
      <c r="E562" t="s">
        <v>43</v>
      </c>
      <c r="F562" t="s">
        <v>20</v>
      </c>
      <c r="G562" t="s">
        <v>40</v>
      </c>
      <c r="H562" s="5">
        <v>775000</v>
      </c>
      <c r="I562" s="5">
        <v>0</v>
      </c>
      <c r="J562" s="5">
        <v>0</v>
      </c>
      <c r="K562" s="5">
        <f>Table2[[#This Row],[Advance Amount]]-Table2[[#This Row],[Expense Amount]]-Table2[[#This Row],[Return Amount]]</f>
        <v>775000</v>
      </c>
      <c r="L562" s="5" t="str">
        <f>IF(Table2[[#This Row],[Outstanding]]=0,"Settled",IF(Table2[[#This Row],[Outstanding]]&gt;0,"Outstanding"))</f>
        <v>Outstanding</v>
      </c>
      <c r="M562" s="5" t="str">
        <f>IF(Table2[[#This Row],[Advance Amount]]=Table2[[#This Row],[Expense Amount]]+Table2[[#This Row],[Return Amount]]+Table2[[#This Row],[Outstanding]],"Ok","Check")</f>
        <v>Ok</v>
      </c>
      <c r="N562" s="11">
        <f>IF(Table2[[#This Row],[Status]]="Settled",0,$Q$2-Table2[[#This Row],[Date]])</f>
        <v>103</v>
      </c>
      <c r="O562" s="5" t="str">
        <f>IF(Table2[[#This Row],[Age Days]]&lt;=7,"Normal",IF(Table2[[#This Row],[Age Days]]&lt;=14,"Perlu Dipantau",IF(Table2[[#This Row],[Age Days]]&lt;=30,"Perlu Ditindaklanjuti","Overdue")))</f>
        <v>Overdue</v>
      </c>
    </row>
    <row r="563" spans="1:15" x14ac:dyDescent="0.3">
      <c r="A563" t="s">
        <v>647</v>
      </c>
      <c r="B563" s="3">
        <v>46162</v>
      </c>
      <c r="C563" t="s">
        <v>64</v>
      </c>
      <c r="D563" t="s">
        <v>65</v>
      </c>
      <c r="E563" t="s">
        <v>37</v>
      </c>
      <c r="F563" t="s">
        <v>20</v>
      </c>
      <c r="G563" t="s">
        <v>15</v>
      </c>
      <c r="H563" s="5">
        <v>1275000</v>
      </c>
      <c r="I563" s="5">
        <v>1250000</v>
      </c>
      <c r="J563" s="5">
        <v>25000</v>
      </c>
      <c r="K563" s="5">
        <f>Table2[[#This Row],[Advance Amount]]-Table2[[#This Row],[Expense Amount]]-Table2[[#This Row],[Return Amount]]</f>
        <v>0</v>
      </c>
      <c r="L563" s="5" t="str">
        <f>IF(Table2[[#This Row],[Outstanding]]=0,"Settled",IF(Table2[[#This Row],[Outstanding]]&gt;0,"Outstanding"))</f>
        <v>Settled</v>
      </c>
      <c r="M563" s="5" t="str">
        <f>IF(Table2[[#This Row],[Advance Amount]]=Table2[[#This Row],[Expense Amount]]+Table2[[#This Row],[Return Amount]]+Table2[[#This Row],[Outstanding]],"Ok","Check")</f>
        <v>Ok</v>
      </c>
      <c r="N563" s="11">
        <f>IF(Table2[[#This Row],[Status]]="Settled",0,$Q$2-Table2[[#This Row],[Date]])</f>
        <v>0</v>
      </c>
      <c r="O563" s="5" t="str">
        <f>IF(Table2[[#This Row],[Age Days]]&lt;=7,"Normal",IF(Table2[[#This Row],[Age Days]]&lt;=14,"Perlu Dipantau",IF(Table2[[#This Row],[Age Days]]&lt;=30,"Perlu Ditindaklanjuti","Overdue")))</f>
        <v>Normal</v>
      </c>
    </row>
    <row r="564" spans="1:15" x14ac:dyDescent="0.3">
      <c r="A564" t="s">
        <v>648</v>
      </c>
      <c r="B564" s="3">
        <v>46162</v>
      </c>
      <c r="C564" t="s">
        <v>59</v>
      </c>
      <c r="D564" t="s">
        <v>60</v>
      </c>
      <c r="E564" t="s">
        <v>19</v>
      </c>
      <c r="F564" t="s">
        <v>20</v>
      </c>
      <c r="G564" t="s">
        <v>31</v>
      </c>
      <c r="H564" s="5">
        <v>1475000</v>
      </c>
      <c r="I564" s="5">
        <v>1125000</v>
      </c>
      <c r="J564" s="5">
        <v>350000</v>
      </c>
      <c r="K564" s="5">
        <f>Table2[[#This Row],[Advance Amount]]-Table2[[#This Row],[Expense Amount]]-Table2[[#This Row],[Return Amount]]</f>
        <v>0</v>
      </c>
      <c r="L564" s="5" t="str">
        <f>IF(Table2[[#This Row],[Outstanding]]=0,"Settled",IF(Table2[[#This Row],[Outstanding]]&gt;0,"Outstanding"))</f>
        <v>Settled</v>
      </c>
      <c r="M564" s="5" t="str">
        <f>IF(Table2[[#This Row],[Advance Amount]]=Table2[[#This Row],[Expense Amount]]+Table2[[#This Row],[Return Amount]]+Table2[[#This Row],[Outstanding]],"Ok","Check")</f>
        <v>Ok</v>
      </c>
      <c r="N564" s="11">
        <f>IF(Table2[[#This Row],[Status]]="Settled",0,$Q$2-Table2[[#This Row],[Date]])</f>
        <v>0</v>
      </c>
      <c r="O564" s="5" t="str">
        <f>IF(Table2[[#This Row],[Age Days]]&lt;=7,"Normal",IF(Table2[[#This Row],[Age Days]]&lt;=14,"Perlu Dipantau",IF(Table2[[#This Row],[Age Days]]&lt;=30,"Perlu Ditindaklanjuti","Overdue")))</f>
        <v>Normal</v>
      </c>
    </row>
    <row r="565" spans="1:15" x14ac:dyDescent="0.3">
      <c r="A565" t="s">
        <v>649</v>
      </c>
      <c r="B565" s="3">
        <v>46163</v>
      </c>
      <c r="C565" t="s">
        <v>48</v>
      </c>
      <c r="D565" t="s">
        <v>49</v>
      </c>
      <c r="E565" t="s">
        <v>19</v>
      </c>
      <c r="F565" t="s">
        <v>14</v>
      </c>
      <c r="G565" t="s">
        <v>58</v>
      </c>
      <c r="H565" s="5">
        <v>1075000</v>
      </c>
      <c r="I565" s="5">
        <v>950000</v>
      </c>
      <c r="J565" s="5">
        <v>125000</v>
      </c>
      <c r="K565" s="5">
        <f>Table2[[#This Row],[Advance Amount]]-Table2[[#This Row],[Expense Amount]]-Table2[[#This Row],[Return Amount]]</f>
        <v>0</v>
      </c>
      <c r="L565" s="5" t="str">
        <f>IF(Table2[[#This Row],[Outstanding]]=0,"Settled",IF(Table2[[#This Row],[Outstanding]]&gt;0,"Outstanding"))</f>
        <v>Settled</v>
      </c>
      <c r="M565" s="5" t="str">
        <f>IF(Table2[[#This Row],[Advance Amount]]=Table2[[#This Row],[Expense Amount]]+Table2[[#This Row],[Return Amount]]+Table2[[#This Row],[Outstanding]],"Ok","Check")</f>
        <v>Ok</v>
      </c>
      <c r="N565" s="11">
        <f>IF(Table2[[#This Row],[Status]]="Settled",0,$Q$2-Table2[[#This Row],[Date]])</f>
        <v>0</v>
      </c>
      <c r="O565" s="5" t="str">
        <f>IF(Table2[[#This Row],[Age Days]]&lt;=7,"Normal",IF(Table2[[#This Row],[Age Days]]&lt;=14,"Perlu Dipantau",IF(Table2[[#This Row],[Age Days]]&lt;=30,"Perlu Ditindaklanjuti","Overdue")))</f>
        <v>Normal</v>
      </c>
    </row>
    <row r="566" spans="1:15" x14ac:dyDescent="0.3">
      <c r="A566" t="s">
        <v>650</v>
      </c>
      <c r="B566" s="3">
        <v>46163</v>
      </c>
      <c r="C566" t="s">
        <v>62</v>
      </c>
      <c r="D566" t="s">
        <v>63</v>
      </c>
      <c r="E566" t="s">
        <v>52</v>
      </c>
      <c r="F566" t="s">
        <v>14</v>
      </c>
      <c r="G566" t="s">
        <v>34</v>
      </c>
      <c r="H566" s="5">
        <v>100000</v>
      </c>
      <c r="I566" s="5">
        <v>75000</v>
      </c>
      <c r="J566" s="5">
        <v>25000</v>
      </c>
      <c r="K566" s="5">
        <f>Table2[[#This Row],[Advance Amount]]-Table2[[#This Row],[Expense Amount]]-Table2[[#This Row],[Return Amount]]</f>
        <v>0</v>
      </c>
      <c r="L566" s="5" t="str">
        <f>IF(Table2[[#This Row],[Outstanding]]=0,"Settled",IF(Table2[[#This Row],[Outstanding]]&gt;0,"Outstanding"))</f>
        <v>Settled</v>
      </c>
      <c r="M566" s="5" t="str">
        <f>IF(Table2[[#This Row],[Advance Amount]]=Table2[[#This Row],[Expense Amount]]+Table2[[#This Row],[Return Amount]]+Table2[[#This Row],[Outstanding]],"Ok","Check")</f>
        <v>Ok</v>
      </c>
      <c r="N566" s="11">
        <f>IF(Table2[[#This Row],[Status]]="Settled",0,$Q$2-Table2[[#This Row],[Date]])</f>
        <v>0</v>
      </c>
      <c r="O566" s="5" t="str">
        <f>IF(Table2[[#This Row],[Age Days]]&lt;=7,"Normal",IF(Table2[[#This Row],[Age Days]]&lt;=14,"Perlu Dipantau",IF(Table2[[#This Row],[Age Days]]&lt;=30,"Perlu Ditindaklanjuti","Overdue")))</f>
        <v>Normal</v>
      </c>
    </row>
    <row r="567" spans="1:15" x14ac:dyDescent="0.3">
      <c r="A567" t="s">
        <v>651</v>
      </c>
      <c r="B567" s="3">
        <v>46163</v>
      </c>
      <c r="C567" t="s">
        <v>44</v>
      </c>
      <c r="D567" t="s">
        <v>45</v>
      </c>
      <c r="E567" t="s">
        <v>43</v>
      </c>
      <c r="F567" t="s">
        <v>20</v>
      </c>
      <c r="G567" t="s">
        <v>58</v>
      </c>
      <c r="H567" s="5">
        <v>225000</v>
      </c>
      <c r="I567" s="5">
        <v>175000</v>
      </c>
      <c r="J567" s="5">
        <v>50000</v>
      </c>
      <c r="K567" s="5">
        <f>Table2[[#This Row],[Advance Amount]]-Table2[[#This Row],[Expense Amount]]-Table2[[#This Row],[Return Amount]]</f>
        <v>0</v>
      </c>
      <c r="L567" s="5" t="str">
        <f>IF(Table2[[#This Row],[Outstanding]]=0,"Settled",IF(Table2[[#This Row],[Outstanding]]&gt;0,"Outstanding"))</f>
        <v>Settled</v>
      </c>
      <c r="M567" s="5" t="str">
        <f>IF(Table2[[#This Row],[Advance Amount]]=Table2[[#This Row],[Expense Amount]]+Table2[[#This Row],[Return Amount]]+Table2[[#This Row],[Outstanding]],"Ok","Check")</f>
        <v>Ok</v>
      </c>
      <c r="N567" s="11">
        <f>IF(Table2[[#This Row],[Status]]="Settled",0,$Q$2-Table2[[#This Row],[Date]])</f>
        <v>0</v>
      </c>
      <c r="O567" s="5" t="str">
        <f>IF(Table2[[#This Row],[Age Days]]&lt;=7,"Normal",IF(Table2[[#This Row],[Age Days]]&lt;=14,"Perlu Dipantau",IF(Table2[[#This Row],[Age Days]]&lt;=30,"Perlu Ditindaklanjuti","Overdue")))</f>
        <v>Normal</v>
      </c>
    </row>
    <row r="568" spans="1:15" x14ac:dyDescent="0.3">
      <c r="A568" t="s">
        <v>652</v>
      </c>
      <c r="B568" s="3">
        <v>46163</v>
      </c>
      <c r="C568" t="s">
        <v>44</v>
      </c>
      <c r="D568" t="s">
        <v>45</v>
      </c>
      <c r="E568" t="s">
        <v>43</v>
      </c>
      <c r="F568" t="s">
        <v>20</v>
      </c>
      <c r="G568" t="s">
        <v>57</v>
      </c>
      <c r="H568" s="5">
        <v>80000</v>
      </c>
      <c r="I568" s="5">
        <v>50000</v>
      </c>
      <c r="J568" s="5">
        <v>30000</v>
      </c>
      <c r="K568" s="5">
        <f>Table2[[#This Row],[Advance Amount]]-Table2[[#This Row],[Expense Amount]]-Table2[[#This Row],[Return Amount]]</f>
        <v>0</v>
      </c>
      <c r="L568" s="5" t="str">
        <f>IF(Table2[[#This Row],[Outstanding]]=0,"Settled",IF(Table2[[#This Row],[Outstanding]]&gt;0,"Outstanding"))</f>
        <v>Settled</v>
      </c>
      <c r="M568" s="5" t="str">
        <f>IF(Table2[[#This Row],[Advance Amount]]=Table2[[#This Row],[Expense Amount]]+Table2[[#This Row],[Return Amount]]+Table2[[#This Row],[Outstanding]],"Ok","Check")</f>
        <v>Ok</v>
      </c>
      <c r="N568" s="11">
        <f>IF(Table2[[#This Row],[Status]]="Settled",0,$Q$2-Table2[[#This Row],[Date]])</f>
        <v>0</v>
      </c>
      <c r="O568" s="5" t="str">
        <f>IF(Table2[[#This Row],[Age Days]]&lt;=7,"Normal",IF(Table2[[#This Row],[Age Days]]&lt;=14,"Perlu Dipantau",IF(Table2[[#This Row],[Age Days]]&lt;=30,"Perlu Ditindaklanjuti","Overdue")))</f>
        <v>Normal</v>
      </c>
    </row>
    <row r="569" spans="1:15" x14ac:dyDescent="0.3">
      <c r="A569" t="s">
        <v>653</v>
      </c>
      <c r="B569" s="3">
        <v>46163</v>
      </c>
      <c r="C569" t="s">
        <v>59</v>
      </c>
      <c r="D569" t="s">
        <v>60</v>
      </c>
      <c r="E569" t="s">
        <v>19</v>
      </c>
      <c r="F569" t="s">
        <v>14</v>
      </c>
      <c r="G569" t="s">
        <v>15</v>
      </c>
      <c r="H569" s="5">
        <v>2800000</v>
      </c>
      <c r="I569" s="5">
        <v>2775000</v>
      </c>
      <c r="J569" s="5">
        <v>25000</v>
      </c>
      <c r="K569" s="5">
        <f>Table2[[#This Row],[Advance Amount]]-Table2[[#This Row],[Expense Amount]]-Table2[[#This Row],[Return Amount]]</f>
        <v>0</v>
      </c>
      <c r="L569" s="5" t="str">
        <f>IF(Table2[[#This Row],[Outstanding]]=0,"Settled",IF(Table2[[#This Row],[Outstanding]]&gt;0,"Outstanding"))</f>
        <v>Settled</v>
      </c>
      <c r="M569" s="5" t="str">
        <f>IF(Table2[[#This Row],[Advance Amount]]=Table2[[#This Row],[Expense Amount]]+Table2[[#This Row],[Return Amount]]+Table2[[#This Row],[Outstanding]],"Ok","Check")</f>
        <v>Ok</v>
      </c>
      <c r="N569" s="11">
        <f>IF(Table2[[#This Row],[Status]]="Settled",0,$Q$2-Table2[[#This Row],[Date]])</f>
        <v>0</v>
      </c>
      <c r="O569" s="5" t="str">
        <f>IF(Table2[[#This Row],[Age Days]]&lt;=7,"Normal",IF(Table2[[#This Row],[Age Days]]&lt;=14,"Perlu Dipantau",IF(Table2[[#This Row],[Age Days]]&lt;=30,"Perlu Ditindaklanjuti","Overdue")))</f>
        <v>Normal</v>
      </c>
    </row>
    <row r="570" spans="1:15" x14ac:dyDescent="0.3">
      <c r="A570" t="s">
        <v>654</v>
      </c>
      <c r="B570" s="3">
        <v>46164</v>
      </c>
      <c r="C570" t="s">
        <v>46</v>
      </c>
      <c r="D570" t="s">
        <v>47</v>
      </c>
      <c r="E570" t="s">
        <v>37</v>
      </c>
      <c r="F570" t="s">
        <v>14</v>
      </c>
      <c r="G570" t="s">
        <v>61</v>
      </c>
      <c r="H570" s="5">
        <v>475000</v>
      </c>
      <c r="I570" s="5">
        <v>400000</v>
      </c>
      <c r="J570" s="5">
        <v>75000</v>
      </c>
      <c r="K570" s="5">
        <f>Table2[[#This Row],[Advance Amount]]-Table2[[#This Row],[Expense Amount]]-Table2[[#This Row],[Return Amount]]</f>
        <v>0</v>
      </c>
      <c r="L570" s="5" t="str">
        <f>IF(Table2[[#This Row],[Outstanding]]=0,"Settled",IF(Table2[[#This Row],[Outstanding]]&gt;0,"Outstanding"))</f>
        <v>Settled</v>
      </c>
      <c r="M570" s="5" t="str">
        <f>IF(Table2[[#This Row],[Advance Amount]]=Table2[[#This Row],[Expense Amount]]+Table2[[#This Row],[Return Amount]]+Table2[[#This Row],[Outstanding]],"Ok","Check")</f>
        <v>Ok</v>
      </c>
      <c r="N570" s="11">
        <f>IF(Table2[[#This Row],[Status]]="Settled",0,$Q$2-Table2[[#This Row],[Date]])</f>
        <v>0</v>
      </c>
      <c r="O570" s="5" t="str">
        <f>IF(Table2[[#This Row],[Age Days]]&lt;=7,"Normal",IF(Table2[[#This Row],[Age Days]]&lt;=14,"Perlu Dipantau",IF(Table2[[#This Row],[Age Days]]&lt;=30,"Perlu Ditindaklanjuti","Overdue")))</f>
        <v>Normal</v>
      </c>
    </row>
    <row r="571" spans="1:15" x14ac:dyDescent="0.3">
      <c r="A571" t="s">
        <v>655</v>
      </c>
      <c r="B571" s="3">
        <v>46164</v>
      </c>
      <c r="C571" t="s">
        <v>29</v>
      </c>
      <c r="D571" t="s">
        <v>30</v>
      </c>
      <c r="E571" t="s">
        <v>13</v>
      </c>
      <c r="F571" t="s">
        <v>20</v>
      </c>
      <c r="G571" t="s">
        <v>31</v>
      </c>
      <c r="H571" s="5">
        <v>1200000</v>
      </c>
      <c r="I571" s="5">
        <v>1175000</v>
      </c>
      <c r="J571" s="5">
        <v>25000</v>
      </c>
      <c r="K571" s="5">
        <f>Table2[[#This Row],[Advance Amount]]-Table2[[#This Row],[Expense Amount]]-Table2[[#This Row],[Return Amount]]</f>
        <v>0</v>
      </c>
      <c r="L571" s="5" t="str">
        <f>IF(Table2[[#This Row],[Outstanding]]=0,"Settled",IF(Table2[[#This Row],[Outstanding]]&gt;0,"Outstanding"))</f>
        <v>Settled</v>
      </c>
      <c r="M571" s="5" t="str">
        <f>IF(Table2[[#This Row],[Advance Amount]]=Table2[[#This Row],[Expense Amount]]+Table2[[#This Row],[Return Amount]]+Table2[[#This Row],[Outstanding]],"Ok","Check")</f>
        <v>Ok</v>
      </c>
      <c r="N571" s="11">
        <f>IF(Table2[[#This Row],[Status]]="Settled",0,$Q$2-Table2[[#This Row],[Date]])</f>
        <v>0</v>
      </c>
      <c r="O571" s="5" t="str">
        <f>IF(Table2[[#This Row],[Age Days]]&lt;=7,"Normal",IF(Table2[[#This Row],[Age Days]]&lt;=14,"Perlu Dipantau",IF(Table2[[#This Row],[Age Days]]&lt;=30,"Perlu Ditindaklanjuti","Overdue")))</f>
        <v>Normal</v>
      </c>
    </row>
    <row r="572" spans="1:15" x14ac:dyDescent="0.3">
      <c r="A572" t="s">
        <v>656</v>
      </c>
      <c r="B572" s="3">
        <v>46164</v>
      </c>
      <c r="C572" t="s">
        <v>53</v>
      </c>
      <c r="D572" t="s">
        <v>54</v>
      </c>
      <c r="E572" t="s">
        <v>43</v>
      </c>
      <c r="F572" t="s">
        <v>14</v>
      </c>
      <c r="G572" t="s">
        <v>40</v>
      </c>
      <c r="H572" s="5">
        <v>250000</v>
      </c>
      <c r="I572" s="5">
        <v>225000</v>
      </c>
      <c r="J572" s="5">
        <v>25000</v>
      </c>
      <c r="K572" s="5">
        <f>Table2[[#This Row],[Advance Amount]]-Table2[[#This Row],[Expense Amount]]-Table2[[#This Row],[Return Amount]]</f>
        <v>0</v>
      </c>
      <c r="L572" s="5" t="str">
        <f>IF(Table2[[#This Row],[Outstanding]]=0,"Settled",IF(Table2[[#This Row],[Outstanding]]&gt;0,"Outstanding"))</f>
        <v>Settled</v>
      </c>
      <c r="M572" s="5" t="str">
        <f>IF(Table2[[#This Row],[Advance Amount]]=Table2[[#This Row],[Expense Amount]]+Table2[[#This Row],[Return Amount]]+Table2[[#This Row],[Outstanding]],"Ok","Check")</f>
        <v>Ok</v>
      </c>
      <c r="N572" s="11">
        <f>IF(Table2[[#This Row],[Status]]="Settled",0,$Q$2-Table2[[#This Row],[Date]])</f>
        <v>0</v>
      </c>
      <c r="O572" s="5" t="str">
        <f>IF(Table2[[#This Row],[Age Days]]&lt;=7,"Normal",IF(Table2[[#This Row],[Age Days]]&lt;=14,"Perlu Dipantau",IF(Table2[[#This Row],[Age Days]]&lt;=30,"Perlu Ditindaklanjuti","Overdue")))</f>
        <v>Normal</v>
      </c>
    </row>
    <row r="573" spans="1:15" x14ac:dyDescent="0.3">
      <c r="A573" t="s">
        <v>657</v>
      </c>
      <c r="B573" s="3">
        <v>46165</v>
      </c>
      <c r="C573" t="s">
        <v>29</v>
      </c>
      <c r="D573" t="s">
        <v>30</v>
      </c>
      <c r="E573" t="s">
        <v>13</v>
      </c>
      <c r="F573" t="s">
        <v>20</v>
      </c>
      <c r="G573" t="s">
        <v>61</v>
      </c>
      <c r="H573" s="5">
        <v>225000</v>
      </c>
      <c r="I573" s="5">
        <v>175000</v>
      </c>
      <c r="J573" s="5">
        <v>50000</v>
      </c>
      <c r="K573" s="5">
        <f>Table2[[#This Row],[Advance Amount]]-Table2[[#This Row],[Expense Amount]]-Table2[[#This Row],[Return Amount]]</f>
        <v>0</v>
      </c>
      <c r="L573" s="5" t="str">
        <f>IF(Table2[[#This Row],[Outstanding]]=0,"Settled",IF(Table2[[#This Row],[Outstanding]]&gt;0,"Outstanding"))</f>
        <v>Settled</v>
      </c>
      <c r="M573" s="5" t="str">
        <f>IF(Table2[[#This Row],[Advance Amount]]=Table2[[#This Row],[Expense Amount]]+Table2[[#This Row],[Return Amount]]+Table2[[#This Row],[Outstanding]],"Ok","Check")</f>
        <v>Ok</v>
      </c>
      <c r="N573" s="11">
        <f>IF(Table2[[#This Row],[Status]]="Settled",0,$Q$2-Table2[[#This Row],[Date]])</f>
        <v>0</v>
      </c>
      <c r="O573" s="5" t="str">
        <f>IF(Table2[[#This Row],[Age Days]]&lt;=7,"Normal",IF(Table2[[#This Row],[Age Days]]&lt;=14,"Perlu Dipantau",IF(Table2[[#This Row],[Age Days]]&lt;=30,"Perlu Ditindaklanjuti","Overdue")))</f>
        <v>Normal</v>
      </c>
    </row>
    <row r="574" spans="1:15" x14ac:dyDescent="0.3">
      <c r="A574" t="s">
        <v>658</v>
      </c>
      <c r="B574" s="3">
        <v>46165</v>
      </c>
      <c r="C574" t="s">
        <v>29</v>
      </c>
      <c r="D574" t="s">
        <v>30</v>
      </c>
      <c r="E574" t="s">
        <v>13</v>
      </c>
      <c r="F574" t="s">
        <v>14</v>
      </c>
      <c r="G574" t="s">
        <v>57</v>
      </c>
      <c r="H574" s="5">
        <v>130000</v>
      </c>
      <c r="I574" s="5">
        <v>100000</v>
      </c>
      <c r="J574" s="5">
        <v>30000</v>
      </c>
      <c r="K574" s="5">
        <f>Table2[[#This Row],[Advance Amount]]-Table2[[#This Row],[Expense Amount]]-Table2[[#This Row],[Return Amount]]</f>
        <v>0</v>
      </c>
      <c r="L574" s="5" t="str">
        <f>IF(Table2[[#This Row],[Outstanding]]=0,"Settled",IF(Table2[[#This Row],[Outstanding]]&gt;0,"Outstanding"))</f>
        <v>Settled</v>
      </c>
      <c r="M574" s="5" t="str">
        <f>IF(Table2[[#This Row],[Advance Amount]]=Table2[[#This Row],[Expense Amount]]+Table2[[#This Row],[Return Amount]]+Table2[[#This Row],[Outstanding]],"Ok","Check")</f>
        <v>Ok</v>
      </c>
      <c r="N574" s="11">
        <f>IF(Table2[[#This Row],[Status]]="Settled",0,$Q$2-Table2[[#This Row],[Date]])</f>
        <v>0</v>
      </c>
      <c r="O574" s="5" t="str">
        <f>IF(Table2[[#This Row],[Age Days]]&lt;=7,"Normal",IF(Table2[[#This Row],[Age Days]]&lt;=14,"Perlu Dipantau",IF(Table2[[#This Row],[Age Days]]&lt;=30,"Perlu Ditindaklanjuti","Overdue")))</f>
        <v>Normal</v>
      </c>
    </row>
    <row r="575" spans="1:15" x14ac:dyDescent="0.3">
      <c r="A575" t="s">
        <v>659</v>
      </c>
      <c r="B575" s="3">
        <v>46165</v>
      </c>
      <c r="C575" t="s">
        <v>62</v>
      </c>
      <c r="D575" t="s">
        <v>63</v>
      </c>
      <c r="E575" t="s">
        <v>52</v>
      </c>
      <c r="F575" t="s">
        <v>14</v>
      </c>
      <c r="G575" t="s">
        <v>40</v>
      </c>
      <c r="H575" s="5">
        <v>725000</v>
      </c>
      <c r="I575" s="5">
        <v>625000</v>
      </c>
      <c r="J575" s="5">
        <v>100000</v>
      </c>
      <c r="K575" s="5">
        <f>Table2[[#This Row],[Advance Amount]]-Table2[[#This Row],[Expense Amount]]-Table2[[#This Row],[Return Amount]]</f>
        <v>0</v>
      </c>
      <c r="L575" s="5" t="str">
        <f>IF(Table2[[#This Row],[Outstanding]]=0,"Settled",IF(Table2[[#This Row],[Outstanding]]&gt;0,"Outstanding"))</f>
        <v>Settled</v>
      </c>
      <c r="M575" s="5" t="str">
        <f>IF(Table2[[#This Row],[Advance Amount]]=Table2[[#This Row],[Expense Amount]]+Table2[[#This Row],[Return Amount]]+Table2[[#This Row],[Outstanding]],"Ok","Check")</f>
        <v>Ok</v>
      </c>
      <c r="N575" s="11">
        <f>IF(Table2[[#This Row],[Status]]="Settled",0,$Q$2-Table2[[#This Row],[Date]])</f>
        <v>0</v>
      </c>
      <c r="O575" s="5" t="str">
        <f>IF(Table2[[#This Row],[Age Days]]&lt;=7,"Normal",IF(Table2[[#This Row],[Age Days]]&lt;=14,"Perlu Dipantau",IF(Table2[[#This Row],[Age Days]]&lt;=30,"Perlu Ditindaklanjuti","Overdue")))</f>
        <v>Normal</v>
      </c>
    </row>
    <row r="576" spans="1:15" x14ac:dyDescent="0.3">
      <c r="A576" t="s">
        <v>660</v>
      </c>
      <c r="B576" s="3">
        <v>46165</v>
      </c>
      <c r="C576" t="s">
        <v>68</v>
      </c>
      <c r="D576" t="s">
        <v>69</v>
      </c>
      <c r="E576" t="s">
        <v>27</v>
      </c>
      <c r="F576" t="s">
        <v>20</v>
      </c>
      <c r="G576" t="s">
        <v>61</v>
      </c>
      <c r="H576" s="5">
        <v>400000</v>
      </c>
      <c r="I576" s="5">
        <v>0</v>
      </c>
      <c r="J576" s="5">
        <v>0</v>
      </c>
      <c r="K576" s="5">
        <f>Table2[[#This Row],[Advance Amount]]-Table2[[#This Row],[Expense Amount]]-Table2[[#This Row],[Return Amount]]</f>
        <v>400000</v>
      </c>
      <c r="L576" s="5" t="str">
        <f>IF(Table2[[#This Row],[Outstanding]]=0,"Settled",IF(Table2[[#This Row],[Outstanding]]&gt;0,"Outstanding"))</f>
        <v>Outstanding</v>
      </c>
      <c r="M576" s="5" t="str">
        <f>IF(Table2[[#This Row],[Advance Amount]]=Table2[[#This Row],[Expense Amount]]+Table2[[#This Row],[Return Amount]]+Table2[[#This Row],[Outstanding]],"Ok","Check")</f>
        <v>Ok</v>
      </c>
      <c r="N576" s="11">
        <f>IF(Table2[[#This Row],[Status]]="Settled",0,$Q$2-Table2[[#This Row],[Date]])</f>
        <v>100</v>
      </c>
      <c r="O576" s="5" t="str">
        <f>IF(Table2[[#This Row],[Age Days]]&lt;=7,"Normal",IF(Table2[[#This Row],[Age Days]]&lt;=14,"Perlu Dipantau",IF(Table2[[#This Row],[Age Days]]&lt;=30,"Perlu Ditindaklanjuti","Overdue")))</f>
        <v>Overdue</v>
      </c>
    </row>
    <row r="577" spans="1:15" x14ac:dyDescent="0.3">
      <c r="A577" t="s">
        <v>661</v>
      </c>
      <c r="B577" s="3">
        <v>46165</v>
      </c>
      <c r="C577" t="s">
        <v>68</v>
      </c>
      <c r="D577" t="s">
        <v>69</v>
      </c>
      <c r="E577" t="s">
        <v>27</v>
      </c>
      <c r="F577" t="s">
        <v>14</v>
      </c>
      <c r="G577" t="s">
        <v>15</v>
      </c>
      <c r="H577" s="5">
        <v>1775000</v>
      </c>
      <c r="I577" s="5">
        <v>0</v>
      </c>
      <c r="J577" s="5">
        <v>0</v>
      </c>
      <c r="K577" s="5">
        <f>Table2[[#This Row],[Advance Amount]]-Table2[[#This Row],[Expense Amount]]-Table2[[#This Row],[Return Amount]]</f>
        <v>1775000</v>
      </c>
      <c r="L577" s="5" t="str">
        <f>IF(Table2[[#This Row],[Outstanding]]=0,"Settled",IF(Table2[[#This Row],[Outstanding]]&gt;0,"Outstanding"))</f>
        <v>Outstanding</v>
      </c>
      <c r="M577" s="5" t="str">
        <f>IF(Table2[[#This Row],[Advance Amount]]=Table2[[#This Row],[Expense Amount]]+Table2[[#This Row],[Return Amount]]+Table2[[#This Row],[Outstanding]],"Ok","Check")</f>
        <v>Ok</v>
      </c>
      <c r="N577" s="11">
        <f>IF(Table2[[#This Row],[Status]]="Settled",0,$Q$2-Table2[[#This Row],[Date]])</f>
        <v>100</v>
      </c>
      <c r="O577" s="5" t="str">
        <f>IF(Table2[[#This Row],[Age Days]]&lt;=7,"Normal",IF(Table2[[#This Row],[Age Days]]&lt;=14,"Perlu Dipantau",IF(Table2[[#This Row],[Age Days]]&lt;=30,"Perlu Ditindaklanjuti","Overdue")))</f>
        <v>Overdue</v>
      </c>
    </row>
    <row r="578" spans="1:15" x14ac:dyDescent="0.3">
      <c r="A578" t="s">
        <v>662</v>
      </c>
      <c r="B578" s="3">
        <v>46165</v>
      </c>
      <c r="C578" t="s">
        <v>50</v>
      </c>
      <c r="D578" t="s">
        <v>51</v>
      </c>
      <c r="E578" t="s">
        <v>52</v>
      </c>
      <c r="F578" t="s">
        <v>20</v>
      </c>
      <c r="G578" t="s">
        <v>61</v>
      </c>
      <c r="H578" s="5">
        <v>325000</v>
      </c>
      <c r="I578" s="5">
        <v>250000</v>
      </c>
      <c r="J578" s="5">
        <v>75000</v>
      </c>
      <c r="K578" s="5">
        <f>Table2[[#This Row],[Advance Amount]]-Table2[[#This Row],[Expense Amount]]-Table2[[#This Row],[Return Amount]]</f>
        <v>0</v>
      </c>
      <c r="L578" s="5" t="str">
        <f>IF(Table2[[#This Row],[Outstanding]]=0,"Settled",IF(Table2[[#This Row],[Outstanding]]&gt;0,"Outstanding"))</f>
        <v>Settled</v>
      </c>
      <c r="M578" s="5" t="str">
        <f>IF(Table2[[#This Row],[Advance Amount]]=Table2[[#This Row],[Expense Amount]]+Table2[[#This Row],[Return Amount]]+Table2[[#This Row],[Outstanding]],"Ok","Check")</f>
        <v>Ok</v>
      </c>
      <c r="N578" s="11">
        <f>IF(Table2[[#This Row],[Status]]="Settled",0,$Q$2-Table2[[#This Row],[Date]])</f>
        <v>0</v>
      </c>
      <c r="O578" s="5" t="str">
        <f>IF(Table2[[#This Row],[Age Days]]&lt;=7,"Normal",IF(Table2[[#This Row],[Age Days]]&lt;=14,"Perlu Dipantau",IF(Table2[[#This Row],[Age Days]]&lt;=30,"Perlu Ditindaklanjuti","Overdue")))</f>
        <v>Normal</v>
      </c>
    </row>
    <row r="579" spans="1:15" x14ac:dyDescent="0.3">
      <c r="A579" t="s">
        <v>663</v>
      </c>
      <c r="B579" s="3">
        <v>46166</v>
      </c>
      <c r="C579" t="s">
        <v>35</v>
      </c>
      <c r="D579" t="s">
        <v>36</v>
      </c>
      <c r="E579" t="s">
        <v>37</v>
      </c>
      <c r="F579" t="s">
        <v>14</v>
      </c>
      <c r="G579" t="s">
        <v>31</v>
      </c>
      <c r="H579" s="5">
        <v>225000</v>
      </c>
      <c r="I579" s="5">
        <v>175000</v>
      </c>
      <c r="J579" s="5">
        <v>50000</v>
      </c>
      <c r="K579" s="5">
        <f>Table2[[#This Row],[Advance Amount]]-Table2[[#This Row],[Expense Amount]]-Table2[[#This Row],[Return Amount]]</f>
        <v>0</v>
      </c>
      <c r="L579" s="5" t="str">
        <f>IF(Table2[[#This Row],[Outstanding]]=0,"Settled",IF(Table2[[#This Row],[Outstanding]]&gt;0,"Outstanding"))</f>
        <v>Settled</v>
      </c>
      <c r="M579" s="5" t="str">
        <f>IF(Table2[[#This Row],[Advance Amount]]=Table2[[#This Row],[Expense Amount]]+Table2[[#This Row],[Return Amount]]+Table2[[#This Row],[Outstanding]],"Ok","Check")</f>
        <v>Ok</v>
      </c>
      <c r="N579" s="11">
        <f>IF(Table2[[#This Row],[Status]]="Settled",0,$Q$2-Table2[[#This Row],[Date]])</f>
        <v>0</v>
      </c>
      <c r="O579" s="5" t="str">
        <f>IF(Table2[[#This Row],[Age Days]]&lt;=7,"Normal",IF(Table2[[#This Row],[Age Days]]&lt;=14,"Perlu Dipantau",IF(Table2[[#This Row],[Age Days]]&lt;=30,"Perlu Ditindaklanjuti","Overdue")))</f>
        <v>Normal</v>
      </c>
    </row>
    <row r="580" spans="1:15" x14ac:dyDescent="0.3">
      <c r="A580" t="s">
        <v>664</v>
      </c>
      <c r="B580" s="3">
        <v>46166</v>
      </c>
      <c r="C580" t="s">
        <v>35</v>
      </c>
      <c r="D580" t="s">
        <v>36</v>
      </c>
      <c r="E580" t="s">
        <v>37</v>
      </c>
      <c r="F580" t="s">
        <v>14</v>
      </c>
      <c r="G580" t="s">
        <v>31</v>
      </c>
      <c r="H580" s="5">
        <v>500000</v>
      </c>
      <c r="I580" s="5">
        <v>425000</v>
      </c>
      <c r="J580" s="5">
        <v>75000</v>
      </c>
      <c r="K580" s="5">
        <f>Table2[[#This Row],[Advance Amount]]-Table2[[#This Row],[Expense Amount]]-Table2[[#This Row],[Return Amount]]</f>
        <v>0</v>
      </c>
      <c r="L580" s="5" t="str">
        <f>IF(Table2[[#This Row],[Outstanding]]=0,"Settled",IF(Table2[[#This Row],[Outstanding]]&gt;0,"Outstanding"))</f>
        <v>Settled</v>
      </c>
      <c r="M580" s="5" t="str">
        <f>IF(Table2[[#This Row],[Advance Amount]]=Table2[[#This Row],[Expense Amount]]+Table2[[#This Row],[Return Amount]]+Table2[[#This Row],[Outstanding]],"Ok","Check")</f>
        <v>Ok</v>
      </c>
      <c r="N580" s="11">
        <f>IF(Table2[[#This Row],[Status]]="Settled",0,$Q$2-Table2[[#This Row],[Date]])</f>
        <v>0</v>
      </c>
      <c r="O580" s="5" t="str">
        <f>IF(Table2[[#This Row],[Age Days]]&lt;=7,"Normal",IF(Table2[[#This Row],[Age Days]]&lt;=14,"Perlu Dipantau",IF(Table2[[#This Row],[Age Days]]&lt;=30,"Perlu Ditindaklanjuti","Overdue")))</f>
        <v>Normal</v>
      </c>
    </row>
    <row r="581" spans="1:15" x14ac:dyDescent="0.3">
      <c r="A581" t="s">
        <v>665</v>
      </c>
      <c r="B581" s="3">
        <v>46166</v>
      </c>
      <c r="C581" t="s">
        <v>68</v>
      </c>
      <c r="D581" t="s">
        <v>69</v>
      </c>
      <c r="E581" t="s">
        <v>27</v>
      </c>
      <c r="F581" t="s">
        <v>20</v>
      </c>
      <c r="G581" t="s">
        <v>28</v>
      </c>
      <c r="H581" s="5">
        <v>180000</v>
      </c>
      <c r="I581" s="5">
        <v>150000</v>
      </c>
      <c r="J581" s="5">
        <v>30000</v>
      </c>
      <c r="K581" s="5">
        <f>Table2[[#This Row],[Advance Amount]]-Table2[[#This Row],[Expense Amount]]-Table2[[#This Row],[Return Amount]]</f>
        <v>0</v>
      </c>
      <c r="L581" s="5" t="str">
        <f>IF(Table2[[#This Row],[Outstanding]]=0,"Settled",IF(Table2[[#This Row],[Outstanding]]&gt;0,"Outstanding"))</f>
        <v>Settled</v>
      </c>
      <c r="M581" s="5" t="str">
        <f>IF(Table2[[#This Row],[Advance Amount]]=Table2[[#This Row],[Expense Amount]]+Table2[[#This Row],[Return Amount]]+Table2[[#This Row],[Outstanding]],"Ok","Check")</f>
        <v>Ok</v>
      </c>
      <c r="N581" s="11">
        <f>IF(Table2[[#This Row],[Status]]="Settled",0,$Q$2-Table2[[#This Row],[Date]])</f>
        <v>0</v>
      </c>
      <c r="O581" s="5" t="str">
        <f>IF(Table2[[#This Row],[Age Days]]&lt;=7,"Normal",IF(Table2[[#This Row],[Age Days]]&lt;=14,"Perlu Dipantau",IF(Table2[[#This Row],[Age Days]]&lt;=30,"Perlu Ditindaklanjuti","Overdue")))</f>
        <v>Normal</v>
      </c>
    </row>
    <row r="582" spans="1:15" x14ac:dyDescent="0.3">
      <c r="A582" t="s">
        <v>666</v>
      </c>
      <c r="B582" s="3">
        <v>46167</v>
      </c>
      <c r="C582" t="s">
        <v>38</v>
      </c>
      <c r="D582" t="s">
        <v>39</v>
      </c>
      <c r="E582" t="s">
        <v>24</v>
      </c>
      <c r="F582" t="s">
        <v>14</v>
      </c>
      <c r="G582" t="s">
        <v>58</v>
      </c>
      <c r="H582" s="5">
        <v>350000</v>
      </c>
      <c r="I582" s="5">
        <v>0</v>
      </c>
      <c r="J582" s="5">
        <v>0</v>
      </c>
      <c r="K582" s="5">
        <f>Table2[[#This Row],[Advance Amount]]-Table2[[#This Row],[Expense Amount]]-Table2[[#This Row],[Return Amount]]</f>
        <v>350000</v>
      </c>
      <c r="L582" s="5" t="str">
        <f>IF(Table2[[#This Row],[Outstanding]]=0,"Settled",IF(Table2[[#This Row],[Outstanding]]&gt;0,"Outstanding"))</f>
        <v>Outstanding</v>
      </c>
      <c r="M582" s="5" t="str">
        <f>IF(Table2[[#This Row],[Advance Amount]]=Table2[[#This Row],[Expense Amount]]+Table2[[#This Row],[Return Amount]]+Table2[[#This Row],[Outstanding]],"Ok","Check")</f>
        <v>Ok</v>
      </c>
      <c r="N582" s="11">
        <f>IF(Table2[[#This Row],[Status]]="Settled",0,$Q$2-Table2[[#This Row],[Date]])</f>
        <v>98</v>
      </c>
      <c r="O582" s="5" t="str">
        <f>IF(Table2[[#This Row],[Age Days]]&lt;=7,"Normal",IF(Table2[[#This Row],[Age Days]]&lt;=14,"Perlu Dipantau",IF(Table2[[#This Row],[Age Days]]&lt;=30,"Perlu Ditindaklanjuti","Overdue")))</f>
        <v>Overdue</v>
      </c>
    </row>
    <row r="583" spans="1:15" x14ac:dyDescent="0.3">
      <c r="A583" t="s">
        <v>667</v>
      </c>
      <c r="B583" s="3">
        <v>46167</v>
      </c>
      <c r="C583" t="s">
        <v>44</v>
      </c>
      <c r="D583" t="s">
        <v>45</v>
      </c>
      <c r="E583" t="s">
        <v>43</v>
      </c>
      <c r="F583" t="s">
        <v>20</v>
      </c>
      <c r="G583" t="s">
        <v>15</v>
      </c>
      <c r="H583" s="5">
        <v>2325000</v>
      </c>
      <c r="I583" s="5">
        <v>1750000</v>
      </c>
      <c r="J583" s="5">
        <v>575000</v>
      </c>
      <c r="K583" s="5">
        <f>Table2[[#This Row],[Advance Amount]]-Table2[[#This Row],[Expense Amount]]-Table2[[#This Row],[Return Amount]]</f>
        <v>0</v>
      </c>
      <c r="L583" s="5" t="str">
        <f>IF(Table2[[#This Row],[Outstanding]]=0,"Settled",IF(Table2[[#This Row],[Outstanding]]&gt;0,"Outstanding"))</f>
        <v>Settled</v>
      </c>
      <c r="M583" s="5" t="str">
        <f>IF(Table2[[#This Row],[Advance Amount]]=Table2[[#This Row],[Expense Amount]]+Table2[[#This Row],[Return Amount]]+Table2[[#This Row],[Outstanding]],"Ok","Check")</f>
        <v>Ok</v>
      </c>
      <c r="N583" s="11">
        <f>IF(Table2[[#This Row],[Status]]="Settled",0,$Q$2-Table2[[#This Row],[Date]])</f>
        <v>0</v>
      </c>
      <c r="O583" s="5" t="str">
        <f>IF(Table2[[#This Row],[Age Days]]&lt;=7,"Normal",IF(Table2[[#This Row],[Age Days]]&lt;=14,"Perlu Dipantau",IF(Table2[[#This Row],[Age Days]]&lt;=30,"Perlu Ditindaklanjuti","Overdue")))</f>
        <v>Normal</v>
      </c>
    </row>
    <row r="584" spans="1:15" x14ac:dyDescent="0.3">
      <c r="A584" t="s">
        <v>668</v>
      </c>
      <c r="B584" s="3">
        <v>46167</v>
      </c>
      <c r="C584" t="s">
        <v>44</v>
      </c>
      <c r="D584" t="s">
        <v>45</v>
      </c>
      <c r="E584" t="s">
        <v>43</v>
      </c>
      <c r="F584" t="s">
        <v>20</v>
      </c>
      <c r="G584" t="s">
        <v>15</v>
      </c>
      <c r="H584" s="5">
        <v>2400000</v>
      </c>
      <c r="I584" s="5">
        <v>2200000</v>
      </c>
      <c r="J584" s="5">
        <v>200000</v>
      </c>
      <c r="K584" s="5">
        <f>Table2[[#This Row],[Advance Amount]]-Table2[[#This Row],[Expense Amount]]-Table2[[#This Row],[Return Amount]]</f>
        <v>0</v>
      </c>
      <c r="L584" s="5" t="str">
        <f>IF(Table2[[#This Row],[Outstanding]]=0,"Settled",IF(Table2[[#This Row],[Outstanding]]&gt;0,"Outstanding"))</f>
        <v>Settled</v>
      </c>
      <c r="M584" s="5" t="str">
        <f>IF(Table2[[#This Row],[Advance Amount]]=Table2[[#This Row],[Expense Amount]]+Table2[[#This Row],[Return Amount]]+Table2[[#This Row],[Outstanding]],"Ok","Check")</f>
        <v>Ok</v>
      </c>
      <c r="N584" s="11">
        <f>IF(Table2[[#This Row],[Status]]="Settled",0,$Q$2-Table2[[#This Row],[Date]])</f>
        <v>0</v>
      </c>
      <c r="O584" s="5" t="str">
        <f>IF(Table2[[#This Row],[Age Days]]&lt;=7,"Normal",IF(Table2[[#This Row],[Age Days]]&lt;=14,"Perlu Dipantau",IF(Table2[[#This Row],[Age Days]]&lt;=30,"Perlu Ditindaklanjuti","Overdue")))</f>
        <v>Normal</v>
      </c>
    </row>
    <row r="585" spans="1:15" x14ac:dyDescent="0.3">
      <c r="A585" t="s">
        <v>669</v>
      </c>
      <c r="B585" s="3">
        <v>46167</v>
      </c>
      <c r="C585" t="s">
        <v>66</v>
      </c>
      <c r="D585" t="s">
        <v>67</v>
      </c>
      <c r="E585" t="s">
        <v>13</v>
      </c>
      <c r="F585" t="s">
        <v>14</v>
      </c>
      <c r="G585" t="s">
        <v>61</v>
      </c>
      <c r="H585" s="5">
        <v>550000</v>
      </c>
      <c r="I585" s="5">
        <v>475000</v>
      </c>
      <c r="J585" s="5">
        <v>75000</v>
      </c>
      <c r="K585" s="5">
        <f>Table2[[#This Row],[Advance Amount]]-Table2[[#This Row],[Expense Amount]]-Table2[[#This Row],[Return Amount]]</f>
        <v>0</v>
      </c>
      <c r="L585" s="5" t="str">
        <f>IF(Table2[[#This Row],[Outstanding]]=0,"Settled",IF(Table2[[#This Row],[Outstanding]]&gt;0,"Outstanding"))</f>
        <v>Settled</v>
      </c>
      <c r="M585" s="5" t="str">
        <f>IF(Table2[[#This Row],[Advance Amount]]=Table2[[#This Row],[Expense Amount]]+Table2[[#This Row],[Return Amount]]+Table2[[#This Row],[Outstanding]],"Ok","Check")</f>
        <v>Ok</v>
      </c>
      <c r="N585" s="11">
        <f>IF(Table2[[#This Row],[Status]]="Settled",0,$Q$2-Table2[[#This Row],[Date]])</f>
        <v>0</v>
      </c>
      <c r="O585" s="5" t="str">
        <f>IF(Table2[[#This Row],[Age Days]]&lt;=7,"Normal",IF(Table2[[#This Row],[Age Days]]&lt;=14,"Perlu Dipantau",IF(Table2[[#This Row],[Age Days]]&lt;=30,"Perlu Ditindaklanjuti","Overdue")))</f>
        <v>Normal</v>
      </c>
    </row>
    <row r="586" spans="1:15" x14ac:dyDescent="0.3">
      <c r="A586" t="s">
        <v>670</v>
      </c>
      <c r="B586" s="3">
        <v>46167</v>
      </c>
      <c r="C586" t="s">
        <v>22</v>
      </c>
      <c r="D586" t="s">
        <v>23</v>
      </c>
      <c r="E586" t="s">
        <v>24</v>
      </c>
      <c r="F586" t="s">
        <v>14</v>
      </c>
      <c r="G586" t="s">
        <v>34</v>
      </c>
      <c r="H586" s="5">
        <v>375000</v>
      </c>
      <c r="I586" s="5">
        <v>300000</v>
      </c>
      <c r="J586" s="5">
        <v>75000</v>
      </c>
      <c r="K586" s="5">
        <f>Table2[[#This Row],[Advance Amount]]-Table2[[#This Row],[Expense Amount]]-Table2[[#This Row],[Return Amount]]</f>
        <v>0</v>
      </c>
      <c r="L586" s="5" t="str">
        <f>IF(Table2[[#This Row],[Outstanding]]=0,"Settled",IF(Table2[[#This Row],[Outstanding]]&gt;0,"Outstanding"))</f>
        <v>Settled</v>
      </c>
      <c r="M586" s="5" t="str">
        <f>IF(Table2[[#This Row],[Advance Amount]]=Table2[[#This Row],[Expense Amount]]+Table2[[#This Row],[Return Amount]]+Table2[[#This Row],[Outstanding]],"Ok","Check")</f>
        <v>Ok</v>
      </c>
      <c r="N586" s="11">
        <f>IF(Table2[[#This Row],[Status]]="Settled",0,$Q$2-Table2[[#This Row],[Date]])</f>
        <v>0</v>
      </c>
      <c r="O586" s="5" t="str">
        <f>IF(Table2[[#This Row],[Age Days]]&lt;=7,"Normal",IF(Table2[[#This Row],[Age Days]]&lt;=14,"Perlu Dipantau",IF(Table2[[#This Row],[Age Days]]&lt;=30,"Perlu Ditindaklanjuti","Overdue")))</f>
        <v>Normal</v>
      </c>
    </row>
    <row r="587" spans="1:15" x14ac:dyDescent="0.3">
      <c r="A587" t="s">
        <v>671</v>
      </c>
      <c r="B587" s="3">
        <v>46167</v>
      </c>
      <c r="C587" t="s">
        <v>59</v>
      </c>
      <c r="D587" t="s">
        <v>60</v>
      </c>
      <c r="E587" t="s">
        <v>19</v>
      </c>
      <c r="F587" t="s">
        <v>14</v>
      </c>
      <c r="G587" t="s">
        <v>15</v>
      </c>
      <c r="H587" s="5">
        <v>950000</v>
      </c>
      <c r="I587" s="5">
        <v>775000</v>
      </c>
      <c r="J587" s="5">
        <v>175000</v>
      </c>
      <c r="K587" s="5">
        <f>Table2[[#This Row],[Advance Amount]]-Table2[[#This Row],[Expense Amount]]-Table2[[#This Row],[Return Amount]]</f>
        <v>0</v>
      </c>
      <c r="L587" s="5" t="str">
        <f>IF(Table2[[#This Row],[Outstanding]]=0,"Settled",IF(Table2[[#This Row],[Outstanding]]&gt;0,"Outstanding"))</f>
        <v>Settled</v>
      </c>
      <c r="M587" s="5" t="str">
        <f>IF(Table2[[#This Row],[Advance Amount]]=Table2[[#This Row],[Expense Amount]]+Table2[[#This Row],[Return Amount]]+Table2[[#This Row],[Outstanding]],"Ok","Check")</f>
        <v>Ok</v>
      </c>
      <c r="N587" s="11">
        <f>IF(Table2[[#This Row],[Status]]="Settled",0,$Q$2-Table2[[#This Row],[Date]])</f>
        <v>0</v>
      </c>
      <c r="O587" s="5" t="str">
        <f>IF(Table2[[#This Row],[Age Days]]&lt;=7,"Normal",IF(Table2[[#This Row],[Age Days]]&lt;=14,"Perlu Dipantau",IF(Table2[[#This Row],[Age Days]]&lt;=30,"Perlu Ditindaklanjuti","Overdue")))</f>
        <v>Normal</v>
      </c>
    </row>
    <row r="588" spans="1:15" x14ac:dyDescent="0.3">
      <c r="A588" t="s">
        <v>672</v>
      </c>
      <c r="B588" s="3">
        <v>46168</v>
      </c>
      <c r="C588" t="s">
        <v>68</v>
      </c>
      <c r="D588" t="s">
        <v>69</v>
      </c>
      <c r="E588" t="s">
        <v>27</v>
      </c>
      <c r="F588" t="s">
        <v>20</v>
      </c>
      <c r="G588" t="s">
        <v>34</v>
      </c>
      <c r="H588" s="5">
        <v>450000</v>
      </c>
      <c r="I588" s="5">
        <v>450000</v>
      </c>
      <c r="J588" s="5">
        <v>0</v>
      </c>
      <c r="K588" s="5">
        <f>Table2[[#This Row],[Advance Amount]]-Table2[[#This Row],[Expense Amount]]-Table2[[#This Row],[Return Amount]]</f>
        <v>0</v>
      </c>
      <c r="L588" s="5" t="str">
        <f>IF(Table2[[#This Row],[Outstanding]]=0,"Settled",IF(Table2[[#This Row],[Outstanding]]&gt;0,"Outstanding"))</f>
        <v>Settled</v>
      </c>
      <c r="M588" s="5" t="str">
        <f>IF(Table2[[#This Row],[Advance Amount]]=Table2[[#This Row],[Expense Amount]]+Table2[[#This Row],[Return Amount]]+Table2[[#This Row],[Outstanding]],"Ok","Check")</f>
        <v>Ok</v>
      </c>
      <c r="N588" s="11">
        <f>IF(Table2[[#This Row],[Status]]="Settled",0,$Q$2-Table2[[#This Row],[Date]])</f>
        <v>0</v>
      </c>
      <c r="O588" s="5" t="str">
        <f>IF(Table2[[#This Row],[Age Days]]&lt;=7,"Normal",IF(Table2[[#This Row],[Age Days]]&lt;=14,"Perlu Dipantau",IF(Table2[[#This Row],[Age Days]]&lt;=30,"Perlu Ditindaklanjuti","Overdue")))</f>
        <v>Normal</v>
      </c>
    </row>
    <row r="589" spans="1:15" x14ac:dyDescent="0.3">
      <c r="A589" t="s">
        <v>673</v>
      </c>
      <c r="B589" s="3">
        <v>46168</v>
      </c>
      <c r="C589" t="s">
        <v>22</v>
      </c>
      <c r="D589" t="s">
        <v>23</v>
      </c>
      <c r="E589" t="s">
        <v>24</v>
      </c>
      <c r="F589" t="s">
        <v>14</v>
      </c>
      <c r="G589" t="s">
        <v>31</v>
      </c>
      <c r="H589" s="5">
        <v>325000</v>
      </c>
      <c r="I589" s="5">
        <v>0</v>
      </c>
      <c r="J589" s="5">
        <v>0</v>
      </c>
      <c r="K589" s="5">
        <f>Table2[[#This Row],[Advance Amount]]-Table2[[#This Row],[Expense Amount]]-Table2[[#This Row],[Return Amount]]</f>
        <v>325000</v>
      </c>
      <c r="L589" s="5" t="str">
        <f>IF(Table2[[#This Row],[Outstanding]]=0,"Settled",IF(Table2[[#This Row],[Outstanding]]&gt;0,"Outstanding"))</f>
        <v>Outstanding</v>
      </c>
      <c r="M589" s="5" t="str">
        <f>IF(Table2[[#This Row],[Advance Amount]]=Table2[[#This Row],[Expense Amount]]+Table2[[#This Row],[Return Amount]]+Table2[[#This Row],[Outstanding]],"Ok","Check")</f>
        <v>Ok</v>
      </c>
      <c r="N589" s="11">
        <f>IF(Table2[[#This Row],[Status]]="Settled",0,$Q$2-Table2[[#This Row],[Date]])</f>
        <v>97</v>
      </c>
      <c r="O589" s="5" t="str">
        <f>IF(Table2[[#This Row],[Age Days]]&lt;=7,"Normal",IF(Table2[[#This Row],[Age Days]]&lt;=14,"Perlu Dipantau",IF(Table2[[#This Row],[Age Days]]&lt;=30,"Perlu Ditindaklanjuti","Overdue")))</f>
        <v>Overdue</v>
      </c>
    </row>
    <row r="590" spans="1:15" x14ac:dyDescent="0.3">
      <c r="A590" t="s">
        <v>674</v>
      </c>
      <c r="B590" s="3">
        <v>46169</v>
      </c>
      <c r="C590" t="s">
        <v>11</v>
      </c>
      <c r="D590" t="s">
        <v>12</v>
      </c>
      <c r="E590" t="s">
        <v>13</v>
      </c>
      <c r="F590" t="s">
        <v>20</v>
      </c>
      <c r="G590" t="s">
        <v>28</v>
      </c>
      <c r="H590" s="5">
        <v>455000</v>
      </c>
      <c r="I590" s="5">
        <v>425000</v>
      </c>
      <c r="J590" s="5">
        <v>30000</v>
      </c>
      <c r="K590" s="5">
        <f>Table2[[#This Row],[Advance Amount]]-Table2[[#This Row],[Expense Amount]]-Table2[[#This Row],[Return Amount]]</f>
        <v>0</v>
      </c>
      <c r="L590" s="5" t="str">
        <f>IF(Table2[[#This Row],[Outstanding]]=0,"Settled",IF(Table2[[#This Row],[Outstanding]]&gt;0,"Outstanding"))</f>
        <v>Settled</v>
      </c>
      <c r="M590" s="5" t="str">
        <f>IF(Table2[[#This Row],[Advance Amount]]=Table2[[#This Row],[Expense Amount]]+Table2[[#This Row],[Return Amount]]+Table2[[#This Row],[Outstanding]],"Ok","Check")</f>
        <v>Ok</v>
      </c>
      <c r="N590" s="11">
        <f>IF(Table2[[#This Row],[Status]]="Settled",0,$Q$2-Table2[[#This Row],[Date]])</f>
        <v>0</v>
      </c>
      <c r="O590" s="5" t="str">
        <f>IF(Table2[[#This Row],[Age Days]]&lt;=7,"Normal",IF(Table2[[#This Row],[Age Days]]&lt;=14,"Perlu Dipantau",IF(Table2[[#This Row],[Age Days]]&lt;=30,"Perlu Ditindaklanjuti","Overdue")))</f>
        <v>Normal</v>
      </c>
    </row>
    <row r="591" spans="1:15" x14ac:dyDescent="0.3">
      <c r="A591" t="s">
        <v>675</v>
      </c>
      <c r="B591" s="3">
        <v>46169</v>
      </c>
      <c r="C591" t="s">
        <v>38</v>
      </c>
      <c r="D591" t="s">
        <v>39</v>
      </c>
      <c r="E591" t="s">
        <v>24</v>
      </c>
      <c r="F591" t="s">
        <v>20</v>
      </c>
      <c r="G591" t="s">
        <v>31</v>
      </c>
      <c r="H591" s="5">
        <v>375000</v>
      </c>
      <c r="I591" s="5">
        <v>325000</v>
      </c>
      <c r="J591" s="5">
        <v>50000</v>
      </c>
      <c r="K591" s="5">
        <f>Table2[[#This Row],[Advance Amount]]-Table2[[#This Row],[Expense Amount]]-Table2[[#This Row],[Return Amount]]</f>
        <v>0</v>
      </c>
      <c r="L591" s="5" t="str">
        <f>IF(Table2[[#This Row],[Outstanding]]=0,"Settled",IF(Table2[[#This Row],[Outstanding]]&gt;0,"Outstanding"))</f>
        <v>Settled</v>
      </c>
      <c r="M591" s="5" t="str">
        <f>IF(Table2[[#This Row],[Advance Amount]]=Table2[[#This Row],[Expense Amount]]+Table2[[#This Row],[Return Amount]]+Table2[[#This Row],[Outstanding]],"Ok","Check")</f>
        <v>Ok</v>
      </c>
      <c r="N591" s="11">
        <f>IF(Table2[[#This Row],[Status]]="Settled",0,$Q$2-Table2[[#This Row],[Date]])</f>
        <v>0</v>
      </c>
      <c r="O591" s="5" t="str">
        <f>IF(Table2[[#This Row],[Age Days]]&lt;=7,"Normal",IF(Table2[[#This Row],[Age Days]]&lt;=14,"Perlu Dipantau",IF(Table2[[#This Row],[Age Days]]&lt;=30,"Perlu Ditindaklanjuti","Overdue")))</f>
        <v>Normal</v>
      </c>
    </row>
    <row r="592" spans="1:15" x14ac:dyDescent="0.3">
      <c r="A592" t="s">
        <v>676</v>
      </c>
      <c r="B592" s="3">
        <v>46169</v>
      </c>
      <c r="C592" t="s">
        <v>38</v>
      </c>
      <c r="D592" t="s">
        <v>39</v>
      </c>
      <c r="E592" t="s">
        <v>24</v>
      </c>
      <c r="F592" t="s">
        <v>20</v>
      </c>
      <c r="G592" t="s">
        <v>15</v>
      </c>
      <c r="H592" s="5">
        <v>3275000</v>
      </c>
      <c r="I592" s="5">
        <v>0</v>
      </c>
      <c r="J592" s="5">
        <v>0</v>
      </c>
      <c r="K592" s="5">
        <f>Table2[[#This Row],[Advance Amount]]-Table2[[#This Row],[Expense Amount]]-Table2[[#This Row],[Return Amount]]</f>
        <v>3275000</v>
      </c>
      <c r="L592" s="5" t="str">
        <f>IF(Table2[[#This Row],[Outstanding]]=0,"Settled",IF(Table2[[#This Row],[Outstanding]]&gt;0,"Outstanding"))</f>
        <v>Outstanding</v>
      </c>
      <c r="M592" s="5" t="str">
        <f>IF(Table2[[#This Row],[Advance Amount]]=Table2[[#This Row],[Expense Amount]]+Table2[[#This Row],[Return Amount]]+Table2[[#This Row],[Outstanding]],"Ok","Check")</f>
        <v>Ok</v>
      </c>
      <c r="N592" s="11">
        <f>IF(Table2[[#This Row],[Status]]="Settled",0,$Q$2-Table2[[#This Row],[Date]])</f>
        <v>96</v>
      </c>
      <c r="O592" s="5" t="str">
        <f>IF(Table2[[#This Row],[Age Days]]&lt;=7,"Normal",IF(Table2[[#This Row],[Age Days]]&lt;=14,"Perlu Dipantau",IF(Table2[[#This Row],[Age Days]]&lt;=30,"Perlu Ditindaklanjuti","Overdue")))</f>
        <v>Overdue</v>
      </c>
    </row>
    <row r="593" spans="1:15" x14ac:dyDescent="0.3">
      <c r="A593" t="s">
        <v>677</v>
      </c>
      <c r="B593" s="3">
        <v>46169</v>
      </c>
      <c r="C593" t="s">
        <v>50</v>
      </c>
      <c r="D593" t="s">
        <v>51</v>
      </c>
      <c r="E593" t="s">
        <v>52</v>
      </c>
      <c r="F593" t="s">
        <v>20</v>
      </c>
      <c r="G593" t="s">
        <v>57</v>
      </c>
      <c r="H593" s="5">
        <v>130000</v>
      </c>
      <c r="I593" s="5">
        <v>100000</v>
      </c>
      <c r="J593" s="5">
        <v>30000</v>
      </c>
      <c r="K593" s="5">
        <f>Table2[[#This Row],[Advance Amount]]-Table2[[#This Row],[Expense Amount]]-Table2[[#This Row],[Return Amount]]</f>
        <v>0</v>
      </c>
      <c r="L593" s="5" t="str">
        <f>IF(Table2[[#This Row],[Outstanding]]=0,"Settled",IF(Table2[[#This Row],[Outstanding]]&gt;0,"Outstanding"))</f>
        <v>Settled</v>
      </c>
      <c r="M593" s="5" t="str">
        <f>IF(Table2[[#This Row],[Advance Amount]]=Table2[[#This Row],[Expense Amount]]+Table2[[#This Row],[Return Amount]]+Table2[[#This Row],[Outstanding]],"Ok","Check")</f>
        <v>Ok</v>
      </c>
      <c r="N593" s="11">
        <f>IF(Table2[[#This Row],[Status]]="Settled",0,$Q$2-Table2[[#This Row],[Date]])</f>
        <v>0</v>
      </c>
      <c r="O593" s="5" t="str">
        <f>IF(Table2[[#This Row],[Age Days]]&lt;=7,"Normal",IF(Table2[[#This Row],[Age Days]]&lt;=14,"Perlu Dipantau",IF(Table2[[#This Row],[Age Days]]&lt;=30,"Perlu Ditindaklanjuti","Overdue")))</f>
        <v>Normal</v>
      </c>
    </row>
    <row r="594" spans="1:15" x14ac:dyDescent="0.3">
      <c r="A594" t="s">
        <v>678</v>
      </c>
      <c r="B594" s="3">
        <v>46169</v>
      </c>
      <c r="C594" t="s">
        <v>64</v>
      </c>
      <c r="D594" t="s">
        <v>65</v>
      </c>
      <c r="E594" t="s">
        <v>37</v>
      </c>
      <c r="F594" t="s">
        <v>20</v>
      </c>
      <c r="G594" t="s">
        <v>61</v>
      </c>
      <c r="H594" s="5">
        <v>300000</v>
      </c>
      <c r="I594" s="5">
        <v>0</v>
      </c>
      <c r="J594" s="5">
        <v>0</v>
      </c>
      <c r="K594" s="5">
        <f>Table2[[#This Row],[Advance Amount]]-Table2[[#This Row],[Expense Amount]]-Table2[[#This Row],[Return Amount]]</f>
        <v>300000</v>
      </c>
      <c r="L594" s="5" t="str">
        <f>IF(Table2[[#This Row],[Outstanding]]=0,"Settled",IF(Table2[[#This Row],[Outstanding]]&gt;0,"Outstanding"))</f>
        <v>Outstanding</v>
      </c>
      <c r="M594" s="5" t="str">
        <f>IF(Table2[[#This Row],[Advance Amount]]=Table2[[#This Row],[Expense Amount]]+Table2[[#This Row],[Return Amount]]+Table2[[#This Row],[Outstanding]],"Ok","Check")</f>
        <v>Ok</v>
      </c>
      <c r="N594" s="11">
        <f>IF(Table2[[#This Row],[Status]]="Settled",0,$Q$2-Table2[[#This Row],[Date]])</f>
        <v>96</v>
      </c>
      <c r="O594" s="5" t="str">
        <f>IF(Table2[[#This Row],[Age Days]]&lt;=7,"Normal",IF(Table2[[#This Row],[Age Days]]&lt;=14,"Perlu Dipantau",IF(Table2[[#This Row],[Age Days]]&lt;=30,"Perlu Ditindaklanjuti","Overdue")))</f>
        <v>Overdue</v>
      </c>
    </row>
    <row r="595" spans="1:15" x14ac:dyDescent="0.3">
      <c r="A595" t="s">
        <v>679</v>
      </c>
      <c r="B595" s="3">
        <v>46169</v>
      </c>
      <c r="C595" t="s">
        <v>53</v>
      </c>
      <c r="D595" t="s">
        <v>54</v>
      </c>
      <c r="E595" t="s">
        <v>43</v>
      </c>
      <c r="F595" t="s">
        <v>14</v>
      </c>
      <c r="G595" t="s">
        <v>40</v>
      </c>
      <c r="H595" s="5">
        <v>900000</v>
      </c>
      <c r="I595" s="5">
        <v>700000</v>
      </c>
      <c r="J595" s="5">
        <v>200000</v>
      </c>
      <c r="K595" s="5">
        <f>Table2[[#This Row],[Advance Amount]]-Table2[[#This Row],[Expense Amount]]-Table2[[#This Row],[Return Amount]]</f>
        <v>0</v>
      </c>
      <c r="L595" s="5" t="str">
        <f>IF(Table2[[#This Row],[Outstanding]]=0,"Settled",IF(Table2[[#This Row],[Outstanding]]&gt;0,"Outstanding"))</f>
        <v>Settled</v>
      </c>
      <c r="M595" s="5" t="str">
        <f>IF(Table2[[#This Row],[Advance Amount]]=Table2[[#This Row],[Expense Amount]]+Table2[[#This Row],[Return Amount]]+Table2[[#This Row],[Outstanding]],"Ok","Check")</f>
        <v>Ok</v>
      </c>
      <c r="N595" s="11">
        <f>IF(Table2[[#This Row],[Status]]="Settled",0,$Q$2-Table2[[#This Row],[Date]])</f>
        <v>0</v>
      </c>
      <c r="O595" s="5" t="str">
        <f>IF(Table2[[#This Row],[Age Days]]&lt;=7,"Normal",IF(Table2[[#This Row],[Age Days]]&lt;=14,"Perlu Dipantau",IF(Table2[[#This Row],[Age Days]]&lt;=30,"Perlu Ditindaklanjuti","Overdue")))</f>
        <v>Normal</v>
      </c>
    </row>
    <row r="596" spans="1:15" x14ac:dyDescent="0.3">
      <c r="A596" t="s">
        <v>680</v>
      </c>
      <c r="B596" s="3">
        <v>46170</v>
      </c>
      <c r="C596" t="s">
        <v>62</v>
      </c>
      <c r="D596" t="s">
        <v>63</v>
      </c>
      <c r="E596" t="s">
        <v>52</v>
      </c>
      <c r="F596" t="s">
        <v>14</v>
      </c>
      <c r="G596" t="s">
        <v>15</v>
      </c>
      <c r="H596" s="5">
        <v>650000</v>
      </c>
      <c r="I596" s="5">
        <v>525000</v>
      </c>
      <c r="J596" s="5">
        <v>125000</v>
      </c>
      <c r="K596" s="5">
        <f>Table2[[#This Row],[Advance Amount]]-Table2[[#This Row],[Expense Amount]]-Table2[[#This Row],[Return Amount]]</f>
        <v>0</v>
      </c>
      <c r="L596" s="5" t="str">
        <f>IF(Table2[[#This Row],[Outstanding]]=0,"Settled",IF(Table2[[#This Row],[Outstanding]]&gt;0,"Outstanding"))</f>
        <v>Settled</v>
      </c>
      <c r="M596" s="5" t="str">
        <f>IF(Table2[[#This Row],[Advance Amount]]=Table2[[#This Row],[Expense Amount]]+Table2[[#This Row],[Return Amount]]+Table2[[#This Row],[Outstanding]],"Ok","Check")</f>
        <v>Ok</v>
      </c>
      <c r="N596" s="11">
        <f>IF(Table2[[#This Row],[Status]]="Settled",0,$Q$2-Table2[[#This Row],[Date]])</f>
        <v>0</v>
      </c>
      <c r="O596" s="5" t="str">
        <f>IF(Table2[[#This Row],[Age Days]]&lt;=7,"Normal",IF(Table2[[#This Row],[Age Days]]&lt;=14,"Perlu Dipantau",IF(Table2[[#This Row],[Age Days]]&lt;=30,"Perlu Ditindaklanjuti","Overdue")))</f>
        <v>Normal</v>
      </c>
    </row>
    <row r="597" spans="1:15" x14ac:dyDescent="0.3">
      <c r="A597" t="s">
        <v>681</v>
      </c>
      <c r="B597" s="3">
        <v>46170</v>
      </c>
      <c r="C597" t="s">
        <v>11</v>
      </c>
      <c r="D597" t="s">
        <v>12</v>
      </c>
      <c r="E597" t="s">
        <v>13</v>
      </c>
      <c r="F597" t="s">
        <v>14</v>
      </c>
      <c r="G597" t="s">
        <v>61</v>
      </c>
      <c r="H597" s="5">
        <v>75000</v>
      </c>
      <c r="I597" s="5">
        <v>50000</v>
      </c>
      <c r="J597" s="5">
        <v>25000</v>
      </c>
      <c r="K597" s="5">
        <f>Table2[[#This Row],[Advance Amount]]-Table2[[#This Row],[Expense Amount]]-Table2[[#This Row],[Return Amount]]</f>
        <v>0</v>
      </c>
      <c r="L597" s="5" t="str">
        <f>IF(Table2[[#This Row],[Outstanding]]=0,"Settled",IF(Table2[[#This Row],[Outstanding]]&gt;0,"Outstanding"))</f>
        <v>Settled</v>
      </c>
      <c r="M597" s="5" t="str">
        <f>IF(Table2[[#This Row],[Advance Amount]]=Table2[[#This Row],[Expense Amount]]+Table2[[#This Row],[Return Amount]]+Table2[[#This Row],[Outstanding]],"Ok","Check")</f>
        <v>Ok</v>
      </c>
      <c r="N597" s="11">
        <f>IF(Table2[[#This Row],[Status]]="Settled",0,$Q$2-Table2[[#This Row],[Date]])</f>
        <v>0</v>
      </c>
      <c r="O597" s="5" t="str">
        <f>IF(Table2[[#This Row],[Age Days]]&lt;=7,"Normal",IF(Table2[[#This Row],[Age Days]]&lt;=14,"Perlu Dipantau",IF(Table2[[#This Row],[Age Days]]&lt;=30,"Perlu Ditindaklanjuti","Overdue")))</f>
        <v>Normal</v>
      </c>
    </row>
    <row r="598" spans="1:15" x14ac:dyDescent="0.3">
      <c r="A598" t="s">
        <v>682</v>
      </c>
      <c r="B598" s="3">
        <v>46170</v>
      </c>
      <c r="C598" t="s">
        <v>38</v>
      </c>
      <c r="D598" t="s">
        <v>39</v>
      </c>
      <c r="E598" t="s">
        <v>24</v>
      </c>
      <c r="F598" t="s">
        <v>14</v>
      </c>
      <c r="G598" t="s">
        <v>34</v>
      </c>
      <c r="H598" s="5">
        <v>275000</v>
      </c>
      <c r="I598" s="5">
        <v>250000</v>
      </c>
      <c r="J598" s="5">
        <v>25000</v>
      </c>
      <c r="K598" s="5">
        <f>Table2[[#This Row],[Advance Amount]]-Table2[[#This Row],[Expense Amount]]-Table2[[#This Row],[Return Amount]]</f>
        <v>0</v>
      </c>
      <c r="L598" s="5" t="str">
        <f>IF(Table2[[#This Row],[Outstanding]]=0,"Settled",IF(Table2[[#This Row],[Outstanding]]&gt;0,"Outstanding"))</f>
        <v>Settled</v>
      </c>
      <c r="M598" s="5" t="str">
        <f>IF(Table2[[#This Row],[Advance Amount]]=Table2[[#This Row],[Expense Amount]]+Table2[[#This Row],[Return Amount]]+Table2[[#This Row],[Outstanding]],"Ok","Check")</f>
        <v>Ok</v>
      </c>
      <c r="N598" s="11">
        <f>IF(Table2[[#This Row],[Status]]="Settled",0,$Q$2-Table2[[#This Row],[Date]])</f>
        <v>0</v>
      </c>
      <c r="O598" s="5" t="str">
        <f>IF(Table2[[#This Row],[Age Days]]&lt;=7,"Normal",IF(Table2[[#This Row],[Age Days]]&lt;=14,"Perlu Dipantau",IF(Table2[[#This Row],[Age Days]]&lt;=30,"Perlu Ditindaklanjuti","Overdue")))</f>
        <v>Normal</v>
      </c>
    </row>
    <row r="599" spans="1:15" x14ac:dyDescent="0.3">
      <c r="A599" t="s">
        <v>683</v>
      </c>
      <c r="B599" s="3">
        <v>46170</v>
      </c>
      <c r="C599" t="s">
        <v>17</v>
      </c>
      <c r="D599" t="s">
        <v>18</v>
      </c>
      <c r="E599" t="s">
        <v>19</v>
      </c>
      <c r="F599" t="s">
        <v>20</v>
      </c>
      <c r="G599" t="s">
        <v>57</v>
      </c>
      <c r="H599" s="5">
        <v>130000</v>
      </c>
      <c r="I599" s="5">
        <v>100000</v>
      </c>
      <c r="J599" s="5">
        <v>30000</v>
      </c>
      <c r="K599" s="5">
        <f>Table2[[#This Row],[Advance Amount]]-Table2[[#This Row],[Expense Amount]]-Table2[[#This Row],[Return Amount]]</f>
        <v>0</v>
      </c>
      <c r="L599" s="5" t="str">
        <f>IF(Table2[[#This Row],[Outstanding]]=0,"Settled",IF(Table2[[#This Row],[Outstanding]]&gt;0,"Outstanding"))</f>
        <v>Settled</v>
      </c>
      <c r="M599" s="5" t="str">
        <f>IF(Table2[[#This Row],[Advance Amount]]=Table2[[#This Row],[Expense Amount]]+Table2[[#This Row],[Return Amount]]+Table2[[#This Row],[Outstanding]],"Ok","Check")</f>
        <v>Ok</v>
      </c>
      <c r="N599" s="11">
        <f>IF(Table2[[#This Row],[Status]]="Settled",0,$Q$2-Table2[[#This Row],[Date]])</f>
        <v>0</v>
      </c>
      <c r="O599" s="5" t="str">
        <f>IF(Table2[[#This Row],[Age Days]]&lt;=7,"Normal",IF(Table2[[#This Row],[Age Days]]&lt;=14,"Perlu Dipantau",IF(Table2[[#This Row],[Age Days]]&lt;=30,"Perlu Ditindaklanjuti","Overdue")))</f>
        <v>Normal</v>
      </c>
    </row>
    <row r="600" spans="1:15" x14ac:dyDescent="0.3">
      <c r="A600" t="s">
        <v>684</v>
      </c>
      <c r="B600" s="3">
        <v>46170</v>
      </c>
      <c r="C600" t="s">
        <v>59</v>
      </c>
      <c r="D600" t="s">
        <v>60</v>
      </c>
      <c r="E600" t="s">
        <v>19</v>
      </c>
      <c r="F600" t="s">
        <v>20</v>
      </c>
      <c r="G600" t="s">
        <v>61</v>
      </c>
      <c r="H600" s="5">
        <v>575000</v>
      </c>
      <c r="I600" s="5">
        <v>0</v>
      </c>
      <c r="J600" s="5">
        <v>0</v>
      </c>
      <c r="K600" s="5">
        <f>Table2[[#This Row],[Advance Amount]]-Table2[[#This Row],[Expense Amount]]-Table2[[#This Row],[Return Amount]]</f>
        <v>575000</v>
      </c>
      <c r="L600" s="5" t="str">
        <f>IF(Table2[[#This Row],[Outstanding]]=0,"Settled",IF(Table2[[#This Row],[Outstanding]]&gt;0,"Outstanding"))</f>
        <v>Outstanding</v>
      </c>
      <c r="M600" s="5" t="str">
        <f>IF(Table2[[#This Row],[Advance Amount]]=Table2[[#This Row],[Expense Amount]]+Table2[[#This Row],[Return Amount]]+Table2[[#This Row],[Outstanding]],"Ok","Check")</f>
        <v>Ok</v>
      </c>
      <c r="N600" s="11">
        <f>IF(Table2[[#This Row],[Status]]="Settled",0,$Q$2-Table2[[#This Row],[Date]])</f>
        <v>95</v>
      </c>
      <c r="O600" s="5" t="str">
        <f>IF(Table2[[#This Row],[Age Days]]&lt;=7,"Normal",IF(Table2[[#This Row],[Age Days]]&lt;=14,"Perlu Dipantau",IF(Table2[[#This Row],[Age Days]]&lt;=30,"Perlu Ditindaklanjuti","Overdue")))</f>
        <v>Overdue</v>
      </c>
    </row>
    <row r="601" spans="1:15" x14ac:dyDescent="0.3">
      <c r="A601" t="s">
        <v>685</v>
      </c>
      <c r="B601" s="3">
        <v>46171</v>
      </c>
      <c r="C601" t="s">
        <v>46</v>
      </c>
      <c r="D601" t="s">
        <v>47</v>
      </c>
      <c r="E601" t="s">
        <v>37</v>
      </c>
      <c r="F601" t="s">
        <v>20</v>
      </c>
      <c r="G601" t="s">
        <v>40</v>
      </c>
      <c r="H601" s="5">
        <v>675000</v>
      </c>
      <c r="I601" s="5">
        <v>600000</v>
      </c>
      <c r="J601" s="5">
        <v>75000</v>
      </c>
      <c r="K601" s="5">
        <f>Table2[[#This Row],[Advance Amount]]-Table2[[#This Row],[Expense Amount]]-Table2[[#This Row],[Return Amount]]</f>
        <v>0</v>
      </c>
      <c r="L601" s="5" t="str">
        <f>IF(Table2[[#This Row],[Outstanding]]=0,"Settled",IF(Table2[[#This Row],[Outstanding]]&gt;0,"Outstanding"))</f>
        <v>Settled</v>
      </c>
      <c r="M601" s="5" t="str">
        <f>IF(Table2[[#This Row],[Advance Amount]]=Table2[[#This Row],[Expense Amount]]+Table2[[#This Row],[Return Amount]]+Table2[[#This Row],[Outstanding]],"Ok","Check")</f>
        <v>Ok</v>
      </c>
      <c r="N601" s="11">
        <f>IF(Table2[[#This Row],[Status]]="Settled",0,$Q$2-Table2[[#This Row],[Date]])</f>
        <v>0</v>
      </c>
      <c r="O601" s="5" t="str">
        <f>IF(Table2[[#This Row],[Age Days]]&lt;=7,"Normal",IF(Table2[[#This Row],[Age Days]]&lt;=14,"Perlu Dipantau",IF(Table2[[#This Row],[Age Days]]&lt;=30,"Perlu Ditindaklanjuti","Overdue")))</f>
        <v>Normal</v>
      </c>
    </row>
    <row r="602" spans="1:15" x14ac:dyDescent="0.3">
      <c r="A602" t="s">
        <v>686</v>
      </c>
      <c r="B602" s="3">
        <v>46171</v>
      </c>
      <c r="C602" t="s">
        <v>46</v>
      </c>
      <c r="D602" t="s">
        <v>47</v>
      </c>
      <c r="E602" t="s">
        <v>37</v>
      </c>
      <c r="F602" t="s">
        <v>20</v>
      </c>
      <c r="G602" t="s">
        <v>31</v>
      </c>
      <c r="H602" s="5">
        <v>1225000</v>
      </c>
      <c r="I602" s="5">
        <v>1050000</v>
      </c>
      <c r="J602" s="5">
        <v>175000</v>
      </c>
      <c r="K602" s="5">
        <f>Table2[[#This Row],[Advance Amount]]-Table2[[#This Row],[Expense Amount]]-Table2[[#This Row],[Return Amount]]</f>
        <v>0</v>
      </c>
      <c r="L602" s="5" t="str">
        <f>IF(Table2[[#This Row],[Outstanding]]=0,"Settled",IF(Table2[[#This Row],[Outstanding]]&gt;0,"Outstanding"))</f>
        <v>Settled</v>
      </c>
      <c r="M602" s="5" t="str">
        <f>IF(Table2[[#This Row],[Advance Amount]]=Table2[[#This Row],[Expense Amount]]+Table2[[#This Row],[Return Amount]]+Table2[[#This Row],[Outstanding]],"Ok","Check")</f>
        <v>Ok</v>
      </c>
      <c r="N602" s="11">
        <f>IF(Table2[[#This Row],[Status]]="Settled",0,$Q$2-Table2[[#This Row],[Date]])</f>
        <v>0</v>
      </c>
      <c r="O602" s="5" t="str">
        <f>IF(Table2[[#This Row],[Age Days]]&lt;=7,"Normal",IF(Table2[[#This Row],[Age Days]]&lt;=14,"Perlu Dipantau",IF(Table2[[#This Row],[Age Days]]&lt;=30,"Perlu Ditindaklanjuti","Overdue")))</f>
        <v>Normal</v>
      </c>
    </row>
    <row r="603" spans="1:15" x14ac:dyDescent="0.3">
      <c r="A603" t="s">
        <v>687</v>
      </c>
      <c r="B603" s="3">
        <v>46171</v>
      </c>
      <c r="C603" t="s">
        <v>41</v>
      </c>
      <c r="D603" t="s">
        <v>42</v>
      </c>
      <c r="E603" t="s">
        <v>43</v>
      </c>
      <c r="F603" t="s">
        <v>20</v>
      </c>
      <c r="G603" t="s">
        <v>28</v>
      </c>
      <c r="H603" s="5">
        <v>255000</v>
      </c>
      <c r="I603" s="5">
        <v>200000</v>
      </c>
      <c r="J603" s="5">
        <v>55000</v>
      </c>
      <c r="K603" s="5">
        <f>Table2[[#This Row],[Advance Amount]]-Table2[[#This Row],[Expense Amount]]-Table2[[#This Row],[Return Amount]]</f>
        <v>0</v>
      </c>
      <c r="L603" s="5" t="str">
        <f>IF(Table2[[#This Row],[Outstanding]]=0,"Settled",IF(Table2[[#This Row],[Outstanding]]&gt;0,"Outstanding"))</f>
        <v>Settled</v>
      </c>
      <c r="M603" s="5" t="str">
        <f>IF(Table2[[#This Row],[Advance Amount]]=Table2[[#This Row],[Expense Amount]]+Table2[[#This Row],[Return Amount]]+Table2[[#This Row],[Outstanding]],"Ok","Check")</f>
        <v>Ok</v>
      </c>
      <c r="N603" s="11">
        <f>IF(Table2[[#This Row],[Status]]="Settled",0,$Q$2-Table2[[#This Row],[Date]])</f>
        <v>0</v>
      </c>
      <c r="O603" s="5" t="str">
        <f>IF(Table2[[#This Row],[Age Days]]&lt;=7,"Normal",IF(Table2[[#This Row],[Age Days]]&lt;=14,"Perlu Dipantau",IF(Table2[[#This Row],[Age Days]]&lt;=30,"Perlu Ditindaklanjuti","Overdue")))</f>
        <v>Normal</v>
      </c>
    </row>
    <row r="604" spans="1:15" x14ac:dyDescent="0.3">
      <c r="A604" t="s">
        <v>688</v>
      </c>
      <c r="B604" s="3">
        <v>46171</v>
      </c>
      <c r="C604" t="s">
        <v>17</v>
      </c>
      <c r="D604" t="s">
        <v>18</v>
      </c>
      <c r="E604" t="s">
        <v>19</v>
      </c>
      <c r="F604" t="s">
        <v>14</v>
      </c>
      <c r="G604" t="s">
        <v>57</v>
      </c>
      <c r="H604" s="5">
        <v>405000</v>
      </c>
      <c r="I604" s="5">
        <v>0</v>
      </c>
      <c r="J604" s="5">
        <v>0</v>
      </c>
      <c r="K604" s="5">
        <f>Table2[[#This Row],[Advance Amount]]-Table2[[#This Row],[Expense Amount]]-Table2[[#This Row],[Return Amount]]</f>
        <v>405000</v>
      </c>
      <c r="L604" s="5" t="str">
        <f>IF(Table2[[#This Row],[Outstanding]]=0,"Settled",IF(Table2[[#This Row],[Outstanding]]&gt;0,"Outstanding"))</f>
        <v>Outstanding</v>
      </c>
      <c r="M604" s="5" t="str">
        <f>IF(Table2[[#This Row],[Advance Amount]]=Table2[[#This Row],[Expense Amount]]+Table2[[#This Row],[Return Amount]]+Table2[[#This Row],[Outstanding]],"Ok","Check")</f>
        <v>Ok</v>
      </c>
      <c r="N604" s="11">
        <f>IF(Table2[[#This Row],[Status]]="Settled",0,$Q$2-Table2[[#This Row],[Date]])</f>
        <v>94</v>
      </c>
      <c r="O604" s="5" t="str">
        <f>IF(Table2[[#This Row],[Age Days]]&lt;=7,"Normal",IF(Table2[[#This Row],[Age Days]]&lt;=14,"Perlu Dipantau",IF(Table2[[#This Row],[Age Days]]&lt;=30,"Perlu Ditindaklanjuti","Overdue")))</f>
        <v>Overdue</v>
      </c>
    </row>
    <row r="605" spans="1:15" x14ac:dyDescent="0.3">
      <c r="A605" t="s">
        <v>689</v>
      </c>
      <c r="B605" s="3">
        <v>46171</v>
      </c>
      <c r="C605" t="s">
        <v>66</v>
      </c>
      <c r="D605" t="s">
        <v>67</v>
      </c>
      <c r="E605" t="s">
        <v>13</v>
      </c>
      <c r="F605" t="s">
        <v>20</v>
      </c>
      <c r="G605" t="s">
        <v>58</v>
      </c>
      <c r="H605" s="5">
        <v>750000</v>
      </c>
      <c r="I605" s="5">
        <v>0</v>
      </c>
      <c r="J605" s="5">
        <v>0</v>
      </c>
      <c r="K605" s="5">
        <f>Table2[[#This Row],[Advance Amount]]-Table2[[#This Row],[Expense Amount]]-Table2[[#This Row],[Return Amount]]</f>
        <v>750000</v>
      </c>
      <c r="L605" s="5" t="str">
        <f>IF(Table2[[#This Row],[Outstanding]]=0,"Settled",IF(Table2[[#This Row],[Outstanding]]&gt;0,"Outstanding"))</f>
        <v>Outstanding</v>
      </c>
      <c r="M605" s="5" t="str">
        <f>IF(Table2[[#This Row],[Advance Amount]]=Table2[[#This Row],[Expense Amount]]+Table2[[#This Row],[Return Amount]]+Table2[[#This Row],[Outstanding]],"Ok","Check")</f>
        <v>Ok</v>
      </c>
      <c r="N605" s="11">
        <f>IF(Table2[[#This Row],[Status]]="Settled",0,$Q$2-Table2[[#This Row],[Date]])</f>
        <v>94</v>
      </c>
      <c r="O605" s="5" t="str">
        <f>IF(Table2[[#This Row],[Age Days]]&lt;=7,"Normal",IF(Table2[[#This Row],[Age Days]]&lt;=14,"Perlu Dipantau",IF(Table2[[#This Row],[Age Days]]&lt;=30,"Perlu Ditindaklanjuti","Overdue")))</f>
        <v>Overdue</v>
      </c>
    </row>
    <row r="606" spans="1:15" x14ac:dyDescent="0.3">
      <c r="A606" t="s">
        <v>690</v>
      </c>
      <c r="B606" s="3">
        <v>46171</v>
      </c>
      <c r="C606" t="s">
        <v>22</v>
      </c>
      <c r="D606" t="s">
        <v>23</v>
      </c>
      <c r="E606" t="s">
        <v>24</v>
      </c>
      <c r="F606" t="s">
        <v>14</v>
      </c>
      <c r="G606" t="s">
        <v>40</v>
      </c>
      <c r="H606" s="5">
        <v>825000</v>
      </c>
      <c r="I606" s="5">
        <v>750000</v>
      </c>
      <c r="J606" s="5">
        <v>75000</v>
      </c>
      <c r="K606" s="5">
        <f>Table2[[#This Row],[Advance Amount]]-Table2[[#This Row],[Expense Amount]]-Table2[[#This Row],[Return Amount]]</f>
        <v>0</v>
      </c>
      <c r="L606" s="5" t="str">
        <f>IF(Table2[[#This Row],[Outstanding]]=0,"Settled",IF(Table2[[#This Row],[Outstanding]]&gt;0,"Outstanding"))</f>
        <v>Settled</v>
      </c>
      <c r="M606" s="5" t="str">
        <f>IF(Table2[[#This Row],[Advance Amount]]=Table2[[#This Row],[Expense Amount]]+Table2[[#This Row],[Return Amount]]+Table2[[#This Row],[Outstanding]],"Ok","Check")</f>
        <v>Ok</v>
      </c>
      <c r="N606" s="11">
        <f>IF(Table2[[#This Row],[Status]]="Settled",0,$Q$2-Table2[[#This Row],[Date]])</f>
        <v>0</v>
      </c>
      <c r="O606" s="5" t="str">
        <f>IF(Table2[[#This Row],[Age Days]]&lt;=7,"Normal",IF(Table2[[#This Row],[Age Days]]&lt;=14,"Perlu Dipantau",IF(Table2[[#This Row],[Age Days]]&lt;=30,"Perlu Ditindaklanjuti","Overdue")))</f>
        <v>Normal</v>
      </c>
    </row>
    <row r="607" spans="1:15" x14ac:dyDescent="0.3">
      <c r="A607" t="s">
        <v>691</v>
      </c>
      <c r="B607" s="3">
        <v>46172</v>
      </c>
      <c r="C607" t="s">
        <v>29</v>
      </c>
      <c r="D607" t="s">
        <v>30</v>
      </c>
      <c r="E607" t="s">
        <v>13</v>
      </c>
      <c r="F607" t="s">
        <v>20</v>
      </c>
      <c r="G607" t="s">
        <v>57</v>
      </c>
      <c r="H607" s="5">
        <v>130000</v>
      </c>
      <c r="I607" s="5">
        <v>100000</v>
      </c>
      <c r="J607" s="5">
        <v>30000</v>
      </c>
      <c r="K607" s="5">
        <f>Table2[[#This Row],[Advance Amount]]-Table2[[#This Row],[Expense Amount]]-Table2[[#This Row],[Return Amount]]</f>
        <v>0</v>
      </c>
      <c r="L607" s="5" t="str">
        <f>IF(Table2[[#This Row],[Outstanding]]=0,"Settled",IF(Table2[[#This Row],[Outstanding]]&gt;0,"Outstanding"))</f>
        <v>Settled</v>
      </c>
      <c r="M607" s="5" t="str">
        <f>IF(Table2[[#This Row],[Advance Amount]]=Table2[[#This Row],[Expense Amount]]+Table2[[#This Row],[Return Amount]]+Table2[[#This Row],[Outstanding]],"Ok","Check")</f>
        <v>Ok</v>
      </c>
      <c r="N607" s="11">
        <f>IF(Table2[[#This Row],[Status]]="Settled",0,$Q$2-Table2[[#This Row],[Date]])</f>
        <v>0</v>
      </c>
      <c r="O607" s="5" t="str">
        <f>IF(Table2[[#This Row],[Age Days]]&lt;=7,"Normal",IF(Table2[[#This Row],[Age Days]]&lt;=14,"Perlu Dipantau",IF(Table2[[#This Row],[Age Days]]&lt;=30,"Perlu Ditindaklanjuti","Overdue")))</f>
        <v>Normal</v>
      </c>
    </row>
    <row r="608" spans="1:15" x14ac:dyDescent="0.3">
      <c r="A608" t="s">
        <v>692</v>
      </c>
      <c r="B608" s="3">
        <v>46172</v>
      </c>
      <c r="C608" t="s">
        <v>35</v>
      </c>
      <c r="D608" t="s">
        <v>36</v>
      </c>
      <c r="E608" t="s">
        <v>37</v>
      </c>
      <c r="F608" t="s">
        <v>14</v>
      </c>
      <c r="G608" t="s">
        <v>28</v>
      </c>
      <c r="H608" s="5">
        <v>430000</v>
      </c>
      <c r="I608" s="5">
        <v>400000</v>
      </c>
      <c r="J608" s="5">
        <v>30000</v>
      </c>
      <c r="K608" s="5">
        <f>Table2[[#This Row],[Advance Amount]]-Table2[[#This Row],[Expense Amount]]-Table2[[#This Row],[Return Amount]]</f>
        <v>0</v>
      </c>
      <c r="L608" s="5" t="str">
        <f>IF(Table2[[#This Row],[Outstanding]]=0,"Settled",IF(Table2[[#This Row],[Outstanding]]&gt;0,"Outstanding"))</f>
        <v>Settled</v>
      </c>
      <c r="M608" s="5" t="str">
        <f>IF(Table2[[#This Row],[Advance Amount]]=Table2[[#This Row],[Expense Amount]]+Table2[[#This Row],[Return Amount]]+Table2[[#This Row],[Outstanding]],"Ok","Check")</f>
        <v>Ok</v>
      </c>
      <c r="N608" s="11">
        <f>IF(Table2[[#This Row],[Status]]="Settled",0,$Q$2-Table2[[#This Row],[Date]])</f>
        <v>0</v>
      </c>
      <c r="O608" s="5" t="str">
        <f>IF(Table2[[#This Row],[Age Days]]&lt;=7,"Normal",IF(Table2[[#This Row],[Age Days]]&lt;=14,"Perlu Dipantau",IF(Table2[[#This Row],[Age Days]]&lt;=30,"Perlu Ditindaklanjuti","Overdue")))</f>
        <v>Normal</v>
      </c>
    </row>
    <row r="609" spans="1:15" x14ac:dyDescent="0.3">
      <c r="A609" t="s">
        <v>693</v>
      </c>
      <c r="B609" s="3">
        <v>46172</v>
      </c>
      <c r="C609" t="s">
        <v>59</v>
      </c>
      <c r="D609" t="s">
        <v>60</v>
      </c>
      <c r="E609" t="s">
        <v>19</v>
      </c>
      <c r="F609" t="s">
        <v>20</v>
      </c>
      <c r="G609" t="s">
        <v>57</v>
      </c>
      <c r="H609" s="5">
        <v>130000</v>
      </c>
      <c r="I609" s="5">
        <v>100000</v>
      </c>
      <c r="J609" s="5">
        <v>30000</v>
      </c>
      <c r="K609" s="5">
        <f>Table2[[#This Row],[Advance Amount]]-Table2[[#This Row],[Expense Amount]]-Table2[[#This Row],[Return Amount]]</f>
        <v>0</v>
      </c>
      <c r="L609" s="5" t="str">
        <f>IF(Table2[[#This Row],[Outstanding]]=0,"Settled",IF(Table2[[#This Row],[Outstanding]]&gt;0,"Outstanding"))</f>
        <v>Settled</v>
      </c>
      <c r="M609" s="5" t="str">
        <f>IF(Table2[[#This Row],[Advance Amount]]=Table2[[#This Row],[Expense Amount]]+Table2[[#This Row],[Return Amount]]+Table2[[#This Row],[Outstanding]],"Ok","Check")</f>
        <v>Ok</v>
      </c>
      <c r="N609" s="11">
        <f>IF(Table2[[#This Row],[Status]]="Settled",0,$Q$2-Table2[[#This Row],[Date]])</f>
        <v>0</v>
      </c>
      <c r="O609" s="5" t="str">
        <f>IF(Table2[[#This Row],[Age Days]]&lt;=7,"Normal",IF(Table2[[#This Row],[Age Days]]&lt;=14,"Perlu Dipantau",IF(Table2[[#This Row],[Age Days]]&lt;=30,"Perlu Ditindaklanjuti","Overdue")))</f>
        <v>Normal</v>
      </c>
    </row>
    <row r="610" spans="1:15" x14ac:dyDescent="0.3">
      <c r="A610" t="s">
        <v>694</v>
      </c>
      <c r="B610" s="3">
        <v>46173</v>
      </c>
      <c r="C610" t="s">
        <v>32</v>
      </c>
      <c r="D610" t="s">
        <v>33</v>
      </c>
      <c r="E610" t="s">
        <v>27</v>
      </c>
      <c r="F610" t="s">
        <v>20</v>
      </c>
      <c r="G610" t="s">
        <v>34</v>
      </c>
      <c r="H610" s="5">
        <v>50000</v>
      </c>
      <c r="I610" s="5">
        <v>50000</v>
      </c>
      <c r="J610" s="5">
        <v>0</v>
      </c>
      <c r="K610" s="5">
        <f>Table2[[#This Row],[Advance Amount]]-Table2[[#This Row],[Expense Amount]]-Table2[[#This Row],[Return Amount]]</f>
        <v>0</v>
      </c>
      <c r="L610" s="5" t="str">
        <f>IF(Table2[[#This Row],[Outstanding]]=0,"Settled",IF(Table2[[#This Row],[Outstanding]]&gt;0,"Outstanding"))</f>
        <v>Settled</v>
      </c>
      <c r="M610" s="5" t="str">
        <f>IF(Table2[[#This Row],[Advance Amount]]=Table2[[#This Row],[Expense Amount]]+Table2[[#This Row],[Return Amount]]+Table2[[#This Row],[Outstanding]],"Ok","Check")</f>
        <v>Ok</v>
      </c>
      <c r="N610" s="11">
        <f>IF(Table2[[#This Row],[Status]]="Settled",0,$Q$2-Table2[[#This Row],[Date]])</f>
        <v>0</v>
      </c>
      <c r="O610" s="5" t="str">
        <f>IF(Table2[[#This Row],[Age Days]]&lt;=7,"Normal",IF(Table2[[#This Row],[Age Days]]&lt;=14,"Perlu Dipantau",IF(Table2[[#This Row],[Age Days]]&lt;=30,"Perlu Ditindaklanjuti","Overdue")))</f>
        <v>Normal</v>
      </c>
    </row>
    <row r="611" spans="1:15" x14ac:dyDescent="0.3">
      <c r="A611" t="s">
        <v>695</v>
      </c>
      <c r="B611" s="3">
        <v>46173</v>
      </c>
      <c r="C611" t="s">
        <v>32</v>
      </c>
      <c r="D611" t="s">
        <v>33</v>
      </c>
      <c r="E611" t="s">
        <v>27</v>
      </c>
      <c r="F611" t="s">
        <v>14</v>
      </c>
      <c r="G611" t="s">
        <v>61</v>
      </c>
      <c r="H611" s="5">
        <v>150000</v>
      </c>
      <c r="I611" s="5">
        <v>150000</v>
      </c>
      <c r="J611" s="5">
        <v>0</v>
      </c>
      <c r="K611" s="5">
        <f>Table2[[#This Row],[Advance Amount]]-Table2[[#This Row],[Expense Amount]]-Table2[[#This Row],[Return Amount]]</f>
        <v>0</v>
      </c>
      <c r="L611" s="5" t="str">
        <f>IF(Table2[[#This Row],[Outstanding]]=0,"Settled",IF(Table2[[#This Row],[Outstanding]]&gt;0,"Outstanding"))</f>
        <v>Settled</v>
      </c>
      <c r="M611" s="5" t="str">
        <f>IF(Table2[[#This Row],[Advance Amount]]=Table2[[#This Row],[Expense Amount]]+Table2[[#This Row],[Return Amount]]+Table2[[#This Row],[Outstanding]],"Ok","Check")</f>
        <v>Ok</v>
      </c>
      <c r="N611" s="11">
        <f>IF(Table2[[#This Row],[Status]]="Settled",0,$Q$2-Table2[[#This Row],[Date]])</f>
        <v>0</v>
      </c>
      <c r="O611" s="5" t="str">
        <f>IF(Table2[[#This Row],[Age Days]]&lt;=7,"Normal",IF(Table2[[#This Row],[Age Days]]&lt;=14,"Perlu Dipantau",IF(Table2[[#This Row],[Age Days]]&lt;=30,"Perlu Ditindaklanjuti","Overdue")))</f>
        <v>Normal</v>
      </c>
    </row>
    <row r="612" spans="1:15" x14ac:dyDescent="0.3">
      <c r="A612" t="s">
        <v>696</v>
      </c>
      <c r="B612" s="3">
        <v>46173</v>
      </c>
      <c r="C612" t="s">
        <v>35</v>
      </c>
      <c r="D612" t="s">
        <v>36</v>
      </c>
      <c r="E612" t="s">
        <v>37</v>
      </c>
      <c r="F612" t="s">
        <v>14</v>
      </c>
      <c r="G612" t="s">
        <v>58</v>
      </c>
      <c r="H612" s="5">
        <v>300000</v>
      </c>
      <c r="I612" s="5">
        <v>275000</v>
      </c>
      <c r="J612" s="5">
        <v>25000</v>
      </c>
      <c r="K612" s="5">
        <f>Table2[[#This Row],[Advance Amount]]-Table2[[#This Row],[Expense Amount]]-Table2[[#This Row],[Return Amount]]</f>
        <v>0</v>
      </c>
      <c r="L612" s="5" t="str">
        <f>IF(Table2[[#This Row],[Outstanding]]=0,"Settled",IF(Table2[[#This Row],[Outstanding]]&gt;0,"Outstanding"))</f>
        <v>Settled</v>
      </c>
      <c r="M612" s="5" t="str">
        <f>IF(Table2[[#This Row],[Advance Amount]]=Table2[[#This Row],[Expense Amount]]+Table2[[#This Row],[Return Amount]]+Table2[[#This Row],[Outstanding]],"Ok","Check")</f>
        <v>Ok</v>
      </c>
      <c r="N612" s="11">
        <f>IF(Table2[[#This Row],[Status]]="Settled",0,$Q$2-Table2[[#This Row],[Date]])</f>
        <v>0</v>
      </c>
      <c r="O612" s="5" t="str">
        <f>IF(Table2[[#This Row],[Age Days]]&lt;=7,"Normal",IF(Table2[[#This Row],[Age Days]]&lt;=14,"Perlu Dipantau",IF(Table2[[#This Row],[Age Days]]&lt;=30,"Perlu Ditindaklanjuti","Overdue")))</f>
        <v>Normal</v>
      </c>
    </row>
    <row r="613" spans="1:15" x14ac:dyDescent="0.3">
      <c r="A613" t="s">
        <v>697</v>
      </c>
      <c r="B613" s="3">
        <v>46173</v>
      </c>
      <c r="C613" t="s">
        <v>59</v>
      </c>
      <c r="D613" t="s">
        <v>60</v>
      </c>
      <c r="E613" t="s">
        <v>19</v>
      </c>
      <c r="F613" t="s">
        <v>20</v>
      </c>
      <c r="G613" t="s">
        <v>34</v>
      </c>
      <c r="H613" s="5">
        <v>125000</v>
      </c>
      <c r="I613" s="5">
        <v>100000</v>
      </c>
      <c r="J613" s="5">
        <v>25000</v>
      </c>
      <c r="K613" s="5">
        <f>Table2[[#This Row],[Advance Amount]]-Table2[[#This Row],[Expense Amount]]-Table2[[#This Row],[Return Amount]]</f>
        <v>0</v>
      </c>
      <c r="L613" s="5" t="str">
        <f>IF(Table2[[#This Row],[Outstanding]]=0,"Settled",IF(Table2[[#This Row],[Outstanding]]&gt;0,"Outstanding"))</f>
        <v>Settled</v>
      </c>
      <c r="M613" s="5" t="str">
        <f>IF(Table2[[#This Row],[Advance Amount]]=Table2[[#This Row],[Expense Amount]]+Table2[[#This Row],[Return Amount]]+Table2[[#This Row],[Outstanding]],"Ok","Check")</f>
        <v>Ok</v>
      </c>
      <c r="N613" s="11">
        <f>IF(Table2[[#This Row],[Status]]="Settled",0,$Q$2-Table2[[#This Row],[Date]])</f>
        <v>0</v>
      </c>
      <c r="O613" s="5" t="str">
        <f>IF(Table2[[#This Row],[Age Days]]&lt;=7,"Normal",IF(Table2[[#This Row],[Age Days]]&lt;=14,"Perlu Dipantau",IF(Table2[[#This Row],[Age Days]]&lt;=30,"Perlu Ditindaklanjuti","Overdue")))</f>
        <v>Normal</v>
      </c>
    </row>
    <row r="614" spans="1:15" x14ac:dyDescent="0.3">
      <c r="A614" t="s">
        <v>698</v>
      </c>
      <c r="B614" s="3">
        <v>46174</v>
      </c>
      <c r="C614" t="s">
        <v>46</v>
      </c>
      <c r="D614" t="s">
        <v>47</v>
      </c>
      <c r="E614" t="s">
        <v>37</v>
      </c>
      <c r="F614" t="s">
        <v>20</v>
      </c>
      <c r="G614" t="s">
        <v>31</v>
      </c>
      <c r="H614" s="5">
        <v>100000</v>
      </c>
      <c r="I614" s="5">
        <v>75000</v>
      </c>
      <c r="J614" s="5">
        <v>25000</v>
      </c>
      <c r="K614" s="5">
        <f>Table2[[#This Row],[Advance Amount]]-Table2[[#This Row],[Expense Amount]]-Table2[[#This Row],[Return Amount]]</f>
        <v>0</v>
      </c>
      <c r="L614" s="5" t="str">
        <f>IF(Table2[[#This Row],[Outstanding]]=0,"Settled",IF(Table2[[#This Row],[Outstanding]]&gt;0,"Outstanding"))</f>
        <v>Settled</v>
      </c>
      <c r="M614" s="5" t="str">
        <f>IF(Table2[[#This Row],[Advance Amount]]=Table2[[#This Row],[Expense Amount]]+Table2[[#This Row],[Return Amount]]+Table2[[#This Row],[Outstanding]],"Ok","Check")</f>
        <v>Ok</v>
      </c>
      <c r="N614" s="11">
        <f>IF(Table2[[#This Row],[Status]]="Settled",0,$Q$2-Table2[[#This Row],[Date]])</f>
        <v>0</v>
      </c>
      <c r="O614" s="5" t="str">
        <f>IF(Table2[[#This Row],[Age Days]]&lt;=7,"Normal",IF(Table2[[#This Row],[Age Days]]&lt;=14,"Perlu Dipantau",IF(Table2[[#This Row],[Age Days]]&lt;=30,"Perlu Ditindaklanjuti","Overdue")))</f>
        <v>Normal</v>
      </c>
    </row>
    <row r="615" spans="1:15" x14ac:dyDescent="0.3">
      <c r="A615" t="s">
        <v>699</v>
      </c>
      <c r="B615" s="3">
        <v>46174</v>
      </c>
      <c r="C615" t="s">
        <v>55</v>
      </c>
      <c r="D615" t="s">
        <v>56</v>
      </c>
      <c r="E615" t="s">
        <v>24</v>
      </c>
      <c r="F615" t="s">
        <v>20</v>
      </c>
      <c r="G615" t="s">
        <v>58</v>
      </c>
      <c r="H615" s="5">
        <v>825000</v>
      </c>
      <c r="I615" s="5">
        <v>675000</v>
      </c>
      <c r="J615" s="5">
        <v>150000</v>
      </c>
      <c r="K615" s="5">
        <f>Table2[[#This Row],[Advance Amount]]-Table2[[#This Row],[Expense Amount]]-Table2[[#This Row],[Return Amount]]</f>
        <v>0</v>
      </c>
      <c r="L615" s="5" t="str">
        <f>IF(Table2[[#This Row],[Outstanding]]=0,"Settled",IF(Table2[[#This Row],[Outstanding]]&gt;0,"Outstanding"))</f>
        <v>Settled</v>
      </c>
      <c r="M615" s="5" t="str">
        <f>IF(Table2[[#This Row],[Advance Amount]]=Table2[[#This Row],[Expense Amount]]+Table2[[#This Row],[Return Amount]]+Table2[[#This Row],[Outstanding]],"Ok","Check")</f>
        <v>Ok</v>
      </c>
      <c r="N615" s="11">
        <f>IF(Table2[[#This Row],[Status]]="Settled",0,$Q$2-Table2[[#This Row],[Date]])</f>
        <v>0</v>
      </c>
      <c r="O615" s="5" t="str">
        <f>IF(Table2[[#This Row],[Age Days]]&lt;=7,"Normal",IF(Table2[[#This Row],[Age Days]]&lt;=14,"Perlu Dipantau",IF(Table2[[#This Row],[Age Days]]&lt;=30,"Perlu Ditindaklanjuti","Overdue")))</f>
        <v>Normal</v>
      </c>
    </row>
    <row r="616" spans="1:15" x14ac:dyDescent="0.3">
      <c r="A616" t="s">
        <v>700</v>
      </c>
      <c r="B616" s="3">
        <v>46174</v>
      </c>
      <c r="C616" t="s">
        <v>41</v>
      </c>
      <c r="D616" t="s">
        <v>42</v>
      </c>
      <c r="E616" t="s">
        <v>43</v>
      </c>
      <c r="F616" t="s">
        <v>20</v>
      </c>
      <c r="G616" t="s">
        <v>28</v>
      </c>
      <c r="H616" s="5">
        <v>305000</v>
      </c>
      <c r="I616" s="5">
        <v>225000</v>
      </c>
      <c r="J616" s="5">
        <v>80000</v>
      </c>
      <c r="K616" s="5">
        <f>Table2[[#This Row],[Advance Amount]]-Table2[[#This Row],[Expense Amount]]-Table2[[#This Row],[Return Amount]]</f>
        <v>0</v>
      </c>
      <c r="L616" s="5" t="str">
        <f>IF(Table2[[#This Row],[Outstanding]]=0,"Settled",IF(Table2[[#This Row],[Outstanding]]&gt;0,"Outstanding"))</f>
        <v>Settled</v>
      </c>
      <c r="M616" s="5" t="str">
        <f>IF(Table2[[#This Row],[Advance Amount]]=Table2[[#This Row],[Expense Amount]]+Table2[[#This Row],[Return Amount]]+Table2[[#This Row],[Outstanding]],"Ok","Check")</f>
        <v>Ok</v>
      </c>
      <c r="N616" s="11">
        <f>IF(Table2[[#This Row],[Status]]="Settled",0,$Q$2-Table2[[#This Row],[Date]])</f>
        <v>0</v>
      </c>
      <c r="O616" s="5" t="str">
        <f>IF(Table2[[#This Row],[Age Days]]&lt;=7,"Normal",IF(Table2[[#This Row],[Age Days]]&lt;=14,"Perlu Dipantau",IF(Table2[[#This Row],[Age Days]]&lt;=30,"Perlu Ditindaklanjuti","Overdue")))</f>
        <v>Normal</v>
      </c>
    </row>
    <row r="617" spans="1:15" x14ac:dyDescent="0.3">
      <c r="A617" t="s">
        <v>701</v>
      </c>
      <c r="B617" s="3">
        <v>46174</v>
      </c>
      <c r="C617" t="s">
        <v>44</v>
      </c>
      <c r="D617" t="s">
        <v>45</v>
      </c>
      <c r="E617" t="s">
        <v>43</v>
      </c>
      <c r="F617" t="s">
        <v>20</v>
      </c>
      <c r="G617" t="s">
        <v>34</v>
      </c>
      <c r="H617" s="5">
        <v>375000</v>
      </c>
      <c r="I617" s="5">
        <v>275000</v>
      </c>
      <c r="J617" s="5">
        <v>100000</v>
      </c>
      <c r="K617" s="5">
        <f>Table2[[#This Row],[Advance Amount]]-Table2[[#This Row],[Expense Amount]]-Table2[[#This Row],[Return Amount]]</f>
        <v>0</v>
      </c>
      <c r="L617" s="5" t="str">
        <f>IF(Table2[[#This Row],[Outstanding]]=0,"Settled",IF(Table2[[#This Row],[Outstanding]]&gt;0,"Outstanding"))</f>
        <v>Settled</v>
      </c>
      <c r="M617" s="5" t="str">
        <f>IF(Table2[[#This Row],[Advance Amount]]=Table2[[#This Row],[Expense Amount]]+Table2[[#This Row],[Return Amount]]+Table2[[#This Row],[Outstanding]],"Ok","Check")</f>
        <v>Ok</v>
      </c>
      <c r="N617" s="11">
        <f>IF(Table2[[#This Row],[Status]]="Settled",0,$Q$2-Table2[[#This Row],[Date]])</f>
        <v>0</v>
      </c>
      <c r="O617" s="5" t="str">
        <f>IF(Table2[[#This Row],[Age Days]]&lt;=7,"Normal",IF(Table2[[#This Row],[Age Days]]&lt;=14,"Perlu Dipantau",IF(Table2[[#This Row],[Age Days]]&lt;=30,"Perlu Ditindaklanjuti","Overdue")))</f>
        <v>Normal</v>
      </c>
    </row>
    <row r="618" spans="1:15" x14ac:dyDescent="0.3">
      <c r="A618" t="s">
        <v>702</v>
      </c>
      <c r="B618" s="3">
        <v>46174</v>
      </c>
      <c r="C618" t="s">
        <v>50</v>
      </c>
      <c r="D618" t="s">
        <v>51</v>
      </c>
      <c r="E618" t="s">
        <v>52</v>
      </c>
      <c r="F618" t="s">
        <v>14</v>
      </c>
      <c r="G618" t="s">
        <v>34</v>
      </c>
      <c r="H618" s="5">
        <v>350000</v>
      </c>
      <c r="I618" s="5">
        <v>0</v>
      </c>
      <c r="J618" s="5">
        <v>0</v>
      </c>
      <c r="K618" s="5">
        <f>Table2[[#This Row],[Advance Amount]]-Table2[[#This Row],[Expense Amount]]-Table2[[#This Row],[Return Amount]]</f>
        <v>350000</v>
      </c>
      <c r="L618" s="5" t="str">
        <f>IF(Table2[[#This Row],[Outstanding]]=0,"Settled",IF(Table2[[#This Row],[Outstanding]]&gt;0,"Outstanding"))</f>
        <v>Outstanding</v>
      </c>
      <c r="M618" s="5" t="str">
        <f>IF(Table2[[#This Row],[Advance Amount]]=Table2[[#This Row],[Expense Amount]]+Table2[[#This Row],[Return Amount]]+Table2[[#This Row],[Outstanding]],"Ok","Check")</f>
        <v>Ok</v>
      </c>
      <c r="N618" s="11">
        <f>IF(Table2[[#This Row],[Status]]="Settled",0,$Q$2-Table2[[#This Row],[Date]])</f>
        <v>91</v>
      </c>
      <c r="O618" s="5" t="str">
        <f>IF(Table2[[#This Row],[Age Days]]&lt;=7,"Normal",IF(Table2[[#This Row],[Age Days]]&lt;=14,"Perlu Dipantau",IF(Table2[[#This Row],[Age Days]]&lt;=30,"Perlu Ditindaklanjuti","Overdue")))</f>
        <v>Overdue</v>
      </c>
    </row>
    <row r="619" spans="1:15" x14ac:dyDescent="0.3">
      <c r="A619" t="s">
        <v>703</v>
      </c>
      <c r="B619" s="3">
        <v>46174</v>
      </c>
      <c r="C619" t="s">
        <v>66</v>
      </c>
      <c r="D619" t="s">
        <v>67</v>
      </c>
      <c r="E619" t="s">
        <v>13</v>
      </c>
      <c r="F619" t="s">
        <v>20</v>
      </c>
      <c r="G619" t="s">
        <v>58</v>
      </c>
      <c r="H619" s="5">
        <v>400000</v>
      </c>
      <c r="I619" s="5">
        <v>375000</v>
      </c>
      <c r="J619" s="5">
        <v>25000</v>
      </c>
      <c r="K619" s="5">
        <f>Table2[[#This Row],[Advance Amount]]-Table2[[#This Row],[Expense Amount]]-Table2[[#This Row],[Return Amount]]</f>
        <v>0</v>
      </c>
      <c r="L619" s="5" t="str">
        <f>IF(Table2[[#This Row],[Outstanding]]=0,"Settled",IF(Table2[[#This Row],[Outstanding]]&gt;0,"Outstanding"))</f>
        <v>Settled</v>
      </c>
      <c r="M619" s="5" t="str">
        <f>IF(Table2[[#This Row],[Advance Amount]]=Table2[[#This Row],[Expense Amount]]+Table2[[#This Row],[Return Amount]]+Table2[[#This Row],[Outstanding]],"Ok","Check")</f>
        <v>Ok</v>
      </c>
      <c r="N619" s="11">
        <f>IF(Table2[[#This Row],[Status]]="Settled",0,$Q$2-Table2[[#This Row],[Date]])</f>
        <v>0</v>
      </c>
      <c r="O619" s="5" t="str">
        <f>IF(Table2[[#This Row],[Age Days]]&lt;=7,"Normal",IF(Table2[[#This Row],[Age Days]]&lt;=14,"Perlu Dipantau",IF(Table2[[#This Row],[Age Days]]&lt;=30,"Perlu Ditindaklanjuti","Overdue")))</f>
        <v>Normal</v>
      </c>
    </row>
    <row r="620" spans="1:15" x14ac:dyDescent="0.3">
      <c r="A620" t="s">
        <v>704</v>
      </c>
      <c r="B620" s="3">
        <v>46174</v>
      </c>
      <c r="C620" t="s">
        <v>59</v>
      </c>
      <c r="D620" t="s">
        <v>60</v>
      </c>
      <c r="E620" t="s">
        <v>19</v>
      </c>
      <c r="F620" t="s">
        <v>20</v>
      </c>
      <c r="G620" t="s">
        <v>15</v>
      </c>
      <c r="H620" s="5">
        <v>750000</v>
      </c>
      <c r="I620" s="5">
        <v>700000</v>
      </c>
      <c r="J620" s="5">
        <v>50000</v>
      </c>
      <c r="K620" s="5">
        <f>Table2[[#This Row],[Advance Amount]]-Table2[[#This Row],[Expense Amount]]-Table2[[#This Row],[Return Amount]]</f>
        <v>0</v>
      </c>
      <c r="L620" s="5" t="str">
        <f>IF(Table2[[#This Row],[Outstanding]]=0,"Settled",IF(Table2[[#This Row],[Outstanding]]&gt;0,"Outstanding"))</f>
        <v>Settled</v>
      </c>
      <c r="M620" s="5" t="str">
        <f>IF(Table2[[#This Row],[Advance Amount]]=Table2[[#This Row],[Expense Amount]]+Table2[[#This Row],[Return Amount]]+Table2[[#This Row],[Outstanding]],"Ok","Check")</f>
        <v>Ok</v>
      </c>
      <c r="N620" s="11">
        <f>IF(Table2[[#This Row],[Status]]="Settled",0,$Q$2-Table2[[#This Row],[Date]])</f>
        <v>0</v>
      </c>
      <c r="O620" s="5" t="str">
        <f>IF(Table2[[#This Row],[Age Days]]&lt;=7,"Normal",IF(Table2[[#This Row],[Age Days]]&lt;=14,"Perlu Dipantau",IF(Table2[[#This Row],[Age Days]]&lt;=30,"Perlu Ditindaklanjuti","Overdue")))</f>
        <v>Normal</v>
      </c>
    </row>
    <row r="621" spans="1:15" x14ac:dyDescent="0.3">
      <c r="A621" t="s">
        <v>705</v>
      </c>
      <c r="B621" s="3">
        <v>46175</v>
      </c>
      <c r="C621" t="s">
        <v>29</v>
      </c>
      <c r="D621" t="s">
        <v>30</v>
      </c>
      <c r="E621" t="s">
        <v>13</v>
      </c>
      <c r="F621" t="s">
        <v>14</v>
      </c>
      <c r="G621" t="s">
        <v>34</v>
      </c>
      <c r="H621" s="5">
        <v>125000</v>
      </c>
      <c r="I621" s="5">
        <v>0</v>
      </c>
      <c r="J621" s="5">
        <v>0</v>
      </c>
      <c r="K621" s="5">
        <f>Table2[[#This Row],[Advance Amount]]-Table2[[#This Row],[Expense Amount]]-Table2[[#This Row],[Return Amount]]</f>
        <v>125000</v>
      </c>
      <c r="L621" s="5" t="str">
        <f>IF(Table2[[#This Row],[Outstanding]]=0,"Settled",IF(Table2[[#This Row],[Outstanding]]&gt;0,"Outstanding"))</f>
        <v>Outstanding</v>
      </c>
      <c r="M621" s="5" t="str">
        <f>IF(Table2[[#This Row],[Advance Amount]]=Table2[[#This Row],[Expense Amount]]+Table2[[#This Row],[Return Amount]]+Table2[[#This Row],[Outstanding]],"Ok","Check")</f>
        <v>Ok</v>
      </c>
      <c r="N621" s="11">
        <f>IF(Table2[[#This Row],[Status]]="Settled",0,$Q$2-Table2[[#This Row],[Date]])</f>
        <v>90</v>
      </c>
      <c r="O621" s="5" t="str">
        <f>IF(Table2[[#This Row],[Age Days]]&lt;=7,"Normal",IF(Table2[[#This Row],[Age Days]]&lt;=14,"Perlu Dipantau",IF(Table2[[#This Row],[Age Days]]&lt;=30,"Perlu Ditindaklanjuti","Overdue")))</f>
        <v>Overdue</v>
      </c>
    </row>
    <row r="622" spans="1:15" x14ac:dyDescent="0.3">
      <c r="A622" t="s">
        <v>706</v>
      </c>
      <c r="B622" s="3">
        <v>46175</v>
      </c>
      <c r="C622" t="s">
        <v>62</v>
      </c>
      <c r="D622" t="s">
        <v>63</v>
      </c>
      <c r="E622" t="s">
        <v>52</v>
      </c>
      <c r="F622" t="s">
        <v>20</v>
      </c>
      <c r="G622" t="s">
        <v>61</v>
      </c>
      <c r="H622" s="5">
        <v>450000</v>
      </c>
      <c r="I622" s="5">
        <v>400000</v>
      </c>
      <c r="J622" s="5">
        <v>50000</v>
      </c>
      <c r="K622" s="5">
        <f>Table2[[#This Row],[Advance Amount]]-Table2[[#This Row],[Expense Amount]]-Table2[[#This Row],[Return Amount]]</f>
        <v>0</v>
      </c>
      <c r="L622" s="5" t="str">
        <f>IF(Table2[[#This Row],[Outstanding]]=0,"Settled",IF(Table2[[#This Row],[Outstanding]]&gt;0,"Outstanding"))</f>
        <v>Settled</v>
      </c>
      <c r="M622" s="5" t="str">
        <f>IF(Table2[[#This Row],[Advance Amount]]=Table2[[#This Row],[Expense Amount]]+Table2[[#This Row],[Return Amount]]+Table2[[#This Row],[Outstanding]],"Ok","Check")</f>
        <v>Ok</v>
      </c>
      <c r="N622" s="11">
        <f>IF(Table2[[#This Row],[Status]]="Settled",0,$Q$2-Table2[[#This Row],[Date]])</f>
        <v>0</v>
      </c>
      <c r="O622" s="5" t="str">
        <f>IF(Table2[[#This Row],[Age Days]]&lt;=7,"Normal",IF(Table2[[#This Row],[Age Days]]&lt;=14,"Perlu Dipantau",IF(Table2[[#This Row],[Age Days]]&lt;=30,"Perlu Ditindaklanjuti","Overdue")))</f>
        <v>Normal</v>
      </c>
    </row>
    <row r="623" spans="1:15" x14ac:dyDescent="0.3">
      <c r="A623" t="s">
        <v>707</v>
      </c>
      <c r="B623" s="3">
        <v>46175</v>
      </c>
      <c r="C623" t="s">
        <v>41</v>
      </c>
      <c r="D623" t="s">
        <v>42</v>
      </c>
      <c r="E623" t="s">
        <v>43</v>
      </c>
      <c r="F623" t="s">
        <v>20</v>
      </c>
      <c r="G623" t="s">
        <v>57</v>
      </c>
      <c r="H623" s="5">
        <v>230000</v>
      </c>
      <c r="I623" s="5">
        <v>175000</v>
      </c>
      <c r="J623" s="5">
        <v>55000</v>
      </c>
      <c r="K623" s="5">
        <f>Table2[[#This Row],[Advance Amount]]-Table2[[#This Row],[Expense Amount]]-Table2[[#This Row],[Return Amount]]</f>
        <v>0</v>
      </c>
      <c r="L623" s="5" t="str">
        <f>IF(Table2[[#This Row],[Outstanding]]=0,"Settled",IF(Table2[[#This Row],[Outstanding]]&gt;0,"Outstanding"))</f>
        <v>Settled</v>
      </c>
      <c r="M623" s="5" t="str">
        <f>IF(Table2[[#This Row],[Advance Amount]]=Table2[[#This Row],[Expense Amount]]+Table2[[#This Row],[Return Amount]]+Table2[[#This Row],[Outstanding]],"Ok","Check")</f>
        <v>Ok</v>
      </c>
      <c r="N623" s="11">
        <f>IF(Table2[[#This Row],[Status]]="Settled",0,$Q$2-Table2[[#This Row],[Date]])</f>
        <v>0</v>
      </c>
      <c r="O623" s="5" t="str">
        <f>IF(Table2[[#This Row],[Age Days]]&lt;=7,"Normal",IF(Table2[[#This Row],[Age Days]]&lt;=14,"Perlu Dipantau",IF(Table2[[#This Row],[Age Days]]&lt;=30,"Perlu Ditindaklanjuti","Overdue")))</f>
        <v>Normal</v>
      </c>
    </row>
    <row r="624" spans="1:15" x14ac:dyDescent="0.3">
      <c r="A624" t="s">
        <v>708</v>
      </c>
      <c r="B624" s="3">
        <v>46175</v>
      </c>
      <c r="C624" t="s">
        <v>38</v>
      </c>
      <c r="D624" t="s">
        <v>39</v>
      </c>
      <c r="E624" t="s">
        <v>24</v>
      </c>
      <c r="F624" t="s">
        <v>14</v>
      </c>
      <c r="G624" t="s">
        <v>57</v>
      </c>
      <c r="H624" s="5">
        <v>480000</v>
      </c>
      <c r="I624" s="5">
        <v>0</v>
      </c>
      <c r="J624" s="5">
        <v>0</v>
      </c>
      <c r="K624" s="5">
        <f>Table2[[#This Row],[Advance Amount]]-Table2[[#This Row],[Expense Amount]]-Table2[[#This Row],[Return Amount]]</f>
        <v>480000</v>
      </c>
      <c r="L624" s="5" t="str">
        <f>IF(Table2[[#This Row],[Outstanding]]=0,"Settled",IF(Table2[[#This Row],[Outstanding]]&gt;0,"Outstanding"))</f>
        <v>Outstanding</v>
      </c>
      <c r="M624" s="5" t="str">
        <f>IF(Table2[[#This Row],[Advance Amount]]=Table2[[#This Row],[Expense Amount]]+Table2[[#This Row],[Return Amount]]+Table2[[#This Row],[Outstanding]],"Ok","Check")</f>
        <v>Ok</v>
      </c>
      <c r="N624" s="11">
        <f>IF(Table2[[#This Row],[Status]]="Settled",0,$Q$2-Table2[[#This Row],[Date]])</f>
        <v>90</v>
      </c>
      <c r="O624" s="5" t="str">
        <f>IF(Table2[[#This Row],[Age Days]]&lt;=7,"Normal",IF(Table2[[#This Row],[Age Days]]&lt;=14,"Perlu Dipantau",IF(Table2[[#This Row],[Age Days]]&lt;=30,"Perlu Ditindaklanjuti","Overdue")))</f>
        <v>Overdue</v>
      </c>
    </row>
    <row r="625" spans="1:15" x14ac:dyDescent="0.3">
      <c r="A625" t="s">
        <v>709</v>
      </c>
      <c r="B625" s="3">
        <v>46176</v>
      </c>
      <c r="C625" t="s">
        <v>46</v>
      </c>
      <c r="D625" t="s">
        <v>47</v>
      </c>
      <c r="E625" t="s">
        <v>37</v>
      </c>
      <c r="F625" t="s">
        <v>20</v>
      </c>
      <c r="G625" t="s">
        <v>31</v>
      </c>
      <c r="H625" s="5">
        <v>1250000</v>
      </c>
      <c r="I625" s="5">
        <v>925000</v>
      </c>
      <c r="J625" s="5">
        <v>325000</v>
      </c>
      <c r="K625" s="5">
        <f>Table2[[#This Row],[Advance Amount]]-Table2[[#This Row],[Expense Amount]]-Table2[[#This Row],[Return Amount]]</f>
        <v>0</v>
      </c>
      <c r="L625" s="5" t="str">
        <f>IF(Table2[[#This Row],[Outstanding]]=0,"Settled",IF(Table2[[#This Row],[Outstanding]]&gt;0,"Outstanding"))</f>
        <v>Settled</v>
      </c>
      <c r="M625" s="5" t="str">
        <f>IF(Table2[[#This Row],[Advance Amount]]=Table2[[#This Row],[Expense Amount]]+Table2[[#This Row],[Return Amount]]+Table2[[#This Row],[Outstanding]],"Ok","Check")</f>
        <v>Ok</v>
      </c>
      <c r="N625" s="11">
        <f>IF(Table2[[#This Row],[Status]]="Settled",0,$Q$2-Table2[[#This Row],[Date]])</f>
        <v>0</v>
      </c>
      <c r="O625" s="5" t="str">
        <f>IF(Table2[[#This Row],[Age Days]]&lt;=7,"Normal",IF(Table2[[#This Row],[Age Days]]&lt;=14,"Perlu Dipantau",IF(Table2[[#This Row],[Age Days]]&lt;=30,"Perlu Ditindaklanjuti","Overdue")))</f>
        <v>Normal</v>
      </c>
    </row>
    <row r="626" spans="1:15" x14ac:dyDescent="0.3">
      <c r="A626" t="s">
        <v>710</v>
      </c>
      <c r="B626" s="3">
        <v>46176</v>
      </c>
      <c r="C626" t="s">
        <v>32</v>
      </c>
      <c r="D626" t="s">
        <v>33</v>
      </c>
      <c r="E626" t="s">
        <v>27</v>
      </c>
      <c r="F626" t="s">
        <v>20</v>
      </c>
      <c r="G626" t="s">
        <v>58</v>
      </c>
      <c r="H626" s="5">
        <v>750000</v>
      </c>
      <c r="I626" s="5">
        <v>550000</v>
      </c>
      <c r="J626" s="5">
        <v>200000</v>
      </c>
      <c r="K626" s="5">
        <f>Table2[[#This Row],[Advance Amount]]-Table2[[#This Row],[Expense Amount]]-Table2[[#This Row],[Return Amount]]</f>
        <v>0</v>
      </c>
      <c r="L626" s="5" t="str">
        <f>IF(Table2[[#This Row],[Outstanding]]=0,"Settled",IF(Table2[[#This Row],[Outstanding]]&gt;0,"Outstanding"))</f>
        <v>Settled</v>
      </c>
      <c r="M626" s="5" t="str">
        <f>IF(Table2[[#This Row],[Advance Amount]]=Table2[[#This Row],[Expense Amount]]+Table2[[#This Row],[Return Amount]]+Table2[[#This Row],[Outstanding]],"Ok","Check")</f>
        <v>Ok</v>
      </c>
      <c r="N626" s="11">
        <f>IF(Table2[[#This Row],[Status]]="Settled",0,$Q$2-Table2[[#This Row],[Date]])</f>
        <v>0</v>
      </c>
      <c r="O626" s="5" t="str">
        <f>IF(Table2[[#This Row],[Age Days]]&lt;=7,"Normal",IF(Table2[[#This Row],[Age Days]]&lt;=14,"Perlu Dipantau",IF(Table2[[#This Row],[Age Days]]&lt;=30,"Perlu Ditindaklanjuti","Overdue")))</f>
        <v>Normal</v>
      </c>
    </row>
    <row r="627" spans="1:15" x14ac:dyDescent="0.3">
      <c r="A627" t="s">
        <v>711</v>
      </c>
      <c r="B627" s="3">
        <v>46176</v>
      </c>
      <c r="C627" t="s">
        <v>35</v>
      </c>
      <c r="D627" t="s">
        <v>36</v>
      </c>
      <c r="E627" t="s">
        <v>37</v>
      </c>
      <c r="F627" t="s">
        <v>20</v>
      </c>
      <c r="G627" t="s">
        <v>58</v>
      </c>
      <c r="H627" s="5">
        <v>600000</v>
      </c>
      <c r="I627" s="5">
        <v>475000</v>
      </c>
      <c r="J627" s="5">
        <v>125000</v>
      </c>
      <c r="K627" s="5">
        <f>Table2[[#This Row],[Advance Amount]]-Table2[[#This Row],[Expense Amount]]-Table2[[#This Row],[Return Amount]]</f>
        <v>0</v>
      </c>
      <c r="L627" s="5" t="str">
        <f>IF(Table2[[#This Row],[Outstanding]]=0,"Settled",IF(Table2[[#This Row],[Outstanding]]&gt;0,"Outstanding"))</f>
        <v>Settled</v>
      </c>
      <c r="M627" s="5" t="str">
        <f>IF(Table2[[#This Row],[Advance Amount]]=Table2[[#This Row],[Expense Amount]]+Table2[[#This Row],[Return Amount]]+Table2[[#This Row],[Outstanding]],"Ok","Check")</f>
        <v>Ok</v>
      </c>
      <c r="N627" s="11">
        <f>IF(Table2[[#This Row],[Status]]="Settled",0,$Q$2-Table2[[#This Row],[Date]])</f>
        <v>0</v>
      </c>
      <c r="O627" s="5" t="str">
        <f>IF(Table2[[#This Row],[Age Days]]&lt;=7,"Normal",IF(Table2[[#This Row],[Age Days]]&lt;=14,"Perlu Dipantau",IF(Table2[[#This Row],[Age Days]]&lt;=30,"Perlu Ditindaklanjuti","Overdue")))</f>
        <v>Normal</v>
      </c>
    </row>
    <row r="628" spans="1:15" x14ac:dyDescent="0.3">
      <c r="A628" t="s">
        <v>712</v>
      </c>
      <c r="B628" s="3">
        <v>46176</v>
      </c>
      <c r="C628" t="s">
        <v>50</v>
      </c>
      <c r="D628" t="s">
        <v>51</v>
      </c>
      <c r="E628" t="s">
        <v>52</v>
      </c>
      <c r="F628" t="s">
        <v>14</v>
      </c>
      <c r="G628" t="s">
        <v>61</v>
      </c>
      <c r="H628" s="5">
        <v>525000</v>
      </c>
      <c r="I628" s="5">
        <v>525000</v>
      </c>
      <c r="J628" s="5">
        <v>0</v>
      </c>
      <c r="K628" s="5">
        <f>Table2[[#This Row],[Advance Amount]]-Table2[[#This Row],[Expense Amount]]-Table2[[#This Row],[Return Amount]]</f>
        <v>0</v>
      </c>
      <c r="L628" s="5" t="str">
        <f>IF(Table2[[#This Row],[Outstanding]]=0,"Settled",IF(Table2[[#This Row],[Outstanding]]&gt;0,"Outstanding"))</f>
        <v>Settled</v>
      </c>
      <c r="M628" s="5" t="str">
        <f>IF(Table2[[#This Row],[Advance Amount]]=Table2[[#This Row],[Expense Amount]]+Table2[[#This Row],[Return Amount]]+Table2[[#This Row],[Outstanding]],"Ok","Check")</f>
        <v>Ok</v>
      </c>
      <c r="N628" s="11">
        <f>IF(Table2[[#This Row],[Status]]="Settled",0,$Q$2-Table2[[#This Row],[Date]])</f>
        <v>0</v>
      </c>
      <c r="O628" s="5" t="str">
        <f>IF(Table2[[#This Row],[Age Days]]&lt;=7,"Normal",IF(Table2[[#This Row],[Age Days]]&lt;=14,"Perlu Dipantau",IF(Table2[[#This Row],[Age Days]]&lt;=30,"Perlu Ditindaklanjuti","Overdue")))</f>
        <v>Normal</v>
      </c>
    </row>
    <row r="629" spans="1:15" x14ac:dyDescent="0.3">
      <c r="A629" t="s">
        <v>713</v>
      </c>
      <c r="B629" s="3">
        <v>46176</v>
      </c>
      <c r="C629" t="s">
        <v>64</v>
      </c>
      <c r="D629" t="s">
        <v>65</v>
      </c>
      <c r="E629" t="s">
        <v>37</v>
      </c>
      <c r="F629" t="s">
        <v>20</v>
      </c>
      <c r="G629" t="s">
        <v>31</v>
      </c>
      <c r="H629" s="5">
        <v>700000</v>
      </c>
      <c r="I629" s="5">
        <v>575000</v>
      </c>
      <c r="J629" s="5">
        <v>125000</v>
      </c>
      <c r="K629" s="5">
        <f>Table2[[#This Row],[Advance Amount]]-Table2[[#This Row],[Expense Amount]]-Table2[[#This Row],[Return Amount]]</f>
        <v>0</v>
      </c>
      <c r="L629" s="5" t="str">
        <f>IF(Table2[[#This Row],[Outstanding]]=0,"Settled",IF(Table2[[#This Row],[Outstanding]]&gt;0,"Outstanding"))</f>
        <v>Settled</v>
      </c>
      <c r="M629" s="5" t="str">
        <f>IF(Table2[[#This Row],[Advance Amount]]=Table2[[#This Row],[Expense Amount]]+Table2[[#This Row],[Return Amount]]+Table2[[#This Row],[Outstanding]],"Ok","Check")</f>
        <v>Ok</v>
      </c>
      <c r="N629" s="11">
        <f>IF(Table2[[#This Row],[Status]]="Settled",0,$Q$2-Table2[[#This Row],[Date]])</f>
        <v>0</v>
      </c>
      <c r="O629" s="5" t="str">
        <f>IF(Table2[[#This Row],[Age Days]]&lt;=7,"Normal",IF(Table2[[#This Row],[Age Days]]&lt;=14,"Perlu Dipantau",IF(Table2[[#This Row],[Age Days]]&lt;=30,"Perlu Ditindaklanjuti","Overdue")))</f>
        <v>Normal</v>
      </c>
    </row>
    <row r="630" spans="1:15" x14ac:dyDescent="0.3">
      <c r="A630" t="s">
        <v>714</v>
      </c>
      <c r="B630" s="3">
        <v>46176</v>
      </c>
      <c r="C630" t="s">
        <v>66</v>
      </c>
      <c r="D630" t="s">
        <v>67</v>
      </c>
      <c r="E630" t="s">
        <v>13</v>
      </c>
      <c r="F630" t="s">
        <v>20</v>
      </c>
      <c r="G630" t="s">
        <v>57</v>
      </c>
      <c r="H630" s="5">
        <v>105000</v>
      </c>
      <c r="I630" s="5">
        <v>75000</v>
      </c>
      <c r="J630" s="5">
        <v>30000</v>
      </c>
      <c r="K630" s="5">
        <f>Table2[[#This Row],[Advance Amount]]-Table2[[#This Row],[Expense Amount]]-Table2[[#This Row],[Return Amount]]</f>
        <v>0</v>
      </c>
      <c r="L630" s="5" t="str">
        <f>IF(Table2[[#This Row],[Outstanding]]=0,"Settled",IF(Table2[[#This Row],[Outstanding]]&gt;0,"Outstanding"))</f>
        <v>Settled</v>
      </c>
      <c r="M630" s="5" t="str">
        <f>IF(Table2[[#This Row],[Advance Amount]]=Table2[[#This Row],[Expense Amount]]+Table2[[#This Row],[Return Amount]]+Table2[[#This Row],[Outstanding]],"Ok","Check")</f>
        <v>Ok</v>
      </c>
      <c r="N630" s="11">
        <f>IF(Table2[[#This Row],[Status]]="Settled",0,$Q$2-Table2[[#This Row],[Date]])</f>
        <v>0</v>
      </c>
      <c r="O630" s="5" t="str">
        <f>IF(Table2[[#This Row],[Age Days]]&lt;=7,"Normal",IF(Table2[[#This Row],[Age Days]]&lt;=14,"Perlu Dipantau",IF(Table2[[#This Row],[Age Days]]&lt;=30,"Perlu Ditindaklanjuti","Overdue")))</f>
        <v>Normal</v>
      </c>
    </row>
    <row r="631" spans="1:15" x14ac:dyDescent="0.3">
      <c r="A631" t="s">
        <v>715</v>
      </c>
      <c r="B631" s="3">
        <v>46176</v>
      </c>
      <c r="C631" t="s">
        <v>53</v>
      </c>
      <c r="D631" t="s">
        <v>54</v>
      </c>
      <c r="E631" t="s">
        <v>43</v>
      </c>
      <c r="F631" t="s">
        <v>14</v>
      </c>
      <c r="G631" t="s">
        <v>34</v>
      </c>
      <c r="H631" s="5">
        <v>200000</v>
      </c>
      <c r="I631" s="5">
        <v>150000</v>
      </c>
      <c r="J631" s="5">
        <v>50000</v>
      </c>
      <c r="K631" s="5">
        <f>Table2[[#This Row],[Advance Amount]]-Table2[[#This Row],[Expense Amount]]-Table2[[#This Row],[Return Amount]]</f>
        <v>0</v>
      </c>
      <c r="L631" s="5" t="str">
        <f>IF(Table2[[#This Row],[Outstanding]]=0,"Settled",IF(Table2[[#This Row],[Outstanding]]&gt;0,"Outstanding"))</f>
        <v>Settled</v>
      </c>
      <c r="M631" s="5" t="str">
        <f>IF(Table2[[#This Row],[Advance Amount]]=Table2[[#This Row],[Expense Amount]]+Table2[[#This Row],[Return Amount]]+Table2[[#This Row],[Outstanding]],"Ok","Check")</f>
        <v>Ok</v>
      </c>
      <c r="N631" s="11">
        <f>IF(Table2[[#This Row],[Status]]="Settled",0,$Q$2-Table2[[#This Row],[Date]])</f>
        <v>0</v>
      </c>
      <c r="O631" s="5" t="str">
        <f>IF(Table2[[#This Row],[Age Days]]&lt;=7,"Normal",IF(Table2[[#This Row],[Age Days]]&lt;=14,"Perlu Dipantau",IF(Table2[[#This Row],[Age Days]]&lt;=30,"Perlu Ditindaklanjuti","Overdue")))</f>
        <v>Normal</v>
      </c>
    </row>
    <row r="632" spans="1:15" x14ac:dyDescent="0.3">
      <c r="A632" t="s">
        <v>716</v>
      </c>
      <c r="B632" s="3">
        <v>46176</v>
      </c>
      <c r="C632" t="s">
        <v>22</v>
      </c>
      <c r="D632" t="s">
        <v>23</v>
      </c>
      <c r="E632" t="s">
        <v>24</v>
      </c>
      <c r="F632" t="s">
        <v>20</v>
      </c>
      <c r="G632" t="s">
        <v>34</v>
      </c>
      <c r="H632" s="5">
        <v>125000</v>
      </c>
      <c r="I632" s="5">
        <v>125000</v>
      </c>
      <c r="J632" s="5">
        <v>0</v>
      </c>
      <c r="K632" s="5">
        <f>Table2[[#This Row],[Advance Amount]]-Table2[[#This Row],[Expense Amount]]-Table2[[#This Row],[Return Amount]]</f>
        <v>0</v>
      </c>
      <c r="L632" s="5" t="str">
        <f>IF(Table2[[#This Row],[Outstanding]]=0,"Settled",IF(Table2[[#This Row],[Outstanding]]&gt;0,"Outstanding"))</f>
        <v>Settled</v>
      </c>
      <c r="M632" s="5" t="str">
        <f>IF(Table2[[#This Row],[Advance Amount]]=Table2[[#This Row],[Expense Amount]]+Table2[[#This Row],[Return Amount]]+Table2[[#This Row],[Outstanding]],"Ok","Check")</f>
        <v>Ok</v>
      </c>
      <c r="N632" s="11">
        <f>IF(Table2[[#This Row],[Status]]="Settled",0,$Q$2-Table2[[#This Row],[Date]])</f>
        <v>0</v>
      </c>
      <c r="O632" s="5" t="str">
        <f>IF(Table2[[#This Row],[Age Days]]&lt;=7,"Normal",IF(Table2[[#This Row],[Age Days]]&lt;=14,"Perlu Dipantau",IF(Table2[[#This Row],[Age Days]]&lt;=30,"Perlu Ditindaklanjuti","Overdue")))</f>
        <v>Normal</v>
      </c>
    </row>
    <row r="633" spans="1:15" x14ac:dyDescent="0.3">
      <c r="A633" t="s">
        <v>717</v>
      </c>
      <c r="B633" s="3">
        <v>46176</v>
      </c>
      <c r="C633" t="s">
        <v>59</v>
      </c>
      <c r="D633" t="s">
        <v>60</v>
      </c>
      <c r="E633" t="s">
        <v>19</v>
      </c>
      <c r="F633" t="s">
        <v>14</v>
      </c>
      <c r="G633" t="s">
        <v>40</v>
      </c>
      <c r="H633" s="5">
        <v>300000</v>
      </c>
      <c r="I633" s="5">
        <v>225000</v>
      </c>
      <c r="J633" s="5">
        <v>75000</v>
      </c>
      <c r="K633" s="5">
        <f>Table2[[#This Row],[Advance Amount]]-Table2[[#This Row],[Expense Amount]]-Table2[[#This Row],[Return Amount]]</f>
        <v>0</v>
      </c>
      <c r="L633" s="5" t="str">
        <f>IF(Table2[[#This Row],[Outstanding]]=0,"Settled",IF(Table2[[#This Row],[Outstanding]]&gt;0,"Outstanding"))</f>
        <v>Settled</v>
      </c>
      <c r="M633" s="5" t="str">
        <f>IF(Table2[[#This Row],[Advance Amount]]=Table2[[#This Row],[Expense Amount]]+Table2[[#This Row],[Return Amount]]+Table2[[#This Row],[Outstanding]],"Ok","Check")</f>
        <v>Ok</v>
      </c>
      <c r="N633" s="11">
        <f>IF(Table2[[#This Row],[Status]]="Settled",0,$Q$2-Table2[[#This Row],[Date]])</f>
        <v>0</v>
      </c>
      <c r="O633" s="5" t="str">
        <f>IF(Table2[[#This Row],[Age Days]]&lt;=7,"Normal",IF(Table2[[#This Row],[Age Days]]&lt;=14,"Perlu Dipantau",IF(Table2[[#This Row],[Age Days]]&lt;=30,"Perlu Ditindaklanjuti","Overdue")))</f>
        <v>Normal</v>
      </c>
    </row>
    <row r="634" spans="1:15" x14ac:dyDescent="0.3">
      <c r="A634" t="s">
        <v>718</v>
      </c>
      <c r="B634" s="3">
        <v>46176</v>
      </c>
      <c r="C634" t="s">
        <v>59</v>
      </c>
      <c r="D634" t="s">
        <v>60</v>
      </c>
      <c r="E634" t="s">
        <v>19</v>
      </c>
      <c r="F634" t="s">
        <v>20</v>
      </c>
      <c r="G634" t="s">
        <v>34</v>
      </c>
      <c r="H634" s="5">
        <v>400000</v>
      </c>
      <c r="I634" s="5">
        <v>0</v>
      </c>
      <c r="J634" s="5">
        <v>0</v>
      </c>
      <c r="K634" s="5">
        <f>Table2[[#This Row],[Advance Amount]]-Table2[[#This Row],[Expense Amount]]-Table2[[#This Row],[Return Amount]]</f>
        <v>400000</v>
      </c>
      <c r="L634" s="5" t="str">
        <f>IF(Table2[[#This Row],[Outstanding]]=0,"Settled",IF(Table2[[#This Row],[Outstanding]]&gt;0,"Outstanding"))</f>
        <v>Outstanding</v>
      </c>
      <c r="M634" s="5" t="str">
        <f>IF(Table2[[#This Row],[Advance Amount]]=Table2[[#This Row],[Expense Amount]]+Table2[[#This Row],[Return Amount]]+Table2[[#This Row],[Outstanding]],"Ok","Check")</f>
        <v>Ok</v>
      </c>
      <c r="N634" s="11">
        <f>IF(Table2[[#This Row],[Status]]="Settled",0,$Q$2-Table2[[#This Row],[Date]])</f>
        <v>89</v>
      </c>
      <c r="O634" s="5" t="str">
        <f>IF(Table2[[#This Row],[Age Days]]&lt;=7,"Normal",IF(Table2[[#This Row],[Age Days]]&lt;=14,"Perlu Dipantau",IF(Table2[[#This Row],[Age Days]]&lt;=30,"Perlu Ditindaklanjuti","Overdue")))</f>
        <v>Overdue</v>
      </c>
    </row>
    <row r="635" spans="1:15" x14ac:dyDescent="0.3">
      <c r="A635" t="s">
        <v>719</v>
      </c>
      <c r="B635" s="3">
        <v>46177</v>
      </c>
      <c r="C635" t="s">
        <v>46</v>
      </c>
      <c r="D635" t="s">
        <v>47</v>
      </c>
      <c r="E635" t="s">
        <v>37</v>
      </c>
      <c r="F635" t="s">
        <v>14</v>
      </c>
      <c r="G635" t="s">
        <v>40</v>
      </c>
      <c r="H635" s="5">
        <v>250000</v>
      </c>
      <c r="I635" s="5">
        <v>0</v>
      </c>
      <c r="J635" s="5">
        <v>0</v>
      </c>
      <c r="K635" s="5">
        <f>Table2[[#This Row],[Advance Amount]]-Table2[[#This Row],[Expense Amount]]-Table2[[#This Row],[Return Amount]]</f>
        <v>250000</v>
      </c>
      <c r="L635" s="5" t="str">
        <f>IF(Table2[[#This Row],[Outstanding]]=0,"Settled",IF(Table2[[#This Row],[Outstanding]]&gt;0,"Outstanding"))</f>
        <v>Outstanding</v>
      </c>
      <c r="M635" s="5" t="str">
        <f>IF(Table2[[#This Row],[Advance Amount]]=Table2[[#This Row],[Expense Amount]]+Table2[[#This Row],[Return Amount]]+Table2[[#This Row],[Outstanding]],"Ok","Check")</f>
        <v>Ok</v>
      </c>
      <c r="N635" s="11">
        <f>IF(Table2[[#This Row],[Status]]="Settled",0,$Q$2-Table2[[#This Row],[Date]])</f>
        <v>88</v>
      </c>
      <c r="O635" s="5" t="str">
        <f>IF(Table2[[#This Row],[Age Days]]&lt;=7,"Normal",IF(Table2[[#This Row],[Age Days]]&lt;=14,"Perlu Dipantau",IF(Table2[[#This Row],[Age Days]]&lt;=30,"Perlu Ditindaklanjuti","Overdue")))</f>
        <v>Overdue</v>
      </c>
    </row>
    <row r="636" spans="1:15" x14ac:dyDescent="0.3">
      <c r="A636" t="s">
        <v>720</v>
      </c>
      <c r="B636" s="3">
        <v>46177</v>
      </c>
      <c r="C636" t="s">
        <v>32</v>
      </c>
      <c r="D636" t="s">
        <v>33</v>
      </c>
      <c r="E636" t="s">
        <v>27</v>
      </c>
      <c r="F636" t="s">
        <v>14</v>
      </c>
      <c r="G636" t="s">
        <v>61</v>
      </c>
      <c r="H636" s="5">
        <v>300000</v>
      </c>
      <c r="I636" s="5">
        <v>250000</v>
      </c>
      <c r="J636" s="5">
        <v>50000</v>
      </c>
      <c r="K636" s="5">
        <f>Table2[[#This Row],[Advance Amount]]-Table2[[#This Row],[Expense Amount]]-Table2[[#This Row],[Return Amount]]</f>
        <v>0</v>
      </c>
      <c r="L636" s="5" t="str">
        <f>IF(Table2[[#This Row],[Outstanding]]=0,"Settled",IF(Table2[[#This Row],[Outstanding]]&gt;0,"Outstanding"))</f>
        <v>Settled</v>
      </c>
      <c r="M636" s="5" t="str">
        <f>IF(Table2[[#This Row],[Advance Amount]]=Table2[[#This Row],[Expense Amount]]+Table2[[#This Row],[Return Amount]]+Table2[[#This Row],[Outstanding]],"Ok","Check")</f>
        <v>Ok</v>
      </c>
      <c r="N636" s="11">
        <f>IF(Table2[[#This Row],[Status]]="Settled",0,$Q$2-Table2[[#This Row],[Date]])</f>
        <v>0</v>
      </c>
      <c r="O636" s="5" t="str">
        <f>IF(Table2[[#This Row],[Age Days]]&lt;=7,"Normal",IF(Table2[[#This Row],[Age Days]]&lt;=14,"Perlu Dipantau",IF(Table2[[#This Row],[Age Days]]&lt;=30,"Perlu Ditindaklanjuti","Overdue")))</f>
        <v>Normal</v>
      </c>
    </row>
    <row r="637" spans="1:15" x14ac:dyDescent="0.3">
      <c r="A637" t="s">
        <v>721</v>
      </c>
      <c r="B637" s="3">
        <v>46177</v>
      </c>
      <c r="C637" t="s">
        <v>32</v>
      </c>
      <c r="D637" t="s">
        <v>33</v>
      </c>
      <c r="E637" t="s">
        <v>27</v>
      </c>
      <c r="F637" t="s">
        <v>20</v>
      </c>
      <c r="G637" t="s">
        <v>57</v>
      </c>
      <c r="H637" s="5">
        <v>480000</v>
      </c>
      <c r="I637" s="5">
        <v>400000</v>
      </c>
      <c r="J637" s="5">
        <v>80000</v>
      </c>
      <c r="K637" s="5">
        <f>Table2[[#This Row],[Advance Amount]]-Table2[[#This Row],[Expense Amount]]-Table2[[#This Row],[Return Amount]]</f>
        <v>0</v>
      </c>
      <c r="L637" s="5" t="str">
        <f>IF(Table2[[#This Row],[Outstanding]]=0,"Settled",IF(Table2[[#This Row],[Outstanding]]&gt;0,"Outstanding"))</f>
        <v>Settled</v>
      </c>
      <c r="M637" s="5" t="str">
        <f>IF(Table2[[#This Row],[Advance Amount]]=Table2[[#This Row],[Expense Amount]]+Table2[[#This Row],[Return Amount]]+Table2[[#This Row],[Outstanding]],"Ok","Check")</f>
        <v>Ok</v>
      </c>
      <c r="N637" s="11">
        <f>IF(Table2[[#This Row],[Status]]="Settled",0,$Q$2-Table2[[#This Row],[Date]])</f>
        <v>0</v>
      </c>
      <c r="O637" s="5" t="str">
        <f>IF(Table2[[#This Row],[Age Days]]&lt;=7,"Normal",IF(Table2[[#This Row],[Age Days]]&lt;=14,"Perlu Dipantau",IF(Table2[[#This Row],[Age Days]]&lt;=30,"Perlu Ditindaklanjuti","Overdue")))</f>
        <v>Normal</v>
      </c>
    </row>
    <row r="638" spans="1:15" x14ac:dyDescent="0.3">
      <c r="A638" t="s">
        <v>722</v>
      </c>
      <c r="B638" s="3">
        <v>46177</v>
      </c>
      <c r="C638" t="s">
        <v>55</v>
      </c>
      <c r="D638" t="s">
        <v>56</v>
      </c>
      <c r="E638" t="s">
        <v>24</v>
      </c>
      <c r="F638" t="s">
        <v>20</v>
      </c>
      <c r="G638" t="s">
        <v>58</v>
      </c>
      <c r="H638" s="5">
        <v>650000</v>
      </c>
      <c r="I638" s="5">
        <v>625000</v>
      </c>
      <c r="J638" s="5">
        <v>25000</v>
      </c>
      <c r="K638" s="5">
        <f>Table2[[#This Row],[Advance Amount]]-Table2[[#This Row],[Expense Amount]]-Table2[[#This Row],[Return Amount]]</f>
        <v>0</v>
      </c>
      <c r="L638" s="5" t="str">
        <f>IF(Table2[[#This Row],[Outstanding]]=0,"Settled",IF(Table2[[#This Row],[Outstanding]]&gt;0,"Outstanding"))</f>
        <v>Settled</v>
      </c>
      <c r="M638" s="5" t="str">
        <f>IF(Table2[[#This Row],[Advance Amount]]=Table2[[#This Row],[Expense Amount]]+Table2[[#This Row],[Return Amount]]+Table2[[#This Row],[Outstanding]],"Ok","Check")</f>
        <v>Ok</v>
      </c>
      <c r="N638" s="11">
        <f>IF(Table2[[#This Row],[Status]]="Settled",0,$Q$2-Table2[[#This Row],[Date]])</f>
        <v>0</v>
      </c>
      <c r="O638" s="5" t="str">
        <f>IF(Table2[[#This Row],[Age Days]]&lt;=7,"Normal",IF(Table2[[#This Row],[Age Days]]&lt;=14,"Perlu Dipantau",IF(Table2[[#This Row],[Age Days]]&lt;=30,"Perlu Ditindaklanjuti","Overdue")))</f>
        <v>Normal</v>
      </c>
    </row>
    <row r="639" spans="1:15" x14ac:dyDescent="0.3">
      <c r="A639" t="s">
        <v>723</v>
      </c>
      <c r="B639" s="3">
        <v>46177</v>
      </c>
      <c r="C639" t="s">
        <v>41</v>
      </c>
      <c r="D639" t="s">
        <v>42</v>
      </c>
      <c r="E639" t="s">
        <v>43</v>
      </c>
      <c r="F639" t="s">
        <v>20</v>
      </c>
      <c r="G639" t="s">
        <v>34</v>
      </c>
      <c r="H639" s="5">
        <v>100000</v>
      </c>
      <c r="I639" s="5">
        <v>100000</v>
      </c>
      <c r="J639" s="5">
        <v>0</v>
      </c>
      <c r="K639" s="5">
        <f>Table2[[#This Row],[Advance Amount]]-Table2[[#This Row],[Expense Amount]]-Table2[[#This Row],[Return Amount]]</f>
        <v>0</v>
      </c>
      <c r="L639" s="5" t="str">
        <f>IF(Table2[[#This Row],[Outstanding]]=0,"Settled",IF(Table2[[#This Row],[Outstanding]]&gt;0,"Outstanding"))</f>
        <v>Settled</v>
      </c>
      <c r="M639" s="5" t="str">
        <f>IF(Table2[[#This Row],[Advance Amount]]=Table2[[#This Row],[Expense Amount]]+Table2[[#This Row],[Return Amount]]+Table2[[#This Row],[Outstanding]],"Ok","Check")</f>
        <v>Ok</v>
      </c>
      <c r="N639" s="11">
        <f>IF(Table2[[#This Row],[Status]]="Settled",0,$Q$2-Table2[[#This Row],[Date]])</f>
        <v>0</v>
      </c>
      <c r="O639" s="5" t="str">
        <f>IF(Table2[[#This Row],[Age Days]]&lt;=7,"Normal",IF(Table2[[#This Row],[Age Days]]&lt;=14,"Perlu Dipantau",IF(Table2[[#This Row],[Age Days]]&lt;=30,"Perlu Ditindaklanjuti","Overdue")))</f>
        <v>Normal</v>
      </c>
    </row>
    <row r="640" spans="1:15" x14ac:dyDescent="0.3">
      <c r="A640" t="s">
        <v>724</v>
      </c>
      <c r="B640" s="3">
        <v>46177</v>
      </c>
      <c r="C640" t="s">
        <v>59</v>
      </c>
      <c r="D640" t="s">
        <v>60</v>
      </c>
      <c r="E640" t="s">
        <v>19</v>
      </c>
      <c r="F640" t="s">
        <v>14</v>
      </c>
      <c r="G640" t="s">
        <v>31</v>
      </c>
      <c r="H640" s="5">
        <v>575000</v>
      </c>
      <c r="I640" s="5">
        <v>0</v>
      </c>
      <c r="J640" s="5">
        <v>0</v>
      </c>
      <c r="K640" s="5">
        <f>Table2[[#This Row],[Advance Amount]]-Table2[[#This Row],[Expense Amount]]-Table2[[#This Row],[Return Amount]]</f>
        <v>575000</v>
      </c>
      <c r="L640" s="5" t="str">
        <f>IF(Table2[[#This Row],[Outstanding]]=0,"Settled",IF(Table2[[#This Row],[Outstanding]]&gt;0,"Outstanding"))</f>
        <v>Outstanding</v>
      </c>
      <c r="M640" s="5" t="str">
        <f>IF(Table2[[#This Row],[Advance Amount]]=Table2[[#This Row],[Expense Amount]]+Table2[[#This Row],[Return Amount]]+Table2[[#This Row],[Outstanding]],"Ok","Check")</f>
        <v>Ok</v>
      </c>
      <c r="N640" s="11">
        <f>IF(Table2[[#This Row],[Status]]="Settled",0,$Q$2-Table2[[#This Row],[Date]])</f>
        <v>88</v>
      </c>
      <c r="O640" s="5" t="str">
        <f>IF(Table2[[#This Row],[Age Days]]&lt;=7,"Normal",IF(Table2[[#This Row],[Age Days]]&lt;=14,"Perlu Dipantau",IF(Table2[[#This Row],[Age Days]]&lt;=30,"Perlu Ditindaklanjuti","Overdue")))</f>
        <v>Overdue</v>
      </c>
    </row>
    <row r="641" spans="1:15" x14ac:dyDescent="0.3">
      <c r="A641" t="s">
        <v>725</v>
      </c>
      <c r="B641" s="3">
        <v>46177</v>
      </c>
      <c r="C641" t="s">
        <v>25</v>
      </c>
      <c r="D641" t="s">
        <v>26</v>
      </c>
      <c r="E641" t="s">
        <v>27</v>
      </c>
      <c r="F641" t="s">
        <v>20</v>
      </c>
      <c r="G641" t="s">
        <v>58</v>
      </c>
      <c r="H641" s="5">
        <v>850000</v>
      </c>
      <c r="I641" s="5">
        <v>0</v>
      </c>
      <c r="J641" s="5">
        <v>0</v>
      </c>
      <c r="K641" s="5">
        <f>Table2[[#This Row],[Advance Amount]]-Table2[[#This Row],[Expense Amount]]-Table2[[#This Row],[Return Amount]]</f>
        <v>850000</v>
      </c>
      <c r="L641" s="5" t="str">
        <f>IF(Table2[[#This Row],[Outstanding]]=0,"Settled",IF(Table2[[#This Row],[Outstanding]]&gt;0,"Outstanding"))</f>
        <v>Outstanding</v>
      </c>
      <c r="M641" s="5" t="str">
        <f>IF(Table2[[#This Row],[Advance Amount]]=Table2[[#This Row],[Expense Amount]]+Table2[[#This Row],[Return Amount]]+Table2[[#This Row],[Outstanding]],"Ok","Check")</f>
        <v>Ok</v>
      </c>
      <c r="N641" s="11">
        <f>IF(Table2[[#This Row],[Status]]="Settled",0,$Q$2-Table2[[#This Row],[Date]])</f>
        <v>88</v>
      </c>
      <c r="O641" s="5" t="str">
        <f>IF(Table2[[#This Row],[Age Days]]&lt;=7,"Normal",IF(Table2[[#This Row],[Age Days]]&lt;=14,"Perlu Dipantau",IF(Table2[[#This Row],[Age Days]]&lt;=30,"Perlu Ditindaklanjuti","Overdue")))</f>
        <v>Overdue</v>
      </c>
    </row>
    <row r="642" spans="1:15" x14ac:dyDescent="0.3">
      <c r="A642" t="s">
        <v>726</v>
      </c>
      <c r="B642" s="3">
        <v>46178</v>
      </c>
      <c r="C642" t="s">
        <v>35</v>
      </c>
      <c r="D642" t="s">
        <v>36</v>
      </c>
      <c r="E642" t="s">
        <v>37</v>
      </c>
      <c r="F642" t="s">
        <v>20</v>
      </c>
      <c r="G642" t="s">
        <v>15</v>
      </c>
      <c r="H642" s="5">
        <v>3325000</v>
      </c>
      <c r="I642" s="5">
        <v>0</v>
      </c>
      <c r="J642" s="5">
        <v>0</v>
      </c>
      <c r="K642" s="5">
        <f>Table2[[#This Row],[Advance Amount]]-Table2[[#This Row],[Expense Amount]]-Table2[[#This Row],[Return Amount]]</f>
        <v>3325000</v>
      </c>
      <c r="L642" s="5" t="str">
        <f>IF(Table2[[#This Row],[Outstanding]]=0,"Settled",IF(Table2[[#This Row],[Outstanding]]&gt;0,"Outstanding"))</f>
        <v>Outstanding</v>
      </c>
      <c r="M642" s="5" t="str">
        <f>IF(Table2[[#This Row],[Advance Amount]]=Table2[[#This Row],[Expense Amount]]+Table2[[#This Row],[Return Amount]]+Table2[[#This Row],[Outstanding]],"Ok","Check")</f>
        <v>Ok</v>
      </c>
      <c r="N642" s="11">
        <f>IF(Table2[[#This Row],[Status]]="Settled",0,$Q$2-Table2[[#This Row],[Date]])</f>
        <v>87</v>
      </c>
      <c r="O642" s="5" t="str">
        <f>IF(Table2[[#This Row],[Age Days]]&lt;=7,"Normal",IF(Table2[[#This Row],[Age Days]]&lt;=14,"Perlu Dipantau",IF(Table2[[#This Row],[Age Days]]&lt;=30,"Perlu Ditindaklanjuti","Overdue")))</f>
        <v>Overdue</v>
      </c>
    </row>
    <row r="643" spans="1:15" x14ac:dyDescent="0.3">
      <c r="A643" t="s">
        <v>727</v>
      </c>
      <c r="B643" s="3">
        <v>46178</v>
      </c>
      <c r="C643" t="s">
        <v>50</v>
      </c>
      <c r="D643" t="s">
        <v>51</v>
      </c>
      <c r="E643" t="s">
        <v>52</v>
      </c>
      <c r="F643" t="s">
        <v>20</v>
      </c>
      <c r="G643" t="s">
        <v>31</v>
      </c>
      <c r="H643" s="5">
        <v>800000</v>
      </c>
      <c r="I643" s="5">
        <v>0</v>
      </c>
      <c r="J643" s="5">
        <v>0</v>
      </c>
      <c r="K643" s="5">
        <f>Table2[[#This Row],[Advance Amount]]-Table2[[#This Row],[Expense Amount]]-Table2[[#This Row],[Return Amount]]</f>
        <v>800000</v>
      </c>
      <c r="L643" s="5" t="str">
        <f>IF(Table2[[#This Row],[Outstanding]]=0,"Settled",IF(Table2[[#This Row],[Outstanding]]&gt;0,"Outstanding"))</f>
        <v>Outstanding</v>
      </c>
      <c r="M643" s="5" t="str">
        <f>IF(Table2[[#This Row],[Advance Amount]]=Table2[[#This Row],[Expense Amount]]+Table2[[#This Row],[Return Amount]]+Table2[[#This Row],[Outstanding]],"Ok","Check")</f>
        <v>Ok</v>
      </c>
      <c r="N643" s="11">
        <f>IF(Table2[[#This Row],[Status]]="Settled",0,$Q$2-Table2[[#This Row],[Date]])</f>
        <v>87</v>
      </c>
      <c r="O643" s="5" t="str">
        <f>IF(Table2[[#This Row],[Age Days]]&lt;=7,"Normal",IF(Table2[[#This Row],[Age Days]]&lt;=14,"Perlu Dipantau",IF(Table2[[#This Row],[Age Days]]&lt;=30,"Perlu Ditindaklanjuti","Overdue")))</f>
        <v>Overdue</v>
      </c>
    </row>
    <row r="644" spans="1:15" x14ac:dyDescent="0.3">
      <c r="A644" t="s">
        <v>728</v>
      </c>
      <c r="B644" s="3">
        <v>46178</v>
      </c>
      <c r="C644" t="s">
        <v>64</v>
      </c>
      <c r="D644" t="s">
        <v>65</v>
      </c>
      <c r="E644" t="s">
        <v>37</v>
      </c>
      <c r="F644" t="s">
        <v>20</v>
      </c>
      <c r="G644" t="s">
        <v>28</v>
      </c>
      <c r="H644" s="5">
        <v>380000</v>
      </c>
      <c r="I644" s="5">
        <v>300000</v>
      </c>
      <c r="J644" s="5">
        <v>80000</v>
      </c>
      <c r="K644" s="5">
        <f>Table2[[#This Row],[Advance Amount]]-Table2[[#This Row],[Expense Amount]]-Table2[[#This Row],[Return Amount]]</f>
        <v>0</v>
      </c>
      <c r="L644" s="5" t="str">
        <f>IF(Table2[[#This Row],[Outstanding]]=0,"Settled",IF(Table2[[#This Row],[Outstanding]]&gt;0,"Outstanding"))</f>
        <v>Settled</v>
      </c>
      <c r="M644" s="5" t="str">
        <f>IF(Table2[[#This Row],[Advance Amount]]=Table2[[#This Row],[Expense Amount]]+Table2[[#This Row],[Return Amount]]+Table2[[#This Row],[Outstanding]],"Ok","Check")</f>
        <v>Ok</v>
      </c>
      <c r="N644" s="11">
        <f>IF(Table2[[#This Row],[Status]]="Settled",0,$Q$2-Table2[[#This Row],[Date]])</f>
        <v>0</v>
      </c>
      <c r="O644" s="5" t="str">
        <f>IF(Table2[[#This Row],[Age Days]]&lt;=7,"Normal",IF(Table2[[#This Row],[Age Days]]&lt;=14,"Perlu Dipantau",IF(Table2[[#This Row],[Age Days]]&lt;=30,"Perlu Ditindaklanjuti","Overdue")))</f>
        <v>Normal</v>
      </c>
    </row>
    <row r="645" spans="1:15" x14ac:dyDescent="0.3">
      <c r="A645" t="s">
        <v>729</v>
      </c>
      <c r="B645" s="3">
        <v>46178</v>
      </c>
      <c r="C645" t="s">
        <v>25</v>
      </c>
      <c r="D645" t="s">
        <v>26</v>
      </c>
      <c r="E645" t="s">
        <v>27</v>
      </c>
      <c r="F645" t="s">
        <v>20</v>
      </c>
      <c r="G645" t="s">
        <v>40</v>
      </c>
      <c r="H645" s="5">
        <v>650000</v>
      </c>
      <c r="I645" s="5">
        <v>550000</v>
      </c>
      <c r="J645" s="5">
        <v>100000</v>
      </c>
      <c r="K645" s="5">
        <f>Table2[[#This Row],[Advance Amount]]-Table2[[#This Row],[Expense Amount]]-Table2[[#This Row],[Return Amount]]</f>
        <v>0</v>
      </c>
      <c r="L645" s="5" t="str">
        <f>IF(Table2[[#This Row],[Outstanding]]=0,"Settled",IF(Table2[[#This Row],[Outstanding]]&gt;0,"Outstanding"))</f>
        <v>Settled</v>
      </c>
      <c r="M645" s="5" t="str">
        <f>IF(Table2[[#This Row],[Advance Amount]]=Table2[[#This Row],[Expense Amount]]+Table2[[#This Row],[Return Amount]]+Table2[[#This Row],[Outstanding]],"Ok","Check")</f>
        <v>Ok</v>
      </c>
      <c r="N645" s="11">
        <f>IF(Table2[[#This Row],[Status]]="Settled",0,$Q$2-Table2[[#This Row],[Date]])</f>
        <v>0</v>
      </c>
      <c r="O645" s="5" t="str">
        <f>IF(Table2[[#This Row],[Age Days]]&lt;=7,"Normal",IF(Table2[[#This Row],[Age Days]]&lt;=14,"Perlu Dipantau",IF(Table2[[#This Row],[Age Days]]&lt;=30,"Perlu Ditindaklanjuti","Overdue")))</f>
        <v>Normal</v>
      </c>
    </row>
    <row r="646" spans="1:15" x14ac:dyDescent="0.3">
      <c r="A646" t="s">
        <v>730</v>
      </c>
      <c r="B646" s="3">
        <v>46179</v>
      </c>
      <c r="C646" t="s">
        <v>32</v>
      </c>
      <c r="D646" t="s">
        <v>33</v>
      </c>
      <c r="E646" t="s">
        <v>27</v>
      </c>
      <c r="F646" t="s">
        <v>20</v>
      </c>
      <c r="G646" t="s">
        <v>31</v>
      </c>
      <c r="H646" s="5">
        <v>350000</v>
      </c>
      <c r="I646" s="5">
        <v>300000</v>
      </c>
      <c r="J646" s="5">
        <v>50000</v>
      </c>
      <c r="K646" s="5">
        <f>Table2[[#This Row],[Advance Amount]]-Table2[[#This Row],[Expense Amount]]-Table2[[#This Row],[Return Amount]]</f>
        <v>0</v>
      </c>
      <c r="L646" s="5" t="str">
        <f>IF(Table2[[#This Row],[Outstanding]]=0,"Settled",IF(Table2[[#This Row],[Outstanding]]&gt;0,"Outstanding"))</f>
        <v>Settled</v>
      </c>
      <c r="M646" s="5" t="str">
        <f>IF(Table2[[#This Row],[Advance Amount]]=Table2[[#This Row],[Expense Amount]]+Table2[[#This Row],[Return Amount]]+Table2[[#This Row],[Outstanding]],"Ok","Check")</f>
        <v>Ok</v>
      </c>
      <c r="N646" s="11">
        <f>IF(Table2[[#This Row],[Status]]="Settled",0,$Q$2-Table2[[#This Row],[Date]])</f>
        <v>0</v>
      </c>
      <c r="O646" s="5" t="str">
        <f>IF(Table2[[#This Row],[Age Days]]&lt;=7,"Normal",IF(Table2[[#This Row],[Age Days]]&lt;=14,"Perlu Dipantau",IF(Table2[[#This Row],[Age Days]]&lt;=30,"Perlu Ditindaklanjuti","Overdue")))</f>
        <v>Normal</v>
      </c>
    </row>
    <row r="647" spans="1:15" x14ac:dyDescent="0.3">
      <c r="A647" t="s">
        <v>731</v>
      </c>
      <c r="B647" s="3">
        <v>46179</v>
      </c>
      <c r="C647" t="s">
        <v>50</v>
      </c>
      <c r="D647" t="s">
        <v>51</v>
      </c>
      <c r="E647" t="s">
        <v>52</v>
      </c>
      <c r="F647" t="s">
        <v>20</v>
      </c>
      <c r="G647" t="s">
        <v>31</v>
      </c>
      <c r="H647" s="5">
        <v>1325000</v>
      </c>
      <c r="I647" s="5">
        <v>1150000</v>
      </c>
      <c r="J647" s="5">
        <v>175000</v>
      </c>
      <c r="K647" s="5">
        <f>Table2[[#This Row],[Advance Amount]]-Table2[[#This Row],[Expense Amount]]-Table2[[#This Row],[Return Amount]]</f>
        <v>0</v>
      </c>
      <c r="L647" s="5" t="str">
        <f>IF(Table2[[#This Row],[Outstanding]]=0,"Settled",IF(Table2[[#This Row],[Outstanding]]&gt;0,"Outstanding"))</f>
        <v>Settled</v>
      </c>
      <c r="M647" s="5" t="str">
        <f>IF(Table2[[#This Row],[Advance Amount]]=Table2[[#This Row],[Expense Amount]]+Table2[[#This Row],[Return Amount]]+Table2[[#This Row],[Outstanding]],"Ok","Check")</f>
        <v>Ok</v>
      </c>
      <c r="N647" s="11">
        <f>IF(Table2[[#This Row],[Status]]="Settled",0,$Q$2-Table2[[#This Row],[Date]])</f>
        <v>0</v>
      </c>
      <c r="O647" s="5" t="str">
        <f>IF(Table2[[#This Row],[Age Days]]&lt;=7,"Normal",IF(Table2[[#This Row],[Age Days]]&lt;=14,"Perlu Dipantau",IF(Table2[[#This Row],[Age Days]]&lt;=30,"Perlu Ditindaklanjuti","Overdue")))</f>
        <v>Normal</v>
      </c>
    </row>
    <row r="648" spans="1:15" x14ac:dyDescent="0.3">
      <c r="A648" t="s">
        <v>732</v>
      </c>
      <c r="B648" s="3">
        <v>46179</v>
      </c>
      <c r="C648" t="s">
        <v>59</v>
      </c>
      <c r="D648" t="s">
        <v>60</v>
      </c>
      <c r="E648" t="s">
        <v>19</v>
      </c>
      <c r="F648" t="s">
        <v>20</v>
      </c>
      <c r="G648" t="s">
        <v>28</v>
      </c>
      <c r="H648" s="5">
        <v>230000</v>
      </c>
      <c r="I648" s="5">
        <v>200000</v>
      </c>
      <c r="J648" s="5">
        <v>30000</v>
      </c>
      <c r="K648" s="5">
        <f>Table2[[#This Row],[Advance Amount]]-Table2[[#This Row],[Expense Amount]]-Table2[[#This Row],[Return Amount]]</f>
        <v>0</v>
      </c>
      <c r="L648" s="5" t="str">
        <f>IF(Table2[[#This Row],[Outstanding]]=0,"Settled",IF(Table2[[#This Row],[Outstanding]]&gt;0,"Outstanding"))</f>
        <v>Settled</v>
      </c>
      <c r="M648" s="5" t="str">
        <f>IF(Table2[[#This Row],[Advance Amount]]=Table2[[#This Row],[Expense Amount]]+Table2[[#This Row],[Return Amount]]+Table2[[#This Row],[Outstanding]],"Ok","Check")</f>
        <v>Ok</v>
      </c>
      <c r="N648" s="11">
        <f>IF(Table2[[#This Row],[Status]]="Settled",0,$Q$2-Table2[[#This Row],[Date]])</f>
        <v>0</v>
      </c>
      <c r="O648" s="5" t="str">
        <f>IF(Table2[[#This Row],[Age Days]]&lt;=7,"Normal",IF(Table2[[#This Row],[Age Days]]&lt;=14,"Perlu Dipantau",IF(Table2[[#This Row],[Age Days]]&lt;=30,"Perlu Ditindaklanjuti","Overdue")))</f>
        <v>Normal</v>
      </c>
    </row>
    <row r="649" spans="1:15" x14ac:dyDescent="0.3">
      <c r="A649" t="s">
        <v>733</v>
      </c>
      <c r="B649" s="3">
        <v>46180</v>
      </c>
      <c r="C649" t="s">
        <v>41</v>
      </c>
      <c r="D649" t="s">
        <v>42</v>
      </c>
      <c r="E649" t="s">
        <v>43</v>
      </c>
      <c r="F649" t="s">
        <v>14</v>
      </c>
      <c r="G649" t="s">
        <v>57</v>
      </c>
      <c r="H649" s="5">
        <v>105000</v>
      </c>
      <c r="I649" s="5">
        <v>0</v>
      </c>
      <c r="J649" s="5">
        <v>0</v>
      </c>
      <c r="K649" s="5">
        <f>Table2[[#This Row],[Advance Amount]]-Table2[[#This Row],[Expense Amount]]-Table2[[#This Row],[Return Amount]]</f>
        <v>105000</v>
      </c>
      <c r="L649" s="5" t="str">
        <f>IF(Table2[[#This Row],[Outstanding]]=0,"Settled",IF(Table2[[#This Row],[Outstanding]]&gt;0,"Outstanding"))</f>
        <v>Outstanding</v>
      </c>
      <c r="M649" s="5" t="str">
        <f>IF(Table2[[#This Row],[Advance Amount]]=Table2[[#This Row],[Expense Amount]]+Table2[[#This Row],[Return Amount]]+Table2[[#This Row],[Outstanding]],"Ok","Check")</f>
        <v>Ok</v>
      </c>
      <c r="N649" s="11">
        <f>IF(Table2[[#This Row],[Status]]="Settled",0,$Q$2-Table2[[#This Row],[Date]])</f>
        <v>85</v>
      </c>
      <c r="O649" s="5" t="str">
        <f>IF(Table2[[#This Row],[Age Days]]&lt;=7,"Normal",IF(Table2[[#This Row],[Age Days]]&lt;=14,"Perlu Dipantau",IF(Table2[[#This Row],[Age Days]]&lt;=30,"Perlu Ditindaklanjuti","Overdue")))</f>
        <v>Overdue</v>
      </c>
    </row>
    <row r="650" spans="1:15" x14ac:dyDescent="0.3">
      <c r="A650" t="s">
        <v>734</v>
      </c>
      <c r="B650" s="3">
        <v>46180</v>
      </c>
      <c r="C650" t="s">
        <v>38</v>
      </c>
      <c r="D650" t="s">
        <v>39</v>
      </c>
      <c r="E650" t="s">
        <v>24</v>
      </c>
      <c r="F650" t="s">
        <v>14</v>
      </c>
      <c r="G650" t="s">
        <v>58</v>
      </c>
      <c r="H650" s="5">
        <v>1000000</v>
      </c>
      <c r="I650" s="5">
        <v>950000</v>
      </c>
      <c r="J650" s="5">
        <v>50000</v>
      </c>
      <c r="K650" s="5">
        <f>Table2[[#This Row],[Advance Amount]]-Table2[[#This Row],[Expense Amount]]-Table2[[#This Row],[Return Amount]]</f>
        <v>0</v>
      </c>
      <c r="L650" s="5" t="str">
        <f>IF(Table2[[#This Row],[Outstanding]]=0,"Settled",IF(Table2[[#This Row],[Outstanding]]&gt;0,"Outstanding"))</f>
        <v>Settled</v>
      </c>
      <c r="M650" s="5" t="str">
        <f>IF(Table2[[#This Row],[Advance Amount]]=Table2[[#This Row],[Expense Amount]]+Table2[[#This Row],[Return Amount]]+Table2[[#This Row],[Outstanding]],"Ok","Check")</f>
        <v>Ok</v>
      </c>
      <c r="N650" s="11">
        <f>IF(Table2[[#This Row],[Status]]="Settled",0,$Q$2-Table2[[#This Row],[Date]])</f>
        <v>0</v>
      </c>
      <c r="O650" s="5" t="str">
        <f>IF(Table2[[#This Row],[Age Days]]&lt;=7,"Normal",IF(Table2[[#This Row],[Age Days]]&lt;=14,"Perlu Dipantau",IF(Table2[[#This Row],[Age Days]]&lt;=30,"Perlu Ditindaklanjuti","Overdue")))</f>
        <v>Normal</v>
      </c>
    </row>
    <row r="651" spans="1:15" x14ac:dyDescent="0.3">
      <c r="A651" t="s">
        <v>735</v>
      </c>
      <c r="B651" s="3">
        <v>46180</v>
      </c>
      <c r="C651" t="s">
        <v>44</v>
      </c>
      <c r="D651" t="s">
        <v>45</v>
      </c>
      <c r="E651" t="s">
        <v>43</v>
      </c>
      <c r="F651" t="s">
        <v>20</v>
      </c>
      <c r="G651" t="s">
        <v>28</v>
      </c>
      <c r="H651" s="5">
        <v>455000</v>
      </c>
      <c r="I651" s="5">
        <v>350000</v>
      </c>
      <c r="J651" s="5">
        <v>105000</v>
      </c>
      <c r="K651" s="5">
        <f>Table2[[#This Row],[Advance Amount]]-Table2[[#This Row],[Expense Amount]]-Table2[[#This Row],[Return Amount]]</f>
        <v>0</v>
      </c>
      <c r="L651" s="5" t="str">
        <f>IF(Table2[[#This Row],[Outstanding]]=0,"Settled",IF(Table2[[#This Row],[Outstanding]]&gt;0,"Outstanding"))</f>
        <v>Settled</v>
      </c>
      <c r="M651" s="5" t="str">
        <f>IF(Table2[[#This Row],[Advance Amount]]=Table2[[#This Row],[Expense Amount]]+Table2[[#This Row],[Return Amount]]+Table2[[#This Row],[Outstanding]],"Ok","Check")</f>
        <v>Ok</v>
      </c>
      <c r="N651" s="11">
        <f>IF(Table2[[#This Row],[Status]]="Settled",0,$Q$2-Table2[[#This Row],[Date]])</f>
        <v>0</v>
      </c>
      <c r="O651" s="5" t="str">
        <f>IF(Table2[[#This Row],[Age Days]]&lt;=7,"Normal",IF(Table2[[#This Row],[Age Days]]&lt;=14,"Perlu Dipantau",IF(Table2[[#This Row],[Age Days]]&lt;=30,"Perlu Ditindaklanjuti","Overdue")))</f>
        <v>Normal</v>
      </c>
    </row>
    <row r="652" spans="1:15" x14ac:dyDescent="0.3">
      <c r="A652" t="s">
        <v>736</v>
      </c>
      <c r="B652" s="3">
        <v>46180</v>
      </c>
      <c r="C652" t="s">
        <v>50</v>
      </c>
      <c r="D652" t="s">
        <v>51</v>
      </c>
      <c r="E652" t="s">
        <v>52</v>
      </c>
      <c r="F652" t="s">
        <v>20</v>
      </c>
      <c r="G652" t="s">
        <v>15</v>
      </c>
      <c r="H652" s="5">
        <v>2625000</v>
      </c>
      <c r="I652" s="5">
        <v>0</v>
      </c>
      <c r="J652" s="5">
        <v>0</v>
      </c>
      <c r="K652" s="5">
        <f>Table2[[#This Row],[Advance Amount]]-Table2[[#This Row],[Expense Amount]]-Table2[[#This Row],[Return Amount]]</f>
        <v>2625000</v>
      </c>
      <c r="L652" s="5" t="str">
        <f>IF(Table2[[#This Row],[Outstanding]]=0,"Settled",IF(Table2[[#This Row],[Outstanding]]&gt;0,"Outstanding"))</f>
        <v>Outstanding</v>
      </c>
      <c r="M652" s="5" t="str">
        <f>IF(Table2[[#This Row],[Advance Amount]]=Table2[[#This Row],[Expense Amount]]+Table2[[#This Row],[Return Amount]]+Table2[[#This Row],[Outstanding]],"Ok","Check")</f>
        <v>Ok</v>
      </c>
      <c r="N652" s="11">
        <f>IF(Table2[[#This Row],[Status]]="Settled",0,$Q$2-Table2[[#This Row],[Date]])</f>
        <v>85</v>
      </c>
      <c r="O652" s="5" t="str">
        <f>IF(Table2[[#This Row],[Age Days]]&lt;=7,"Normal",IF(Table2[[#This Row],[Age Days]]&lt;=14,"Perlu Dipantau",IF(Table2[[#This Row],[Age Days]]&lt;=30,"Perlu Ditindaklanjuti","Overdue")))</f>
        <v>Overdue</v>
      </c>
    </row>
    <row r="653" spans="1:15" x14ac:dyDescent="0.3">
      <c r="A653" t="s">
        <v>737</v>
      </c>
      <c r="B653" s="3">
        <v>46181</v>
      </c>
      <c r="C653" t="s">
        <v>29</v>
      </c>
      <c r="D653" t="s">
        <v>30</v>
      </c>
      <c r="E653" t="s">
        <v>13</v>
      </c>
      <c r="F653" t="s">
        <v>20</v>
      </c>
      <c r="G653" t="s">
        <v>31</v>
      </c>
      <c r="H653" s="5">
        <v>1125000</v>
      </c>
      <c r="I653" s="5">
        <v>900000</v>
      </c>
      <c r="J653" s="5">
        <v>225000</v>
      </c>
      <c r="K653" s="5">
        <f>Table2[[#This Row],[Advance Amount]]-Table2[[#This Row],[Expense Amount]]-Table2[[#This Row],[Return Amount]]</f>
        <v>0</v>
      </c>
      <c r="L653" s="5" t="str">
        <f>IF(Table2[[#This Row],[Outstanding]]=0,"Settled",IF(Table2[[#This Row],[Outstanding]]&gt;0,"Outstanding"))</f>
        <v>Settled</v>
      </c>
      <c r="M653" s="5" t="str">
        <f>IF(Table2[[#This Row],[Advance Amount]]=Table2[[#This Row],[Expense Amount]]+Table2[[#This Row],[Return Amount]]+Table2[[#This Row],[Outstanding]],"Ok","Check")</f>
        <v>Ok</v>
      </c>
      <c r="N653" s="11">
        <f>IF(Table2[[#This Row],[Status]]="Settled",0,$Q$2-Table2[[#This Row],[Date]])</f>
        <v>0</v>
      </c>
      <c r="O653" s="5" t="str">
        <f>IF(Table2[[#This Row],[Age Days]]&lt;=7,"Normal",IF(Table2[[#This Row],[Age Days]]&lt;=14,"Perlu Dipantau",IF(Table2[[#This Row],[Age Days]]&lt;=30,"Perlu Ditindaklanjuti","Overdue")))</f>
        <v>Normal</v>
      </c>
    </row>
    <row r="654" spans="1:15" x14ac:dyDescent="0.3">
      <c r="A654" t="s">
        <v>738</v>
      </c>
      <c r="B654" s="3">
        <v>46181</v>
      </c>
      <c r="C654" t="s">
        <v>32</v>
      </c>
      <c r="D654" t="s">
        <v>33</v>
      </c>
      <c r="E654" t="s">
        <v>27</v>
      </c>
      <c r="F654" t="s">
        <v>20</v>
      </c>
      <c r="G654" t="s">
        <v>61</v>
      </c>
      <c r="H654" s="5">
        <v>400000</v>
      </c>
      <c r="I654" s="5">
        <v>0</v>
      </c>
      <c r="J654" s="5">
        <v>0</v>
      </c>
      <c r="K654" s="5">
        <f>Table2[[#This Row],[Advance Amount]]-Table2[[#This Row],[Expense Amount]]-Table2[[#This Row],[Return Amount]]</f>
        <v>400000</v>
      </c>
      <c r="L654" s="5" t="str">
        <f>IF(Table2[[#This Row],[Outstanding]]=0,"Settled",IF(Table2[[#This Row],[Outstanding]]&gt;0,"Outstanding"))</f>
        <v>Outstanding</v>
      </c>
      <c r="M654" s="5" t="str">
        <f>IF(Table2[[#This Row],[Advance Amount]]=Table2[[#This Row],[Expense Amount]]+Table2[[#This Row],[Return Amount]]+Table2[[#This Row],[Outstanding]],"Ok","Check")</f>
        <v>Ok</v>
      </c>
      <c r="N654" s="11">
        <f>IF(Table2[[#This Row],[Status]]="Settled",0,$Q$2-Table2[[#This Row],[Date]])</f>
        <v>84</v>
      </c>
      <c r="O654" s="5" t="str">
        <f>IF(Table2[[#This Row],[Age Days]]&lt;=7,"Normal",IF(Table2[[#This Row],[Age Days]]&lt;=14,"Perlu Dipantau",IF(Table2[[#This Row],[Age Days]]&lt;=30,"Perlu Ditindaklanjuti","Overdue")))</f>
        <v>Overdue</v>
      </c>
    </row>
    <row r="655" spans="1:15" x14ac:dyDescent="0.3">
      <c r="A655" t="s">
        <v>739</v>
      </c>
      <c r="B655" s="3">
        <v>46181</v>
      </c>
      <c r="C655" t="s">
        <v>62</v>
      </c>
      <c r="D655" t="s">
        <v>63</v>
      </c>
      <c r="E655" t="s">
        <v>52</v>
      </c>
      <c r="F655" t="s">
        <v>20</v>
      </c>
      <c r="G655" t="s">
        <v>61</v>
      </c>
      <c r="H655" s="5">
        <v>475000</v>
      </c>
      <c r="I655" s="5">
        <v>450000</v>
      </c>
      <c r="J655" s="5">
        <v>25000</v>
      </c>
      <c r="K655" s="5">
        <f>Table2[[#This Row],[Advance Amount]]-Table2[[#This Row],[Expense Amount]]-Table2[[#This Row],[Return Amount]]</f>
        <v>0</v>
      </c>
      <c r="L655" s="5" t="str">
        <f>IF(Table2[[#This Row],[Outstanding]]=0,"Settled",IF(Table2[[#This Row],[Outstanding]]&gt;0,"Outstanding"))</f>
        <v>Settled</v>
      </c>
      <c r="M655" s="5" t="str">
        <f>IF(Table2[[#This Row],[Advance Amount]]=Table2[[#This Row],[Expense Amount]]+Table2[[#This Row],[Return Amount]]+Table2[[#This Row],[Outstanding]],"Ok","Check")</f>
        <v>Ok</v>
      </c>
      <c r="N655" s="11">
        <f>IF(Table2[[#This Row],[Status]]="Settled",0,$Q$2-Table2[[#This Row],[Date]])</f>
        <v>0</v>
      </c>
      <c r="O655" s="5" t="str">
        <f>IF(Table2[[#This Row],[Age Days]]&lt;=7,"Normal",IF(Table2[[#This Row],[Age Days]]&lt;=14,"Perlu Dipantau",IF(Table2[[#This Row],[Age Days]]&lt;=30,"Perlu Ditindaklanjuti","Overdue")))</f>
        <v>Normal</v>
      </c>
    </row>
    <row r="656" spans="1:15" x14ac:dyDescent="0.3">
      <c r="A656" t="s">
        <v>740</v>
      </c>
      <c r="B656" s="3">
        <v>46181</v>
      </c>
      <c r="C656" t="s">
        <v>41</v>
      </c>
      <c r="D656" t="s">
        <v>42</v>
      </c>
      <c r="E656" t="s">
        <v>43</v>
      </c>
      <c r="F656" t="s">
        <v>20</v>
      </c>
      <c r="G656" t="s">
        <v>57</v>
      </c>
      <c r="H656" s="5">
        <v>230000</v>
      </c>
      <c r="I656" s="5">
        <v>175000</v>
      </c>
      <c r="J656" s="5">
        <v>55000</v>
      </c>
      <c r="K656" s="5">
        <f>Table2[[#This Row],[Advance Amount]]-Table2[[#This Row],[Expense Amount]]-Table2[[#This Row],[Return Amount]]</f>
        <v>0</v>
      </c>
      <c r="L656" s="5" t="str">
        <f>IF(Table2[[#This Row],[Outstanding]]=0,"Settled",IF(Table2[[#This Row],[Outstanding]]&gt;0,"Outstanding"))</f>
        <v>Settled</v>
      </c>
      <c r="M656" s="5" t="str">
        <f>IF(Table2[[#This Row],[Advance Amount]]=Table2[[#This Row],[Expense Amount]]+Table2[[#This Row],[Return Amount]]+Table2[[#This Row],[Outstanding]],"Ok","Check")</f>
        <v>Ok</v>
      </c>
      <c r="N656" s="11">
        <f>IF(Table2[[#This Row],[Status]]="Settled",0,$Q$2-Table2[[#This Row],[Date]])</f>
        <v>0</v>
      </c>
      <c r="O656" s="5" t="str">
        <f>IF(Table2[[#This Row],[Age Days]]&lt;=7,"Normal",IF(Table2[[#This Row],[Age Days]]&lt;=14,"Perlu Dipantau",IF(Table2[[#This Row],[Age Days]]&lt;=30,"Perlu Ditindaklanjuti","Overdue")))</f>
        <v>Normal</v>
      </c>
    </row>
    <row r="657" spans="1:15" x14ac:dyDescent="0.3">
      <c r="A657" t="s">
        <v>741</v>
      </c>
      <c r="B657" s="3">
        <v>46181</v>
      </c>
      <c r="C657" t="s">
        <v>35</v>
      </c>
      <c r="D657" t="s">
        <v>36</v>
      </c>
      <c r="E657" t="s">
        <v>37</v>
      </c>
      <c r="F657" t="s">
        <v>20</v>
      </c>
      <c r="G657" t="s">
        <v>57</v>
      </c>
      <c r="H657" s="5">
        <v>380000</v>
      </c>
      <c r="I657" s="5">
        <v>0</v>
      </c>
      <c r="J657" s="5">
        <v>0</v>
      </c>
      <c r="K657" s="5">
        <f>Table2[[#This Row],[Advance Amount]]-Table2[[#This Row],[Expense Amount]]-Table2[[#This Row],[Return Amount]]</f>
        <v>380000</v>
      </c>
      <c r="L657" s="5" t="str">
        <f>IF(Table2[[#This Row],[Outstanding]]=0,"Settled",IF(Table2[[#This Row],[Outstanding]]&gt;0,"Outstanding"))</f>
        <v>Outstanding</v>
      </c>
      <c r="M657" s="5" t="str">
        <f>IF(Table2[[#This Row],[Advance Amount]]=Table2[[#This Row],[Expense Amount]]+Table2[[#This Row],[Return Amount]]+Table2[[#This Row],[Outstanding]],"Ok","Check")</f>
        <v>Ok</v>
      </c>
      <c r="N657" s="11">
        <f>IF(Table2[[#This Row],[Status]]="Settled",0,$Q$2-Table2[[#This Row],[Date]])</f>
        <v>84</v>
      </c>
      <c r="O657" s="5" t="str">
        <f>IF(Table2[[#This Row],[Age Days]]&lt;=7,"Normal",IF(Table2[[#This Row],[Age Days]]&lt;=14,"Perlu Dipantau",IF(Table2[[#This Row],[Age Days]]&lt;=30,"Perlu Ditindaklanjuti","Overdue")))</f>
        <v>Overdue</v>
      </c>
    </row>
    <row r="658" spans="1:15" x14ac:dyDescent="0.3">
      <c r="A658" t="s">
        <v>742</v>
      </c>
      <c r="B658" s="3">
        <v>46181</v>
      </c>
      <c r="C658" t="s">
        <v>44</v>
      </c>
      <c r="D658" t="s">
        <v>45</v>
      </c>
      <c r="E658" t="s">
        <v>43</v>
      </c>
      <c r="F658" t="s">
        <v>20</v>
      </c>
      <c r="G658" t="s">
        <v>15</v>
      </c>
      <c r="H658" s="5">
        <v>850000</v>
      </c>
      <c r="I658" s="5">
        <v>625000</v>
      </c>
      <c r="J658" s="5">
        <v>225000</v>
      </c>
      <c r="K658" s="5">
        <f>Table2[[#This Row],[Advance Amount]]-Table2[[#This Row],[Expense Amount]]-Table2[[#This Row],[Return Amount]]</f>
        <v>0</v>
      </c>
      <c r="L658" s="5" t="str">
        <f>IF(Table2[[#This Row],[Outstanding]]=0,"Settled",IF(Table2[[#This Row],[Outstanding]]&gt;0,"Outstanding"))</f>
        <v>Settled</v>
      </c>
      <c r="M658" s="5" t="str">
        <f>IF(Table2[[#This Row],[Advance Amount]]=Table2[[#This Row],[Expense Amount]]+Table2[[#This Row],[Return Amount]]+Table2[[#This Row],[Outstanding]],"Ok","Check")</f>
        <v>Ok</v>
      </c>
      <c r="N658" s="11">
        <f>IF(Table2[[#This Row],[Status]]="Settled",0,$Q$2-Table2[[#This Row],[Date]])</f>
        <v>0</v>
      </c>
      <c r="O658" s="5" t="str">
        <f>IF(Table2[[#This Row],[Age Days]]&lt;=7,"Normal",IF(Table2[[#This Row],[Age Days]]&lt;=14,"Perlu Dipantau",IF(Table2[[#This Row],[Age Days]]&lt;=30,"Perlu Ditindaklanjuti","Overdue")))</f>
        <v>Normal</v>
      </c>
    </row>
    <row r="659" spans="1:15" x14ac:dyDescent="0.3">
      <c r="A659" t="s">
        <v>743</v>
      </c>
      <c r="B659" s="3">
        <v>46181</v>
      </c>
      <c r="C659" t="s">
        <v>50</v>
      </c>
      <c r="D659" t="s">
        <v>51</v>
      </c>
      <c r="E659" t="s">
        <v>52</v>
      </c>
      <c r="F659" t="s">
        <v>20</v>
      </c>
      <c r="G659" t="s">
        <v>40</v>
      </c>
      <c r="H659" s="5">
        <v>450000</v>
      </c>
      <c r="I659" s="5">
        <v>350000</v>
      </c>
      <c r="J659" s="5">
        <v>100000</v>
      </c>
      <c r="K659" s="5">
        <f>Table2[[#This Row],[Advance Amount]]-Table2[[#This Row],[Expense Amount]]-Table2[[#This Row],[Return Amount]]</f>
        <v>0</v>
      </c>
      <c r="L659" s="5" t="str">
        <f>IF(Table2[[#This Row],[Outstanding]]=0,"Settled",IF(Table2[[#This Row],[Outstanding]]&gt;0,"Outstanding"))</f>
        <v>Settled</v>
      </c>
      <c r="M659" s="5" t="str">
        <f>IF(Table2[[#This Row],[Advance Amount]]=Table2[[#This Row],[Expense Amount]]+Table2[[#This Row],[Return Amount]]+Table2[[#This Row],[Outstanding]],"Ok","Check")</f>
        <v>Ok</v>
      </c>
      <c r="N659" s="11">
        <f>IF(Table2[[#This Row],[Status]]="Settled",0,$Q$2-Table2[[#This Row],[Date]])</f>
        <v>0</v>
      </c>
      <c r="O659" s="5" t="str">
        <f>IF(Table2[[#This Row],[Age Days]]&lt;=7,"Normal",IF(Table2[[#This Row],[Age Days]]&lt;=14,"Perlu Dipantau",IF(Table2[[#This Row],[Age Days]]&lt;=30,"Perlu Ditindaklanjuti","Overdue")))</f>
        <v>Normal</v>
      </c>
    </row>
    <row r="660" spans="1:15" x14ac:dyDescent="0.3">
      <c r="A660" t="s">
        <v>744</v>
      </c>
      <c r="B660" s="3">
        <v>46181</v>
      </c>
      <c r="C660" t="s">
        <v>59</v>
      </c>
      <c r="D660" t="s">
        <v>60</v>
      </c>
      <c r="E660" t="s">
        <v>19</v>
      </c>
      <c r="F660" t="s">
        <v>20</v>
      </c>
      <c r="G660" t="s">
        <v>28</v>
      </c>
      <c r="H660" s="5">
        <v>180000</v>
      </c>
      <c r="I660" s="5">
        <v>150000</v>
      </c>
      <c r="J660" s="5">
        <v>30000</v>
      </c>
      <c r="K660" s="5">
        <f>Table2[[#This Row],[Advance Amount]]-Table2[[#This Row],[Expense Amount]]-Table2[[#This Row],[Return Amount]]</f>
        <v>0</v>
      </c>
      <c r="L660" s="5" t="str">
        <f>IF(Table2[[#This Row],[Outstanding]]=0,"Settled",IF(Table2[[#This Row],[Outstanding]]&gt;0,"Outstanding"))</f>
        <v>Settled</v>
      </c>
      <c r="M660" s="5" t="str">
        <f>IF(Table2[[#This Row],[Advance Amount]]=Table2[[#This Row],[Expense Amount]]+Table2[[#This Row],[Return Amount]]+Table2[[#This Row],[Outstanding]],"Ok","Check")</f>
        <v>Ok</v>
      </c>
      <c r="N660" s="11">
        <f>IF(Table2[[#This Row],[Status]]="Settled",0,$Q$2-Table2[[#This Row],[Date]])</f>
        <v>0</v>
      </c>
      <c r="O660" s="5" t="str">
        <f>IF(Table2[[#This Row],[Age Days]]&lt;=7,"Normal",IF(Table2[[#This Row],[Age Days]]&lt;=14,"Perlu Dipantau",IF(Table2[[#This Row],[Age Days]]&lt;=30,"Perlu Ditindaklanjuti","Overdue")))</f>
        <v>Normal</v>
      </c>
    </row>
    <row r="661" spans="1:15" x14ac:dyDescent="0.3">
      <c r="A661" t="s">
        <v>745</v>
      </c>
      <c r="B661" s="3">
        <v>46181</v>
      </c>
      <c r="C661" t="s">
        <v>25</v>
      </c>
      <c r="D661" t="s">
        <v>26</v>
      </c>
      <c r="E661" t="s">
        <v>27</v>
      </c>
      <c r="F661" t="s">
        <v>20</v>
      </c>
      <c r="G661" t="s">
        <v>40</v>
      </c>
      <c r="H661" s="5">
        <v>500000</v>
      </c>
      <c r="I661" s="5">
        <v>375000</v>
      </c>
      <c r="J661" s="5">
        <v>125000</v>
      </c>
      <c r="K661" s="5">
        <f>Table2[[#This Row],[Advance Amount]]-Table2[[#This Row],[Expense Amount]]-Table2[[#This Row],[Return Amount]]</f>
        <v>0</v>
      </c>
      <c r="L661" s="5" t="str">
        <f>IF(Table2[[#This Row],[Outstanding]]=0,"Settled",IF(Table2[[#This Row],[Outstanding]]&gt;0,"Outstanding"))</f>
        <v>Settled</v>
      </c>
      <c r="M661" s="5" t="str">
        <f>IF(Table2[[#This Row],[Advance Amount]]=Table2[[#This Row],[Expense Amount]]+Table2[[#This Row],[Return Amount]]+Table2[[#This Row],[Outstanding]],"Ok","Check")</f>
        <v>Ok</v>
      </c>
      <c r="N661" s="11">
        <f>IF(Table2[[#This Row],[Status]]="Settled",0,$Q$2-Table2[[#This Row],[Date]])</f>
        <v>0</v>
      </c>
      <c r="O661" s="5" t="str">
        <f>IF(Table2[[#This Row],[Age Days]]&lt;=7,"Normal",IF(Table2[[#This Row],[Age Days]]&lt;=14,"Perlu Dipantau",IF(Table2[[#This Row],[Age Days]]&lt;=30,"Perlu Ditindaklanjuti","Overdue")))</f>
        <v>Normal</v>
      </c>
    </row>
    <row r="662" spans="1:15" x14ac:dyDescent="0.3">
      <c r="A662" t="s">
        <v>746</v>
      </c>
      <c r="B662" s="3">
        <v>46181</v>
      </c>
      <c r="C662" t="s">
        <v>25</v>
      </c>
      <c r="D662" t="s">
        <v>26</v>
      </c>
      <c r="E662" t="s">
        <v>27</v>
      </c>
      <c r="F662" t="s">
        <v>14</v>
      </c>
      <c r="G662" t="s">
        <v>31</v>
      </c>
      <c r="H662" s="5">
        <v>1050000</v>
      </c>
      <c r="I662" s="5">
        <v>825000</v>
      </c>
      <c r="J662" s="5">
        <v>225000</v>
      </c>
      <c r="K662" s="5">
        <f>Table2[[#This Row],[Advance Amount]]-Table2[[#This Row],[Expense Amount]]-Table2[[#This Row],[Return Amount]]</f>
        <v>0</v>
      </c>
      <c r="L662" s="5" t="str">
        <f>IF(Table2[[#This Row],[Outstanding]]=0,"Settled",IF(Table2[[#This Row],[Outstanding]]&gt;0,"Outstanding"))</f>
        <v>Settled</v>
      </c>
      <c r="M662" s="5" t="str">
        <f>IF(Table2[[#This Row],[Advance Amount]]=Table2[[#This Row],[Expense Amount]]+Table2[[#This Row],[Return Amount]]+Table2[[#This Row],[Outstanding]],"Ok","Check")</f>
        <v>Ok</v>
      </c>
      <c r="N662" s="11">
        <f>IF(Table2[[#This Row],[Status]]="Settled",0,$Q$2-Table2[[#This Row],[Date]])</f>
        <v>0</v>
      </c>
      <c r="O662" s="5" t="str">
        <f>IF(Table2[[#This Row],[Age Days]]&lt;=7,"Normal",IF(Table2[[#This Row],[Age Days]]&lt;=14,"Perlu Dipantau",IF(Table2[[#This Row],[Age Days]]&lt;=30,"Perlu Ditindaklanjuti","Overdue")))</f>
        <v>Normal</v>
      </c>
    </row>
    <row r="663" spans="1:15" x14ac:dyDescent="0.3">
      <c r="A663" t="s">
        <v>747</v>
      </c>
      <c r="B663" s="3">
        <v>46182</v>
      </c>
      <c r="C663" t="s">
        <v>46</v>
      </c>
      <c r="D663" t="s">
        <v>47</v>
      </c>
      <c r="E663" t="s">
        <v>37</v>
      </c>
      <c r="F663" t="s">
        <v>20</v>
      </c>
      <c r="G663" t="s">
        <v>31</v>
      </c>
      <c r="H663" s="5">
        <v>600000</v>
      </c>
      <c r="I663" s="5">
        <v>550000</v>
      </c>
      <c r="J663" s="5">
        <v>50000</v>
      </c>
      <c r="K663" s="5">
        <f>Table2[[#This Row],[Advance Amount]]-Table2[[#This Row],[Expense Amount]]-Table2[[#This Row],[Return Amount]]</f>
        <v>0</v>
      </c>
      <c r="L663" s="5" t="str">
        <f>IF(Table2[[#This Row],[Outstanding]]=0,"Settled",IF(Table2[[#This Row],[Outstanding]]&gt;0,"Outstanding"))</f>
        <v>Settled</v>
      </c>
      <c r="M663" s="5" t="str">
        <f>IF(Table2[[#This Row],[Advance Amount]]=Table2[[#This Row],[Expense Amount]]+Table2[[#This Row],[Return Amount]]+Table2[[#This Row],[Outstanding]],"Ok","Check")</f>
        <v>Ok</v>
      </c>
      <c r="N663" s="11">
        <f>IF(Table2[[#This Row],[Status]]="Settled",0,$Q$2-Table2[[#This Row],[Date]])</f>
        <v>0</v>
      </c>
      <c r="O663" s="5" t="str">
        <f>IF(Table2[[#This Row],[Age Days]]&lt;=7,"Normal",IF(Table2[[#This Row],[Age Days]]&lt;=14,"Perlu Dipantau",IF(Table2[[#This Row],[Age Days]]&lt;=30,"Perlu Ditindaklanjuti","Overdue")))</f>
        <v>Normal</v>
      </c>
    </row>
    <row r="664" spans="1:15" x14ac:dyDescent="0.3">
      <c r="A664" t="s">
        <v>748</v>
      </c>
      <c r="B664" s="3">
        <v>46182</v>
      </c>
      <c r="C664" t="s">
        <v>32</v>
      </c>
      <c r="D664" t="s">
        <v>33</v>
      </c>
      <c r="E664" t="s">
        <v>27</v>
      </c>
      <c r="F664" t="s">
        <v>20</v>
      </c>
      <c r="G664" t="s">
        <v>40</v>
      </c>
      <c r="H664" s="5">
        <v>875000</v>
      </c>
      <c r="I664" s="5">
        <v>850000</v>
      </c>
      <c r="J664" s="5">
        <v>25000</v>
      </c>
      <c r="K664" s="5">
        <f>Table2[[#This Row],[Advance Amount]]-Table2[[#This Row],[Expense Amount]]-Table2[[#This Row],[Return Amount]]</f>
        <v>0</v>
      </c>
      <c r="L664" s="5" t="str">
        <f>IF(Table2[[#This Row],[Outstanding]]=0,"Settled",IF(Table2[[#This Row],[Outstanding]]&gt;0,"Outstanding"))</f>
        <v>Settled</v>
      </c>
      <c r="M664" s="5" t="str">
        <f>IF(Table2[[#This Row],[Advance Amount]]=Table2[[#This Row],[Expense Amount]]+Table2[[#This Row],[Return Amount]]+Table2[[#This Row],[Outstanding]],"Ok","Check")</f>
        <v>Ok</v>
      </c>
      <c r="N664" s="11">
        <f>IF(Table2[[#This Row],[Status]]="Settled",0,$Q$2-Table2[[#This Row],[Date]])</f>
        <v>0</v>
      </c>
      <c r="O664" s="5" t="str">
        <f>IF(Table2[[#This Row],[Age Days]]&lt;=7,"Normal",IF(Table2[[#This Row],[Age Days]]&lt;=14,"Perlu Dipantau",IF(Table2[[#This Row],[Age Days]]&lt;=30,"Perlu Ditindaklanjuti","Overdue")))</f>
        <v>Normal</v>
      </c>
    </row>
    <row r="665" spans="1:15" x14ac:dyDescent="0.3">
      <c r="A665" t="s">
        <v>749</v>
      </c>
      <c r="B665" s="3">
        <v>46182</v>
      </c>
      <c r="C665" t="s">
        <v>62</v>
      </c>
      <c r="D665" t="s">
        <v>63</v>
      </c>
      <c r="E665" t="s">
        <v>52</v>
      </c>
      <c r="F665" t="s">
        <v>20</v>
      </c>
      <c r="G665" t="s">
        <v>15</v>
      </c>
      <c r="H665" s="5">
        <v>1650000</v>
      </c>
      <c r="I665" s="5">
        <v>0</v>
      </c>
      <c r="J665" s="5">
        <v>0</v>
      </c>
      <c r="K665" s="5">
        <f>Table2[[#This Row],[Advance Amount]]-Table2[[#This Row],[Expense Amount]]-Table2[[#This Row],[Return Amount]]</f>
        <v>1650000</v>
      </c>
      <c r="L665" s="5" t="str">
        <f>IF(Table2[[#This Row],[Outstanding]]=0,"Settled",IF(Table2[[#This Row],[Outstanding]]&gt;0,"Outstanding"))</f>
        <v>Outstanding</v>
      </c>
      <c r="M665" s="5" t="str">
        <f>IF(Table2[[#This Row],[Advance Amount]]=Table2[[#This Row],[Expense Amount]]+Table2[[#This Row],[Return Amount]]+Table2[[#This Row],[Outstanding]],"Ok","Check")</f>
        <v>Ok</v>
      </c>
      <c r="N665" s="11">
        <f>IF(Table2[[#This Row],[Status]]="Settled",0,$Q$2-Table2[[#This Row],[Date]])</f>
        <v>83</v>
      </c>
      <c r="O665" s="5" t="str">
        <f>IF(Table2[[#This Row],[Age Days]]&lt;=7,"Normal",IF(Table2[[#This Row],[Age Days]]&lt;=14,"Perlu Dipantau",IF(Table2[[#This Row],[Age Days]]&lt;=30,"Perlu Ditindaklanjuti","Overdue")))</f>
        <v>Overdue</v>
      </c>
    </row>
    <row r="666" spans="1:15" x14ac:dyDescent="0.3">
      <c r="A666" t="s">
        <v>750</v>
      </c>
      <c r="B666" s="3">
        <v>46182</v>
      </c>
      <c r="C666" t="s">
        <v>64</v>
      </c>
      <c r="D666" t="s">
        <v>65</v>
      </c>
      <c r="E666" t="s">
        <v>37</v>
      </c>
      <c r="F666" t="s">
        <v>20</v>
      </c>
      <c r="G666" t="s">
        <v>57</v>
      </c>
      <c r="H666" s="5">
        <v>180000</v>
      </c>
      <c r="I666" s="5">
        <v>150000</v>
      </c>
      <c r="J666" s="5">
        <v>30000</v>
      </c>
      <c r="K666" s="5">
        <f>Table2[[#This Row],[Advance Amount]]-Table2[[#This Row],[Expense Amount]]-Table2[[#This Row],[Return Amount]]</f>
        <v>0</v>
      </c>
      <c r="L666" s="5" t="str">
        <f>IF(Table2[[#This Row],[Outstanding]]=0,"Settled",IF(Table2[[#This Row],[Outstanding]]&gt;0,"Outstanding"))</f>
        <v>Settled</v>
      </c>
      <c r="M666" s="5" t="str">
        <f>IF(Table2[[#This Row],[Advance Amount]]=Table2[[#This Row],[Expense Amount]]+Table2[[#This Row],[Return Amount]]+Table2[[#This Row],[Outstanding]],"Ok","Check")</f>
        <v>Ok</v>
      </c>
      <c r="N666" s="11">
        <f>IF(Table2[[#This Row],[Status]]="Settled",0,$Q$2-Table2[[#This Row],[Date]])</f>
        <v>0</v>
      </c>
      <c r="O666" s="5" t="str">
        <f>IF(Table2[[#This Row],[Age Days]]&lt;=7,"Normal",IF(Table2[[#This Row],[Age Days]]&lt;=14,"Perlu Dipantau",IF(Table2[[#This Row],[Age Days]]&lt;=30,"Perlu Ditindaklanjuti","Overdue")))</f>
        <v>Normal</v>
      </c>
    </row>
    <row r="667" spans="1:15" x14ac:dyDescent="0.3">
      <c r="A667" t="s">
        <v>751</v>
      </c>
      <c r="B667" s="3">
        <v>46183</v>
      </c>
      <c r="C667" t="s">
        <v>46</v>
      </c>
      <c r="D667" t="s">
        <v>47</v>
      </c>
      <c r="E667" t="s">
        <v>37</v>
      </c>
      <c r="F667" t="s">
        <v>14</v>
      </c>
      <c r="G667" t="s">
        <v>28</v>
      </c>
      <c r="H667" s="5">
        <v>405000</v>
      </c>
      <c r="I667" s="5">
        <v>375000</v>
      </c>
      <c r="J667" s="5">
        <v>30000</v>
      </c>
      <c r="K667" s="5">
        <f>Table2[[#This Row],[Advance Amount]]-Table2[[#This Row],[Expense Amount]]-Table2[[#This Row],[Return Amount]]</f>
        <v>0</v>
      </c>
      <c r="L667" s="5" t="str">
        <f>IF(Table2[[#This Row],[Outstanding]]=0,"Settled",IF(Table2[[#This Row],[Outstanding]]&gt;0,"Outstanding"))</f>
        <v>Settled</v>
      </c>
      <c r="M667" s="5" t="str">
        <f>IF(Table2[[#This Row],[Advance Amount]]=Table2[[#This Row],[Expense Amount]]+Table2[[#This Row],[Return Amount]]+Table2[[#This Row],[Outstanding]],"Ok","Check")</f>
        <v>Ok</v>
      </c>
      <c r="N667" s="11">
        <f>IF(Table2[[#This Row],[Status]]="Settled",0,$Q$2-Table2[[#This Row],[Date]])</f>
        <v>0</v>
      </c>
      <c r="O667" s="5" t="str">
        <f>IF(Table2[[#This Row],[Age Days]]&lt;=7,"Normal",IF(Table2[[#This Row],[Age Days]]&lt;=14,"Perlu Dipantau",IF(Table2[[#This Row],[Age Days]]&lt;=30,"Perlu Ditindaklanjuti","Overdue")))</f>
        <v>Normal</v>
      </c>
    </row>
    <row r="668" spans="1:15" x14ac:dyDescent="0.3">
      <c r="A668" t="s">
        <v>752</v>
      </c>
      <c r="B668" s="3">
        <v>46183</v>
      </c>
      <c r="C668" t="s">
        <v>48</v>
      </c>
      <c r="D668" t="s">
        <v>49</v>
      </c>
      <c r="E668" t="s">
        <v>19</v>
      </c>
      <c r="F668" t="s">
        <v>20</v>
      </c>
      <c r="G668" t="s">
        <v>61</v>
      </c>
      <c r="H668" s="5">
        <v>500000</v>
      </c>
      <c r="I668" s="5">
        <v>450000</v>
      </c>
      <c r="J668" s="5">
        <v>50000</v>
      </c>
      <c r="K668" s="5">
        <f>Table2[[#This Row],[Advance Amount]]-Table2[[#This Row],[Expense Amount]]-Table2[[#This Row],[Return Amount]]</f>
        <v>0</v>
      </c>
      <c r="L668" s="5" t="str">
        <f>IF(Table2[[#This Row],[Outstanding]]=0,"Settled",IF(Table2[[#This Row],[Outstanding]]&gt;0,"Outstanding"))</f>
        <v>Settled</v>
      </c>
      <c r="M668" s="5" t="str">
        <f>IF(Table2[[#This Row],[Advance Amount]]=Table2[[#This Row],[Expense Amount]]+Table2[[#This Row],[Return Amount]]+Table2[[#This Row],[Outstanding]],"Ok","Check")</f>
        <v>Ok</v>
      </c>
      <c r="N668" s="11">
        <f>IF(Table2[[#This Row],[Status]]="Settled",0,$Q$2-Table2[[#This Row],[Date]])</f>
        <v>0</v>
      </c>
      <c r="O668" s="5" t="str">
        <f>IF(Table2[[#This Row],[Age Days]]&lt;=7,"Normal",IF(Table2[[#This Row],[Age Days]]&lt;=14,"Perlu Dipantau",IF(Table2[[#This Row],[Age Days]]&lt;=30,"Perlu Ditindaklanjuti","Overdue")))</f>
        <v>Normal</v>
      </c>
    </row>
    <row r="669" spans="1:15" x14ac:dyDescent="0.3">
      <c r="A669" t="s">
        <v>753</v>
      </c>
      <c r="B669" s="3">
        <v>46183</v>
      </c>
      <c r="C669" t="s">
        <v>68</v>
      </c>
      <c r="D669" t="s">
        <v>69</v>
      </c>
      <c r="E669" t="s">
        <v>27</v>
      </c>
      <c r="F669" t="s">
        <v>14</v>
      </c>
      <c r="G669" t="s">
        <v>34</v>
      </c>
      <c r="H669" s="5">
        <v>275000</v>
      </c>
      <c r="I669" s="5">
        <v>225000</v>
      </c>
      <c r="J669" s="5">
        <v>50000</v>
      </c>
      <c r="K669" s="5">
        <f>Table2[[#This Row],[Advance Amount]]-Table2[[#This Row],[Expense Amount]]-Table2[[#This Row],[Return Amount]]</f>
        <v>0</v>
      </c>
      <c r="L669" s="5" t="str">
        <f>IF(Table2[[#This Row],[Outstanding]]=0,"Settled",IF(Table2[[#This Row],[Outstanding]]&gt;0,"Outstanding"))</f>
        <v>Settled</v>
      </c>
      <c r="M669" s="5" t="str">
        <f>IF(Table2[[#This Row],[Advance Amount]]=Table2[[#This Row],[Expense Amount]]+Table2[[#This Row],[Return Amount]]+Table2[[#This Row],[Outstanding]],"Ok","Check")</f>
        <v>Ok</v>
      </c>
      <c r="N669" s="11">
        <f>IF(Table2[[#This Row],[Status]]="Settled",0,$Q$2-Table2[[#This Row],[Date]])</f>
        <v>0</v>
      </c>
      <c r="O669" s="5" t="str">
        <f>IF(Table2[[#This Row],[Age Days]]&lt;=7,"Normal",IF(Table2[[#This Row],[Age Days]]&lt;=14,"Perlu Dipantau",IF(Table2[[#This Row],[Age Days]]&lt;=30,"Perlu Ditindaklanjuti","Overdue")))</f>
        <v>Normal</v>
      </c>
    </row>
    <row r="670" spans="1:15" x14ac:dyDescent="0.3">
      <c r="A670" t="s">
        <v>754</v>
      </c>
      <c r="B670" s="3">
        <v>46183</v>
      </c>
      <c r="C670" t="s">
        <v>68</v>
      </c>
      <c r="D670" t="s">
        <v>69</v>
      </c>
      <c r="E670" t="s">
        <v>27</v>
      </c>
      <c r="F670" t="s">
        <v>20</v>
      </c>
      <c r="G670" t="s">
        <v>34</v>
      </c>
      <c r="H670" s="5">
        <v>300000</v>
      </c>
      <c r="I670" s="5">
        <v>0</v>
      </c>
      <c r="J670" s="5">
        <v>0</v>
      </c>
      <c r="K670" s="5">
        <f>Table2[[#This Row],[Advance Amount]]-Table2[[#This Row],[Expense Amount]]-Table2[[#This Row],[Return Amount]]</f>
        <v>300000</v>
      </c>
      <c r="L670" s="5" t="str">
        <f>IF(Table2[[#This Row],[Outstanding]]=0,"Settled",IF(Table2[[#This Row],[Outstanding]]&gt;0,"Outstanding"))</f>
        <v>Outstanding</v>
      </c>
      <c r="M670" s="5" t="str">
        <f>IF(Table2[[#This Row],[Advance Amount]]=Table2[[#This Row],[Expense Amount]]+Table2[[#This Row],[Return Amount]]+Table2[[#This Row],[Outstanding]],"Ok","Check")</f>
        <v>Ok</v>
      </c>
      <c r="N670" s="11">
        <f>IF(Table2[[#This Row],[Status]]="Settled",0,$Q$2-Table2[[#This Row],[Date]])</f>
        <v>82</v>
      </c>
      <c r="O670" s="5" t="str">
        <f>IF(Table2[[#This Row],[Age Days]]&lt;=7,"Normal",IF(Table2[[#This Row],[Age Days]]&lt;=14,"Perlu Dipantau",IF(Table2[[#This Row],[Age Days]]&lt;=30,"Perlu Ditindaklanjuti","Overdue")))</f>
        <v>Overdue</v>
      </c>
    </row>
    <row r="671" spans="1:15" x14ac:dyDescent="0.3">
      <c r="A671" t="s">
        <v>755</v>
      </c>
      <c r="B671" s="3">
        <v>46183</v>
      </c>
      <c r="C671" t="s">
        <v>44</v>
      </c>
      <c r="D671" t="s">
        <v>45</v>
      </c>
      <c r="E671" t="s">
        <v>43</v>
      </c>
      <c r="F671" t="s">
        <v>20</v>
      </c>
      <c r="G671" t="s">
        <v>57</v>
      </c>
      <c r="H671" s="5">
        <v>55000</v>
      </c>
      <c r="I671" s="5">
        <v>50000</v>
      </c>
      <c r="J671" s="5">
        <v>5000</v>
      </c>
      <c r="K671" s="5">
        <f>Table2[[#This Row],[Advance Amount]]-Table2[[#This Row],[Expense Amount]]-Table2[[#This Row],[Return Amount]]</f>
        <v>0</v>
      </c>
      <c r="L671" s="5" t="str">
        <f>IF(Table2[[#This Row],[Outstanding]]=0,"Settled",IF(Table2[[#This Row],[Outstanding]]&gt;0,"Outstanding"))</f>
        <v>Settled</v>
      </c>
      <c r="M671" s="5" t="str">
        <f>IF(Table2[[#This Row],[Advance Amount]]=Table2[[#This Row],[Expense Amount]]+Table2[[#This Row],[Return Amount]]+Table2[[#This Row],[Outstanding]],"Ok","Check")</f>
        <v>Ok</v>
      </c>
      <c r="N671" s="11">
        <f>IF(Table2[[#This Row],[Status]]="Settled",0,$Q$2-Table2[[#This Row],[Date]])</f>
        <v>0</v>
      </c>
      <c r="O671" s="5" t="str">
        <f>IF(Table2[[#This Row],[Age Days]]&lt;=7,"Normal",IF(Table2[[#This Row],[Age Days]]&lt;=14,"Perlu Dipantau",IF(Table2[[#This Row],[Age Days]]&lt;=30,"Perlu Ditindaklanjuti","Overdue")))</f>
        <v>Normal</v>
      </c>
    </row>
    <row r="672" spans="1:15" x14ac:dyDescent="0.3">
      <c r="A672" t="s">
        <v>756</v>
      </c>
      <c r="B672" s="3">
        <v>46183</v>
      </c>
      <c r="C672" t="s">
        <v>64</v>
      </c>
      <c r="D672" t="s">
        <v>65</v>
      </c>
      <c r="E672" t="s">
        <v>37</v>
      </c>
      <c r="F672" t="s">
        <v>14</v>
      </c>
      <c r="G672" t="s">
        <v>40</v>
      </c>
      <c r="H672" s="5">
        <v>425000</v>
      </c>
      <c r="I672" s="5">
        <v>325000</v>
      </c>
      <c r="J672" s="5">
        <v>100000</v>
      </c>
      <c r="K672" s="5">
        <f>Table2[[#This Row],[Advance Amount]]-Table2[[#This Row],[Expense Amount]]-Table2[[#This Row],[Return Amount]]</f>
        <v>0</v>
      </c>
      <c r="L672" s="5" t="str">
        <f>IF(Table2[[#This Row],[Outstanding]]=0,"Settled",IF(Table2[[#This Row],[Outstanding]]&gt;0,"Outstanding"))</f>
        <v>Settled</v>
      </c>
      <c r="M672" s="5" t="str">
        <f>IF(Table2[[#This Row],[Advance Amount]]=Table2[[#This Row],[Expense Amount]]+Table2[[#This Row],[Return Amount]]+Table2[[#This Row],[Outstanding]],"Ok","Check")</f>
        <v>Ok</v>
      </c>
      <c r="N672" s="11">
        <f>IF(Table2[[#This Row],[Status]]="Settled",0,$Q$2-Table2[[#This Row],[Date]])</f>
        <v>0</v>
      </c>
      <c r="O672" s="5" t="str">
        <f>IF(Table2[[#This Row],[Age Days]]&lt;=7,"Normal",IF(Table2[[#This Row],[Age Days]]&lt;=14,"Perlu Dipantau",IF(Table2[[#This Row],[Age Days]]&lt;=30,"Perlu Ditindaklanjuti","Overdue")))</f>
        <v>Normal</v>
      </c>
    </row>
    <row r="673" spans="1:15" x14ac:dyDescent="0.3">
      <c r="A673" t="s">
        <v>757</v>
      </c>
      <c r="B673" s="3">
        <v>46183</v>
      </c>
      <c r="C673" t="s">
        <v>66</v>
      </c>
      <c r="D673" t="s">
        <v>67</v>
      </c>
      <c r="E673" t="s">
        <v>13</v>
      </c>
      <c r="F673" t="s">
        <v>20</v>
      </c>
      <c r="G673" t="s">
        <v>28</v>
      </c>
      <c r="H673" s="5">
        <v>30000</v>
      </c>
      <c r="I673" s="5">
        <v>0</v>
      </c>
      <c r="J673" s="5">
        <v>0</v>
      </c>
      <c r="K673" s="5">
        <f>Table2[[#This Row],[Advance Amount]]-Table2[[#This Row],[Expense Amount]]-Table2[[#This Row],[Return Amount]]</f>
        <v>30000</v>
      </c>
      <c r="L673" s="5" t="str">
        <f>IF(Table2[[#This Row],[Outstanding]]=0,"Settled",IF(Table2[[#This Row],[Outstanding]]&gt;0,"Outstanding"))</f>
        <v>Outstanding</v>
      </c>
      <c r="M673" s="5" t="str">
        <f>IF(Table2[[#This Row],[Advance Amount]]=Table2[[#This Row],[Expense Amount]]+Table2[[#This Row],[Return Amount]]+Table2[[#This Row],[Outstanding]],"Ok","Check")</f>
        <v>Ok</v>
      </c>
      <c r="N673" s="11">
        <f>IF(Table2[[#This Row],[Status]]="Settled",0,$Q$2-Table2[[#This Row],[Date]])</f>
        <v>82</v>
      </c>
      <c r="O673" s="5" t="str">
        <f>IF(Table2[[#This Row],[Age Days]]&lt;=7,"Normal",IF(Table2[[#This Row],[Age Days]]&lt;=14,"Perlu Dipantau",IF(Table2[[#This Row],[Age Days]]&lt;=30,"Perlu Ditindaklanjuti","Overdue")))</f>
        <v>Overdue</v>
      </c>
    </row>
    <row r="674" spans="1:15" x14ac:dyDescent="0.3">
      <c r="A674" t="s">
        <v>758</v>
      </c>
      <c r="B674" s="3">
        <v>46183</v>
      </c>
      <c r="C674" t="s">
        <v>22</v>
      </c>
      <c r="D674" t="s">
        <v>23</v>
      </c>
      <c r="E674" t="s">
        <v>24</v>
      </c>
      <c r="F674" t="s">
        <v>14</v>
      </c>
      <c r="G674" t="s">
        <v>40</v>
      </c>
      <c r="H674" s="5">
        <v>225000</v>
      </c>
      <c r="I674" s="5">
        <v>200000</v>
      </c>
      <c r="J674" s="5">
        <v>25000</v>
      </c>
      <c r="K674" s="5">
        <f>Table2[[#This Row],[Advance Amount]]-Table2[[#This Row],[Expense Amount]]-Table2[[#This Row],[Return Amount]]</f>
        <v>0</v>
      </c>
      <c r="L674" s="5" t="str">
        <f>IF(Table2[[#This Row],[Outstanding]]=0,"Settled",IF(Table2[[#This Row],[Outstanding]]&gt;0,"Outstanding"))</f>
        <v>Settled</v>
      </c>
      <c r="M674" s="5" t="str">
        <f>IF(Table2[[#This Row],[Advance Amount]]=Table2[[#This Row],[Expense Amount]]+Table2[[#This Row],[Return Amount]]+Table2[[#This Row],[Outstanding]],"Ok","Check")</f>
        <v>Ok</v>
      </c>
      <c r="N674" s="11">
        <f>IF(Table2[[#This Row],[Status]]="Settled",0,$Q$2-Table2[[#This Row],[Date]])</f>
        <v>0</v>
      </c>
      <c r="O674" s="5" t="str">
        <f>IF(Table2[[#This Row],[Age Days]]&lt;=7,"Normal",IF(Table2[[#This Row],[Age Days]]&lt;=14,"Perlu Dipantau",IF(Table2[[#This Row],[Age Days]]&lt;=30,"Perlu Ditindaklanjuti","Overdue")))</f>
        <v>Normal</v>
      </c>
    </row>
    <row r="675" spans="1:15" x14ac:dyDescent="0.3">
      <c r="A675" t="s">
        <v>759</v>
      </c>
      <c r="B675" s="3">
        <v>46184</v>
      </c>
      <c r="C675" t="s">
        <v>62</v>
      </c>
      <c r="D675" t="s">
        <v>63</v>
      </c>
      <c r="E675" t="s">
        <v>52</v>
      </c>
      <c r="F675" t="s">
        <v>20</v>
      </c>
      <c r="G675" t="s">
        <v>57</v>
      </c>
      <c r="H675" s="5">
        <v>55000</v>
      </c>
      <c r="I675" s="5">
        <v>0</v>
      </c>
      <c r="J675" s="5">
        <v>0</v>
      </c>
      <c r="K675" s="5">
        <f>Table2[[#This Row],[Advance Amount]]-Table2[[#This Row],[Expense Amount]]-Table2[[#This Row],[Return Amount]]</f>
        <v>55000</v>
      </c>
      <c r="L675" s="5" t="str">
        <f>IF(Table2[[#This Row],[Outstanding]]=0,"Settled",IF(Table2[[#This Row],[Outstanding]]&gt;0,"Outstanding"))</f>
        <v>Outstanding</v>
      </c>
      <c r="M675" s="5" t="str">
        <f>IF(Table2[[#This Row],[Advance Amount]]=Table2[[#This Row],[Expense Amount]]+Table2[[#This Row],[Return Amount]]+Table2[[#This Row],[Outstanding]],"Ok","Check")</f>
        <v>Ok</v>
      </c>
      <c r="N675" s="11">
        <f>IF(Table2[[#This Row],[Status]]="Settled",0,$Q$2-Table2[[#This Row],[Date]])</f>
        <v>81</v>
      </c>
      <c r="O675" s="5" t="str">
        <f>IF(Table2[[#This Row],[Age Days]]&lt;=7,"Normal",IF(Table2[[#This Row],[Age Days]]&lt;=14,"Perlu Dipantau",IF(Table2[[#This Row],[Age Days]]&lt;=30,"Perlu Ditindaklanjuti","Overdue")))</f>
        <v>Overdue</v>
      </c>
    </row>
    <row r="676" spans="1:15" x14ac:dyDescent="0.3">
      <c r="A676" t="s">
        <v>760</v>
      </c>
      <c r="B676" s="3">
        <v>46184</v>
      </c>
      <c r="C676" t="s">
        <v>44</v>
      </c>
      <c r="D676" t="s">
        <v>45</v>
      </c>
      <c r="E676" t="s">
        <v>43</v>
      </c>
      <c r="F676" t="s">
        <v>20</v>
      </c>
      <c r="G676" t="s">
        <v>40</v>
      </c>
      <c r="H676" s="5">
        <v>175000</v>
      </c>
      <c r="I676" s="5">
        <v>150000</v>
      </c>
      <c r="J676" s="5">
        <v>25000</v>
      </c>
      <c r="K676" s="5">
        <f>Table2[[#This Row],[Advance Amount]]-Table2[[#This Row],[Expense Amount]]-Table2[[#This Row],[Return Amount]]</f>
        <v>0</v>
      </c>
      <c r="L676" s="5" t="str">
        <f>IF(Table2[[#This Row],[Outstanding]]=0,"Settled",IF(Table2[[#This Row],[Outstanding]]&gt;0,"Outstanding"))</f>
        <v>Settled</v>
      </c>
      <c r="M676" s="5" t="str">
        <f>IF(Table2[[#This Row],[Advance Amount]]=Table2[[#This Row],[Expense Amount]]+Table2[[#This Row],[Return Amount]]+Table2[[#This Row],[Outstanding]],"Ok","Check")</f>
        <v>Ok</v>
      </c>
      <c r="N676" s="11">
        <f>IF(Table2[[#This Row],[Status]]="Settled",0,$Q$2-Table2[[#This Row],[Date]])</f>
        <v>0</v>
      </c>
      <c r="O676" s="5" t="str">
        <f>IF(Table2[[#This Row],[Age Days]]&lt;=7,"Normal",IF(Table2[[#This Row],[Age Days]]&lt;=14,"Perlu Dipantau",IF(Table2[[#This Row],[Age Days]]&lt;=30,"Perlu Ditindaklanjuti","Overdue")))</f>
        <v>Normal</v>
      </c>
    </row>
    <row r="677" spans="1:15" x14ac:dyDescent="0.3">
      <c r="A677" t="s">
        <v>761</v>
      </c>
      <c r="B677" s="3">
        <v>46185</v>
      </c>
      <c r="C677" t="s">
        <v>53</v>
      </c>
      <c r="D677" t="s">
        <v>54</v>
      </c>
      <c r="E677" t="s">
        <v>43</v>
      </c>
      <c r="F677" t="s">
        <v>20</v>
      </c>
      <c r="G677" t="s">
        <v>61</v>
      </c>
      <c r="H677" s="5">
        <v>150000</v>
      </c>
      <c r="I677" s="5">
        <v>150000</v>
      </c>
      <c r="J677" s="5">
        <v>0</v>
      </c>
      <c r="K677" s="5">
        <f>Table2[[#This Row],[Advance Amount]]-Table2[[#This Row],[Expense Amount]]-Table2[[#This Row],[Return Amount]]</f>
        <v>0</v>
      </c>
      <c r="L677" s="5" t="str">
        <f>IF(Table2[[#This Row],[Outstanding]]=0,"Settled",IF(Table2[[#This Row],[Outstanding]]&gt;0,"Outstanding"))</f>
        <v>Settled</v>
      </c>
      <c r="M677" s="5" t="str">
        <f>IF(Table2[[#This Row],[Advance Amount]]=Table2[[#This Row],[Expense Amount]]+Table2[[#This Row],[Return Amount]]+Table2[[#This Row],[Outstanding]],"Ok","Check")</f>
        <v>Ok</v>
      </c>
      <c r="N677" s="11">
        <f>IF(Table2[[#This Row],[Status]]="Settled",0,$Q$2-Table2[[#This Row],[Date]])</f>
        <v>0</v>
      </c>
      <c r="O677" s="5" t="str">
        <f>IF(Table2[[#This Row],[Age Days]]&lt;=7,"Normal",IF(Table2[[#This Row],[Age Days]]&lt;=14,"Perlu Dipantau",IF(Table2[[#This Row],[Age Days]]&lt;=30,"Perlu Ditindaklanjuti","Overdue")))</f>
        <v>Normal</v>
      </c>
    </row>
    <row r="678" spans="1:15" x14ac:dyDescent="0.3">
      <c r="A678" t="s">
        <v>762</v>
      </c>
      <c r="B678" s="3">
        <v>46186</v>
      </c>
      <c r="C678" t="s">
        <v>46</v>
      </c>
      <c r="D678" t="s">
        <v>47</v>
      </c>
      <c r="E678" t="s">
        <v>37</v>
      </c>
      <c r="F678" t="s">
        <v>20</v>
      </c>
      <c r="G678" t="s">
        <v>61</v>
      </c>
      <c r="H678" s="5">
        <v>75000</v>
      </c>
      <c r="I678" s="5">
        <v>50000</v>
      </c>
      <c r="J678" s="5">
        <v>25000</v>
      </c>
      <c r="K678" s="5">
        <f>Table2[[#This Row],[Advance Amount]]-Table2[[#This Row],[Expense Amount]]-Table2[[#This Row],[Return Amount]]</f>
        <v>0</v>
      </c>
      <c r="L678" s="5" t="str">
        <f>IF(Table2[[#This Row],[Outstanding]]=0,"Settled",IF(Table2[[#This Row],[Outstanding]]&gt;0,"Outstanding"))</f>
        <v>Settled</v>
      </c>
      <c r="M678" s="5" t="str">
        <f>IF(Table2[[#This Row],[Advance Amount]]=Table2[[#This Row],[Expense Amount]]+Table2[[#This Row],[Return Amount]]+Table2[[#This Row],[Outstanding]],"Ok","Check")</f>
        <v>Ok</v>
      </c>
      <c r="N678" s="11">
        <f>IF(Table2[[#This Row],[Status]]="Settled",0,$Q$2-Table2[[#This Row],[Date]])</f>
        <v>0</v>
      </c>
      <c r="O678" s="5" t="str">
        <f>IF(Table2[[#This Row],[Age Days]]&lt;=7,"Normal",IF(Table2[[#This Row],[Age Days]]&lt;=14,"Perlu Dipantau",IF(Table2[[#This Row],[Age Days]]&lt;=30,"Perlu Ditindaklanjuti","Overdue")))</f>
        <v>Normal</v>
      </c>
    </row>
    <row r="679" spans="1:15" x14ac:dyDescent="0.3">
      <c r="A679" t="s">
        <v>763</v>
      </c>
      <c r="B679" s="3">
        <v>46186</v>
      </c>
      <c r="C679" t="s">
        <v>44</v>
      </c>
      <c r="D679" t="s">
        <v>45</v>
      </c>
      <c r="E679" t="s">
        <v>43</v>
      </c>
      <c r="F679" t="s">
        <v>20</v>
      </c>
      <c r="G679" t="s">
        <v>57</v>
      </c>
      <c r="H679" s="5">
        <v>130000</v>
      </c>
      <c r="I679" s="5">
        <v>0</v>
      </c>
      <c r="J679" s="5">
        <v>0</v>
      </c>
      <c r="K679" s="5">
        <f>Table2[[#This Row],[Advance Amount]]-Table2[[#This Row],[Expense Amount]]-Table2[[#This Row],[Return Amount]]</f>
        <v>130000</v>
      </c>
      <c r="L679" s="5" t="str">
        <f>IF(Table2[[#This Row],[Outstanding]]=0,"Settled",IF(Table2[[#This Row],[Outstanding]]&gt;0,"Outstanding"))</f>
        <v>Outstanding</v>
      </c>
      <c r="M679" s="5" t="str">
        <f>IF(Table2[[#This Row],[Advance Amount]]=Table2[[#This Row],[Expense Amount]]+Table2[[#This Row],[Return Amount]]+Table2[[#This Row],[Outstanding]],"Ok","Check")</f>
        <v>Ok</v>
      </c>
      <c r="N679" s="11">
        <f>IF(Table2[[#This Row],[Status]]="Settled",0,$Q$2-Table2[[#This Row],[Date]])</f>
        <v>79</v>
      </c>
      <c r="O679" s="5" t="str">
        <f>IF(Table2[[#This Row],[Age Days]]&lt;=7,"Normal",IF(Table2[[#This Row],[Age Days]]&lt;=14,"Perlu Dipantau",IF(Table2[[#This Row],[Age Days]]&lt;=30,"Perlu Ditindaklanjuti","Overdue")))</f>
        <v>Overdue</v>
      </c>
    </row>
    <row r="680" spans="1:15" x14ac:dyDescent="0.3">
      <c r="A680" t="s">
        <v>764</v>
      </c>
      <c r="B680" s="3">
        <v>46186</v>
      </c>
      <c r="C680" t="s">
        <v>53</v>
      </c>
      <c r="D680" t="s">
        <v>54</v>
      </c>
      <c r="E680" t="s">
        <v>43</v>
      </c>
      <c r="F680" t="s">
        <v>20</v>
      </c>
      <c r="G680" t="s">
        <v>15</v>
      </c>
      <c r="H680" s="5">
        <v>3975000</v>
      </c>
      <c r="I680" s="5">
        <v>3500000</v>
      </c>
      <c r="J680" s="5">
        <v>475000</v>
      </c>
      <c r="K680" s="5">
        <f>Table2[[#This Row],[Advance Amount]]-Table2[[#This Row],[Expense Amount]]-Table2[[#This Row],[Return Amount]]</f>
        <v>0</v>
      </c>
      <c r="L680" s="5" t="str">
        <f>IF(Table2[[#This Row],[Outstanding]]=0,"Settled",IF(Table2[[#This Row],[Outstanding]]&gt;0,"Outstanding"))</f>
        <v>Settled</v>
      </c>
      <c r="M680" s="5" t="str">
        <f>IF(Table2[[#This Row],[Advance Amount]]=Table2[[#This Row],[Expense Amount]]+Table2[[#This Row],[Return Amount]]+Table2[[#This Row],[Outstanding]],"Ok","Check")</f>
        <v>Ok</v>
      </c>
      <c r="N680" s="11">
        <f>IF(Table2[[#This Row],[Status]]="Settled",0,$Q$2-Table2[[#This Row],[Date]])</f>
        <v>0</v>
      </c>
      <c r="O680" s="5" t="str">
        <f>IF(Table2[[#This Row],[Age Days]]&lt;=7,"Normal",IF(Table2[[#This Row],[Age Days]]&lt;=14,"Perlu Dipantau",IF(Table2[[#This Row],[Age Days]]&lt;=30,"Perlu Ditindaklanjuti","Overdue")))</f>
        <v>Normal</v>
      </c>
    </row>
    <row r="681" spans="1:15" x14ac:dyDescent="0.3">
      <c r="A681" t="s">
        <v>765</v>
      </c>
      <c r="B681" s="3">
        <v>46186</v>
      </c>
      <c r="C681" t="s">
        <v>25</v>
      </c>
      <c r="D681" t="s">
        <v>26</v>
      </c>
      <c r="E681" t="s">
        <v>27</v>
      </c>
      <c r="F681" t="s">
        <v>20</v>
      </c>
      <c r="G681" t="s">
        <v>58</v>
      </c>
      <c r="H681" s="5">
        <v>750000</v>
      </c>
      <c r="I681" s="5">
        <v>750000</v>
      </c>
      <c r="J681" s="5">
        <v>0</v>
      </c>
      <c r="K681" s="5">
        <f>Table2[[#This Row],[Advance Amount]]-Table2[[#This Row],[Expense Amount]]-Table2[[#This Row],[Return Amount]]</f>
        <v>0</v>
      </c>
      <c r="L681" s="5" t="str">
        <f>IF(Table2[[#This Row],[Outstanding]]=0,"Settled",IF(Table2[[#This Row],[Outstanding]]&gt;0,"Outstanding"))</f>
        <v>Settled</v>
      </c>
      <c r="M681" s="5" t="str">
        <f>IF(Table2[[#This Row],[Advance Amount]]=Table2[[#This Row],[Expense Amount]]+Table2[[#This Row],[Return Amount]]+Table2[[#This Row],[Outstanding]],"Ok","Check")</f>
        <v>Ok</v>
      </c>
      <c r="N681" s="11">
        <f>IF(Table2[[#This Row],[Status]]="Settled",0,$Q$2-Table2[[#This Row],[Date]])</f>
        <v>0</v>
      </c>
      <c r="O681" s="5" t="str">
        <f>IF(Table2[[#This Row],[Age Days]]&lt;=7,"Normal",IF(Table2[[#This Row],[Age Days]]&lt;=14,"Perlu Dipantau",IF(Table2[[#This Row],[Age Days]]&lt;=30,"Perlu Ditindaklanjuti","Overdue")))</f>
        <v>Normal</v>
      </c>
    </row>
    <row r="682" spans="1:15" x14ac:dyDescent="0.3">
      <c r="A682" t="s">
        <v>766</v>
      </c>
      <c r="B682" s="3">
        <v>46187</v>
      </c>
      <c r="C682" t="s">
        <v>32</v>
      </c>
      <c r="D682" t="s">
        <v>33</v>
      </c>
      <c r="E682" t="s">
        <v>27</v>
      </c>
      <c r="F682" t="s">
        <v>20</v>
      </c>
      <c r="G682" t="s">
        <v>15</v>
      </c>
      <c r="H682" s="5">
        <v>3225000</v>
      </c>
      <c r="I682" s="5">
        <v>2950000</v>
      </c>
      <c r="J682" s="5">
        <v>275000</v>
      </c>
      <c r="K682" s="5">
        <f>Table2[[#This Row],[Advance Amount]]-Table2[[#This Row],[Expense Amount]]-Table2[[#This Row],[Return Amount]]</f>
        <v>0</v>
      </c>
      <c r="L682" s="5" t="str">
        <f>IF(Table2[[#This Row],[Outstanding]]=0,"Settled",IF(Table2[[#This Row],[Outstanding]]&gt;0,"Outstanding"))</f>
        <v>Settled</v>
      </c>
      <c r="M682" s="5" t="str">
        <f>IF(Table2[[#This Row],[Advance Amount]]=Table2[[#This Row],[Expense Amount]]+Table2[[#This Row],[Return Amount]]+Table2[[#This Row],[Outstanding]],"Ok","Check")</f>
        <v>Ok</v>
      </c>
      <c r="N682" s="11">
        <f>IF(Table2[[#This Row],[Status]]="Settled",0,$Q$2-Table2[[#This Row],[Date]])</f>
        <v>0</v>
      </c>
      <c r="O682" s="5" t="str">
        <f>IF(Table2[[#This Row],[Age Days]]&lt;=7,"Normal",IF(Table2[[#This Row],[Age Days]]&lt;=14,"Perlu Dipantau",IF(Table2[[#This Row],[Age Days]]&lt;=30,"Perlu Ditindaklanjuti","Overdue")))</f>
        <v>Normal</v>
      </c>
    </row>
    <row r="683" spans="1:15" x14ac:dyDescent="0.3">
      <c r="A683" t="s">
        <v>767</v>
      </c>
      <c r="B683" s="3">
        <v>46187</v>
      </c>
      <c r="C683" t="s">
        <v>50</v>
      </c>
      <c r="D683" t="s">
        <v>51</v>
      </c>
      <c r="E683" t="s">
        <v>52</v>
      </c>
      <c r="F683" t="s">
        <v>20</v>
      </c>
      <c r="G683" t="s">
        <v>57</v>
      </c>
      <c r="H683" s="5">
        <v>80000</v>
      </c>
      <c r="I683" s="5">
        <v>0</v>
      </c>
      <c r="J683" s="5">
        <v>0</v>
      </c>
      <c r="K683" s="5">
        <f>Table2[[#This Row],[Advance Amount]]-Table2[[#This Row],[Expense Amount]]-Table2[[#This Row],[Return Amount]]</f>
        <v>80000</v>
      </c>
      <c r="L683" s="5" t="str">
        <f>IF(Table2[[#This Row],[Outstanding]]=0,"Settled",IF(Table2[[#This Row],[Outstanding]]&gt;0,"Outstanding"))</f>
        <v>Outstanding</v>
      </c>
      <c r="M683" s="5" t="str">
        <f>IF(Table2[[#This Row],[Advance Amount]]=Table2[[#This Row],[Expense Amount]]+Table2[[#This Row],[Return Amount]]+Table2[[#This Row],[Outstanding]],"Ok","Check")</f>
        <v>Ok</v>
      </c>
      <c r="N683" s="11">
        <f>IF(Table2[[#This Row],[Status]]="Settled",0,$Q$2-Table2[[#This Row],[Date]])</f>
        <v>78</v>
      </c>
      <c r="O683" s="5" t="str">
        <f>IF(Table2[[#This Row],[Age Days]]&lt;=7,"Normal",IF(Table2[[#This Row],[Age Days]]&lt;=14,"Perlu Dipantau",IF(Table2[[#This Row],[Age Days]]&lt;=30,"Perlu Ditindaklanjuti","Overdue")))</f>
        <v>Overdue</v>
      </c>
    </row>
    <row r="684" spans="1:15" x14ac:dyDescent="0.3">
      <c r="A684" t="s">
        <v>768</v>
      </c>
      <c r="B684" s="3">
        <v>46187</v>
      </c>
      <c r="C684" t="s">
        <v>53</v>
      </c>
      <c r="D684" t="s">
        <v>54</v>
      </c>
      <c r="E684" t="s">
        <v>43</v>
      </c>
      <c r="F684" t="s">
        <v>14</v>
      </c>
      <c r="G684" t="s">
        <v>61</v>
      </c>
      <c r="H684" s="5">
        <v>525000</v>
      </c>
      <c r="I684" s="5">
        <v>425000</v>
      </c>
      <c r="J684" s="5">
        <v>100000</v>
      </c>
      <c r="K684" s="5">
        <f>Table2[[#This Row],[Advance Amount]]-Table2[[#This Row],[Expense Amount]]-Table2[[#This Row],[Return Amount]]</f>
        <v>0</v>
      </c>
      <c r="L684" s="5" t="str">
        <f>IF(Table2[[#This Row],[Outstanding]]=0,"Settled",IF(Table2[[#This Row],[Outstanding]]&gt;0,"Outstanding"))</f>
        <v>Settled</v>
      </c>
      <c r="M684" s="5" t="str">
        <f>IF(Table2[[#This Row],[Advance Amount]]=Table2[[#This Row],[Expense Amount]]+Table2[[#This Row],[Return Amount]]+Table2[[#This Row],[Outstanding]],"Ok","Check")</f>
        <v>Ok</v>
      </c>
      <c r="N684" s="11">
        <f>IF(Table2[[#This Row],[Status]]="Settled",0,$Q$2-Table2[[#This Row],[Date]])</f>
        <v>0</v>
      </c>
      <c r="O684" s="5" t="str">
        <f>IF(Table2[[#This Row],[Age Days]]&lt;=7,"Normal",IF(Table2[[#This Row],[Age Days]]&lt;=14,"Perlu Dipantau",IF(Table2[[#This Row],[Age Days]]&lt;=30,"Perlu Ditindaklanjuti","Overdue")))</f>
        <v>Normal</v>
      </c>
    </row>
    <row r="685" spans="1:15" x14ac:dyDescent="0.3">
      <c r="A685" t="s">
        <v>769</v>
      </c>
      <c r="B685" s="3">
        <v>46187</v>
      </c>
      <c r="C685" t="s">
        <v>22</v>
      </c>
      <c r="D685" t="s">
        <v>23</v>
      </c>
      <c r="E685" t="s">
        <v>24</v>
      </c>
      <c r="F685" t="s">
        <v>20</v>
      </c>
      <c r="G685" t="s">
        <v>28</v>
      </c>
      <c r="H685" s="5">
        <v>355000</v>
      </c>
      <c r="I685" s="5">
        <v>0</v>
      </c>
      <c r="J685" s="5">
        <v>0</v>
      </c>
      <c r="K685" s="5">
        <f>Table2[[#This Row],[Advance Amount]]-Table2[[#This Row],[Expense Amount]]-Table2[[#This Row],[Return Amount]]</f>
        <v>355000</v>
      </c>
      <c r="L685" s="5" t="str">
        <f>IF(Table2[[#This Row],[Outstanding]]=0,"Settled",IF(Table2[[#This Row],[Outstanding]]&gt;0,"Outstanding"))</f>
        <v>Outstanding</v>
      </c>
      <c r="M685" s="5" t="str">
        <f>IF(Table2[[#This Row],[Advance Amount]]=Table2[[#This Row],[Expense Amount]]+Table2[[#This Row],[Return Amount]]+Table2[[#This Row],[Outstanding]],"Ok","Check")</f>
        <v>Ok</v>
      </c>
      <c r="N685" s="11">
        <f>IF(Table2[[#This Row],[Status]]="Settled",0,$Q$2-Table2[[#This Row],[Date]])</f>
        <v>78</v>
      </c>
      <c r="O685" s="5" t="str">
        <f>IF(Table2[[#This Row],[Age Days]]&lt;=7,"Normal",IF(Table2[[#This Row],[Age Days]]&lt;=14,"Perlu Dipantau",IF(Table2[[#This Row],[Age Days]]&lt;=30,"Perlu Ditindaklanjuti","Overdue")))</f>
        <v>Overdue</v>
      </c>
    </row>
    <row r="686" spans="1:15" x14ac:dyDescent="0.3">
      <c r="A686" t="s">
        <v>770</v>
      </c>
      <c r="B686" s="3">
        <v>46188</v>
      </c>
      <c r="C686" t="s">
        <v>48</v>
      </c>
      <c r="D686" t="s">
        <v>49</v>
      </c>
      <c r="E686" t="s">
        <v>19</v>
      </c>
      <c r="F686" t="s">
        <v>20</v>
      </c>
      <c r="G686" t="s">
        <v>28</v>
      </c>
      <c r="H686" s="5">
        <v>80000</v>
      </c>
      <c r="I686" s="5">
        <v>75000</v>
      </c>
      <c r="J686" s="5">
        <v>5000</v>
      </c>
      <c r="K686" s="5">
        <f>Table2[[#This Row],[Advance Amount]]-Table2[[#This Row],[Expense Amount]]-Table2[[#This Row],[Return Amount]]</f>
        <v>0</v>
      </c>
      <c r="L686" s="5" t="str">
        <f>IF(Table2[[#This Row],[Outstanding]]=0,"Settled",IF(Table2[[#This Row],[Outstanding]]&gt;0,"Outstanding"))</f>
        <v>Settled</v>
      </c>
      <c r="M686" s="5" t="str">
        <f>IF(Table2[[#This Row],[Advance Amount]]=Table2[[#This Row],[Expense Amount]]+Table2[[#This Row],[Return Amount]]+Table2[[#This Row],[Outstanding]],"Ok","Check")</f>
        <v>Ok</v>
      </c>
      <c r="N686" s="11">
        <f>IF(Table2[[#This Row],[Status]]="Settled",0,$Q$2-Table2[[#This Row],[Date]])</f>
        <v>0</v>
      </c>
      <c r="O686" s="5" t="str">
        <f>IF(Table2[[#This Row],[Age Days]]&lt;=7,"Normal",IF(Table2[[#This Row],[Age Days]]&lt;=14,"Perlu Dipantau",IF(Table2[[#This Row],[Age Days]]&lt;=30,"Perlu Ditindaklanjuti","Overdue")))</f>
        <v>Normal</v>
      </c>
    </row>
    <row r="687" spans="1:15" x14ac:dyDescent="0.3">
      <c r="A687" t="s">
        <v>771</v>
      </c>
      <c r="B687" s="3">
        <v>46188</v>
      </c>
      <c r="C687" t="s">
        <v>48</v>
      </c>
      <c r="D687" t="s">
        <v>49</v>
      </c>
      <c r="E687" t="s">
        <v>19</v>
      </c>
      <c r="F687" t="s">
        <v>20</v>
      </c>
      <c r="G687" t="s">
        <v>57</v>
      </c>
      <c r="H687" s="5">
        <v>355000</v>
      </c>
      <c r="I687" s="5">
        <v>325000</v>
      </c>
      <c r="J687" s="5">
        <v>30000</v>
      </c>
      <c r="K687" s="5">
        <f>Table2[[#This Row],[Advance Amount]]-Table2[[#This Row],[Expense Amount]]-Table2[[#This Row],[Return Amount]]</f>
        <v>0</v>
      </c>
      <c r="L687" s="5" t="str">
        <f>IF(Table2[[#This Row],[Outstanding]]=0,"Settled",IF(Table2[[#This Row],[Outstanding]]&gt;0,"Outstanding"))</f>
        <v>Settled</v>
      </c>
      <c r="M687" s="5" t="str">
        <f>IF(Table2[[#This Row],[Advance Amount]]=Table2[[#This Row],[Expense Amount]]+Table2[[#This Row],[Return Amount]]+Table2[[#This Row],[Outstanding]],"Ok","Check")</f>
        <v>Ok</v>
      </c>
      <c r="N687" s="11">
        <f>IF(Table2[[#This Row],[Status]]="Settled",0,$Q$2-Table2[[#This Row],[Date]])</f>
        <v>0</v>
      </c>
      <c r="O687" s="5" t="str">
        <f>IF(Table2[[#This Row],[Age Days]]&lt;=7,"Normal",IF(Table2[[#This Row],[Age Days]]&lt;=14,"Perlu Dipantau",IF(Table2[[#This Row],[Age Days]]&lt;=30,"Perlu Ditindaklanjuti","Overdue")))</f>
        <v>Normal</v>
      </c>
    </row>
    <row r="688" spans="1:15" x14ac:dyDescent="0.3">
      <c r="A688" t="s">
        <v>772</v>
      </c>
      <c r="B688" s="3">
        <v>46188</v>
      </c>
      <c r="C688" t="s">
        <v>68</v>
      </c>
      <c r="D688" t="s">
        <v>69</v>
      </c>
      <c r="E688" t="s">
        <v>27</v>
      </c>
      <c r="F688" t="s">
        <v>14</v>
      </c>
      <c r="G688" t="s">
        <v>57</v>
      </c>
      <c r="H688" s="5">
        <v>430000</v>
      </c>
      <c r="I688" s="5">
        <v>0</v>
      </c>
      <c r="J688" s="5">
        <v>0</v>
      </c>
      <c r="K688" s="5">
        <f>Table2[[#This Row],[Advance Amount]]-Table2[[#This Row],[Expense Amount]]-Table2[[#This Row],[Return Amount]]</f>
        <v>430000</v>
      </c>
      <c r="L688" s="5" t="str">
        <f>IF(Table2[[#This Row],[Outstanding]]=0,"Settled",IF(Table2[[#This Row],[Outstanding]]&gt;0,"Outstanding"))</f>
        <v>Outstanding</v>
      </c>
      <c r="M688" s="5" t="str">
        <f>IF(Table2[[#This Row],[Advance Amount]]=Table2[[#This Row],[Expense Amount]]+Table2[[#This Row],[Return Amount]]+Table2[[#This Row],[Outstanding]],"Ok","Check")</f>
        <v>Ok</v>
      </c>
      <c r="N688" s="11">
        <f>IF(Table2[[#This Row],[Status]]="Settled",0,$Q$2-Table2[[#This Row],[Date]])</f>
        <v>77</v>
      </c>
      <c r="O688" s="5" t="str">
        <f>IF(Table2[[#This Row],[Age Days]]&lt;=7,"Normal",IF(Table2[[#This Row],[Age Days]]&lt;=14,"Perlu Dipantau",IF(Table2[[#This Row],[Age Days]]&lt;=30,"Perlu Ditindaklanjuti","Overdue")))</f>
        <v>Overdue</v>
      </c>
    </row>
    <row r="689" spans="1:15" x14ac:dyDescent="0.3">
      <c r="A689" t="s">
        <v>773</v>
      </c>
      <c r="B689" s="3">
        <v>46188</v>
      </c>
      <c r="C689" t="s">
        <v>50</v>
      </c>
      <c r="D689" t="s">
        <v>51</v>
      </c>
      <c r="E689" t="s">
        <v>52</v>
      </c>
      <c r="F689" t="s">
        <v>14</v>
      </c>
      <c r="G689" t="s">
        <v>34</v>
      </c>
      <c r="H689" s="5">
        <v>450000</v>
      </c>
      <c r="I689" s="5">
        <v>400000</v>
      </c>
      <c r="J689" s="5">
        <v>50000</v>
      </c>
      <c r="K689" s="5">
        <f>Table2[[#This Row],[Advance Amount]]-Table2[[#This Row],[Expense Amount]]-Table2[[#This Row],[Return Amount]]</f>
        <v>0</v>
      </c>
      <c r="L689" s="5" t="str">
        <f>IF(Table2[[#This Row],[Outstanding]]=0,"Settled",IF(Table2[[#This Row],[Outstanding]]&gt;0,"Outstanding"))</f>
        <v>Settled</v>
      </c>
      <c r="M689" s="5" t="str">
        <f>IF(Table2[[#This Row],[Advance Amount]]=Table2[[#This Row],[Expense Amount]]+Table2[[#This Row],[Return Amount]]+Table2[[#This Row],[Outstanding]],"Ok","Check")</f>
        <v>Ok</v>
      </c>
      <c r="N689" s="11">
        <f>IF(Table2[[#This Row],[Status]]="Settled",0,$Q$2-Table2[[#This Row],[Date]])</f>
        <v>0</v>
      </c>
      <c r="O689" s="5" t="str">
        <f>IF(Table2[[#This Row],[Age Days]]&lt;=7,"Normal",IF(Table2[[#This Row],[Age Days]]&lt;=14,"Perlu Dipantau",IF(Table2[[#This Row],[Age Days]]&lt;=30,"Perlu Ditindaklanjuti","Overdue")))</f>
        <v>Normal</v>
      </c>
    </row>
    <row r="690" spans="1:15" x14ac:dyDescent="0.3">
      <c r="A690" t="s">
        <v>774</v>
      </c>
      <c r="B690" s="3">
        <v>46188</v>
      </c>
      <c r="C690" t="s">
        <v>22</v>
      </c>
      <c r="D690" t="s">
        <v>23</v>
      </c>
      <c r="E690" t="s">
        <v>24</v>
      </c>
      <c r="F690" t="s">
        <v>14</v>
      </c>
      <c r="G690" t="s">
        <v>57</v>
      </c>
      <c r="H690" s="5">
        <v>30000</v>
      </c>
      <c r="I690" s="5">
        <v>25000</v>
      </c>
      <c r="J690" s="5">
        <v>5000</v>
      </c>
      <c r="K690" s="5">
        <f>Table2[[#This Row],[Advance Amount]]-Table2[[#This Row],[Expense Amount]]-Table2[[#This Row],[Return Amount]]</f>
        <v>0</v>
      </c>
      <c r="L690" s="5" t="str">
        <f>IF(Table2[[#This Row],[Outstanding]]=0,"Settled",IF(Table2[[#This Row],[Outstanding]]&gt;0,"Outstanding"))</f>
        <v>Settled</v>
      </c>
      <c r="M690" s="5" t="str">
        <f>IF(Table2[[#This Row],[Advance Amount]]=Table2[[#This Row],[Expense Amount]]+Table2[[#This Row],[Return Amount]]+Table2[[#This Row],[Outstanding]],"Ok","Check")</f>
        <v>Ok</v>
      </c>
      <c r="N690" s="11">
        <f>IF(Table2[[#This Row],[Status]]="Settled",0,$Q$2-Table2[[#This Row],[Date]])</f>
        <v>0</v>
      </c>
      <c r="O690" s="5" t="str">
        <f>IF(Table2[[#This Row],[Age Days]]&lt;=7,"Normal",IF(Table2[[#This Row],[Age Days]]&lt;=14,"Perlu Dipantau",IF(Table2[[#This Row],[Age Days]]&lt;=30,"Perlu Ditindaklanjuti","Overdue")))</f>
        <v>Normal</v>
      </c>
    </row>
    <row r="691" spans="1:15" x14ac:dyDescent="0.3">
      <c r="A691" t="s">
        <v>775</v>
      </c>
      <c r="B691" s="3">
        <v>46188</v>
      </c>
      <c r="C691" t="s">
        <v>59</v>
      </c>
      <c r="D691" t="s">
        <v>60</v>
      </c>
      <c r="E691" t="s">
        <v>19</v>
      </c>
      <c r="F691" t="s">
        <v>20</v>
      </c>
      <c r="G691" t="s">
        <v>57</v>
      </c>
      <c r="H691" s="5">
        <v>430000</v>
      </c>
      <c r="I691" s="5">
        <v>375000</v>
      </c>
      <c r="J691" s="5">
        <v>55000</v>
      </c>
      <c r="K691" s="5">
        <f>Table2[[#This Row],[Advance Amount]]-Table2[[#This Row],[Expense Amount]]-Table2[[#This Row],[Return Amount]]</f>
        <v>0</v>
      </c>
      <c r="L691" s="5" t="str">
        <f>IF(Table2[[#This Row],[Outstanding]]=0,"Settled",IF(Table2[[#This Row],[Outstanding]]&gt;0,"Outstanding"))</f>
        <v>Settled</v>
      </c>
      <c r="M691" s="5" t="str">
        <f>IF(Table2[[#This Row],[Advance Amount]]=Table2[[#This Row],[Expense Amount]]+Table2[[#This Row],[Return Amount]]+Table2[[#This Row],[Outstanding]],"Ok","Check")</f>
        <v>Ok</v>
      </c>
      <c r="N691" s="11">
        <f>IF(Table2[[#This Row],[Status]]="Settled",0,$Q$2-Table2[[#This Row],[Date]])</f>
        <v>0</v>
      </c>
      <c r="O691" s="5" t="str">
        <f>IF(Table2[[#This Row],[Age Days]]&lt;=7,"Normal",IF(Table2[[#This Row],[Age Days]]&lt;=14,"Perlu Dipantau",IF(Table2[[#This Row],[Age Days]]&lt;=30,"Perlu Ditindaklanjuti","Overdue")))</f>
        <v>Normal</v>
      </c>
    </row>
    <row r="692" spans="1:15" x14ac:dyDescent="0.3">
      <c r="A692" t="s">
        <v>776</v>
      </c>
      <c r="B692" s="3">
        <v>46189</v>
      </c>
      <c r="C692" t="s">
        <v>35</v>
      </c>
      <c r="D692" t="s">
        <v>36</v>
      </c>
      <c r="E692" t="s">
        <v>37</v>
      </c>
      <c r="F692" t="s">
        <v>14</v>
      </c>
      <c r="G692" t="s">
        <v>15</v>
      </c>
      <c r="H692" s="5">
        <v>650000</v>
      </c>
      <c r="I692" s="5">
        <v>625000</v>
      </c>
      <c r="J692" s="5">
        <v>25000</v>
      </c>
      <c r="K692" s="5">
        <f>Table2[[#This Row],[Advance Amount]]-Table2[[#This Row],[Expense Amount]]-Table2[[#This Row],[Return Amount]]</f>
        <v>0</v>
      </c>
      <c r="L692" s="5" t="str">
        <f>IF(Table2[[#This Row],[Outstanding]]=0,"Settled",IF(Table2[[#This Row],[Outstanding]]&gt;0,"Outstanding"))</f>
        <v>Settled</v>
      </c>
      <c r="M692" s="5" t="str">
        <f>IF(Table2[[#This Row],[Advance Amount]]=Table2[[#This Row],[Expense Amount]]+Table2[[#This Row],[Return Amount]]+Table2[[#This Row],[Outstanding]],"Ok","Check")</f>
        <v>Ok</v>
      </c>
      <c r="N692" s="11">
        <f>IF(Table2[[#This Row],[Status]]="Settled",0,$Q$2-Table2[[#This Row],[Date]])</f>
        <v>0</v>
      </c>
      <c r="O692" s="5" t="str">
        <f>IF(Table2[[#This Row],[Age Days]]&lt;=7,"Normal",IF(Table2[[#This Row],[Age Days]]&lt;=14,"Perlu Dipantau",IF(Table2[[#This Row],[Age Days]]&lt;=30,"Perlu Ditindaklanjuti","Overdue")))</f>
        <v>Normal</v>
      </c>
    </row>
    <row r="693" spans="1:15" x14ac:dyDescent="0.3">
      <c r="A693" t="s">
        <v>777</v>
      </c>
      <c r="B693" s="3">
        <v>46189</v>
      </c>
      <c r="C693" t="s">
        <v>38</v>
      </c>
      <c r="D693" t="s">
        <v>39</v>
      </c>
      <c r="E693" t="s">
        <v>24</v>
      </c>
      <c r="F693" t="s">
        <v>14</v>
      </c>
      <c r="G693" t="s">
        <v>40</v>
      </c>
      <c r="H693" s="5">
        <v>675000</v>
      </c>
      <c r="I693" s="5">
        <v>600000</v>
      </c>
      <c r="J693" s="5">
        <v>75000</v>
      </c>
      <c r="K693" s="5">
        <f>Table2[[#This Row],[Advance Amount]]-Table2[[#This Row],[Expense Amount]]-Table2[[#This Row],[Return Amount]]</f>
        <v>0</v>
      </c>
      <c r="L693" s="5" t="str">
        <f>IF(Table2[[#This Row],[Outstanding]]=0,"Settled",IF(Table2[[#This Row],[Outstanding]]&gt;0,"Outstanding"))</f>
        <v>Settled</v>
      </c>
      <c r="M693" s="5" t="str">
        <f>IF(Table2[[#This Row],[Advance Amount]]=Table2[[#This Row],[Expense Amount]]+Table2[[#This Row],[Return Amount]]+Table2[[#This Row],[Outstanding]],"Ok","Check")</f>
        <v>Ok</v>
      </c>
      <c r="N693" s="11">
        <f>IF(Table2[[#This Row],[Status]]="Settled",0,$Q$2-Table2[[#This Row],[Date]])</f>
        <v>0</v>
      </c>
      <c r="O693" s="5" t="str">
        <f>IF(Table2[[#This Row],[Age Days]]&lt;=7,"Normal",IF(Table2[[#This Row],[Age Days]]&lt;=14,"Perlu Dipantau",IF(Table2[[#This Row],[Age Days]]&lt;=30,"Perlu Ditindaklanjuti","Overdue")))</f>
        <v>Normal</v>
      </c>
    </row>
    <row r="694" spans="1:15" x14ac:dyDescent="0.3">
      <c r="A694" t="s">
        <v>778</v>
      </c>
      <c r="B694" s="3">
        <v>46190</v>
      </c>
      <c r="C694" t="s">
        <v>55</v>
      </c>
      <c r="D694" t="s">
        <v>56</v>
      </c>
      <c r="E694" t="s">
        <v>24</v>
      </c>
      <c r="F694" t="s">
        <v>20</v>
      </c>
      <c r="G694" t="s">
        <v>31</v>
      </c>
      <c r="H694" s="5">
        <v>1300000</v>
      </c>
      <c r="I694" s="5">
        <v>1200000</v>
      </c>
      <c r="J694" s="5">
        <v>100000</v>
      </c>
      <c r="K694" s="5">
        <f>Table2[[#This Row],[Advance Amount]]-Table2[[#This Row],[Expense Amount]]-Table2[[#This Row],[Return Amount]]</f>
        <v>0</v>
      </c>
      <c r="L694" s="5" t="str">
        <f>IF(Table2[[#This Row],[Outstanding]]=0,"Settled",IF(Table2[[#This Row],[Outstanding]]&gt;0,"Outstanding"))</f>
        <v>Settled</v>
      </c>
      <c r="M694" s="5" t="str">
        <f>IF(Table2[[#This Row],[Advance Amount]]=Table2[[#This Row],[Expense Amount]]+Table2[[#This Row],[Return Amount]]+Table2[[#This Row],[Outstanding]],"Ok","Check")</f>
        <v>Ok</v>
      </c>
      <c r="N694" s="11">
        <f>IF(Table2[[#This Row],[Status]]="Settled",0,$Q$2-Table2[[#This Row],[Date]])</f>
        <v>0</v>
      </c>
      <c r="O694" s="5" t="str">
        <f>IF(Table2[[#This Row],[Age Days]]&lt;=7,"Normal",IF(Table2[[#This Row],[Age Days]]&lt;=14,"Perlu Dipantau",IF(Table2[[#This Row],[Age Days]]&lt;=30,"Perlu Ditindaklanjuti","Overdue")))</f>
        <v>Normal</v>
      </c>
    </row>
    <row r="695" spans="1:15" x14ac:dyDescent="0.3">
      <c r="A695" t="s">
        <v>779</v>
      </c>
      <c r="B695" s="3">
        <v>46190</v>
      </c>
      <c r="C695" t="s">
        <v>50</v>
      </c>
      <c r="D695" t="s">
        <v>51</v>
      </c>
      <c r="E695" t="s">
        <v>52</v>
      </c>
      <c r="F695" t="s">
        <v>20</v>
      </c>
      <c r="G695" t="s">
        <v>28</v>
      </c>
      <c r="H695" s="5">
        <v>105000</v>
      </c>
      <c r="I695" s="5">
        <v>0</v>
      </c>
      <c r="J695" s="5">
        <v>0</v>
      </c>
      <c r="K695" s="5">
        <f>Table2[[#This Row],[Advance Amount]]-Table2[[#This Row],[Expense Amount]]-Table2[[#This Row],[Return Amount]]</f>
        <v>105000</v>
      </c>
      <c r="L695" s="5" t="str">
        <f>IF(Table2[[#This Row],[Outstanding]]=0,"Settled",IF(Table2[[#This Row],[Outstanding]]&gt;0,"Outstanding"))</f>
        <v>Outstanding</v>
      </c>
      <c r="M695" s="5" t="str">
        <f>IF(Table2[[#This Row],[Advance Amount]]=Table2[[#This Row],[Expense Amount]]+Table2[[#This Row],[Return Amount]]+Table2[[#This Row],[Outstanding]],"Ok","Check")</f>
        <v>Ok</v>
      </c>
      <c r="N695" s="11">
        <f>IF(Table2[[#This Row],[Status]]="Settled",0,$Q$2-Table2[[#This Row],[Date]])</f>
        <v>75</v>
      </c>
      <c r="O695" s="5" t="str">
        <f>IF(Table2[[#This Row],[Age Days]]&lt;=7,"Normal",IF(Table2[[#This Row],[Age Days]]&lt;=14,"Perlu Dipantau",IF(Table2[[#This Row],[Age Days]]&lt;=30,"Perlu Ditindaklanjuti","Overdue")))</f>
        <v>Overdue</v>
      </c>
    </row>
    <row r="696" spans="1:15" x14ac:dyDescent="0.3">
      <c r="A696" t="s">
        <v>780</v>
      </c>
      <c r="B696" s="3">
        <v>46190</v>
      </c>
      <c r="C696" t="s">
        <v>53</v>
      </c>
      <c r="D696" t="s">
        <v>54</v>
      </c>
      <c r="E696" t="s">
        <v>43</v>
      </c>
      <c r="F696" t="s">
        <v>14</v>
      </c>
      <c r="G696" t="s">
        <v>15</v>
      </c>
      <c r="H696" s="5">
        <v>1650000</v>
      </c>
      <c r="I696" s="5">
        <v>1650000</v>
      </c>
      <c r="J696" s="5">
        <v>0</v>
      </c>
      <c r="K696" s="5">
        <f>Table2[[#This Row],[Advance Amount]]-Table2[[#This Row],[Expense Amount]]-Table2[[#This Row],[Return Amount]]</f>
        <v>0</v>
      </c>
      <c r="L696" s="5" t="str">
        <f>IF(Table2[[#This Row],[Outstanding]]=0,"Settled",IF(Table2[[#This Row],[Outstanding]]&gt;0,"Outstanding"))</f>
        <v>Settled</v>
      </c>
      <c r="M696" s="5" t="str">
        <f>IF(Table2[[#This Row],[Advance Amount]]=Table2[[#This Row],[Expense Amount]]+Table2[[#This Row],[Return Amount]]+Table2[[#This Row],[Outstanding]],"Ok","Check")</f>
        <v>Ok</v>
      </c>
      <c r="N696" s="11">
        <f>IF(Table2[[#This Row],[Status]]="Settled",0,$Q$2-Table2[[#This Row],[Date]])</f>
        <v>0</v>
      </c>
      <c r="O696" s="5" t="str">
        <f>IF(Table2[[#This Row],[Age Days]]&lt;=7,"Normal",IF(Table2[[#This Row],[Age Days]]&lt;=14,"Perlu Dipantau",IF(Table2[[#This Row],[Age Days]]&lt;=30,"Perlu Ditindaklanjuti","Overdue")))</f>
        <v>Normal</v>
      </c>
    </row>
    <row r="697" spans="1:15" x14ac:dyDescent="0.3">
      <c r="A697" t="s">
        <v>781</v>
      </c>
      <c r="B697" s="3">
        <v>46190</v>
      </c>
      <c r="C697" t="s">
        <v>59</v>
      </c>
      <c r="D697" t="s">
        <v>60</v>
      </c>
      <c r="E697" t="s">
        <v>19</v>
      </c>
      <c r="F697" t="s">
        <v>20</v>
      </c>
      <c r="G697" t="s">
        <v>31</v>
      </c>
      <c r="H697" s="5">
        <v>350000</v>
      </c>
      <c r="I697" s="5">
        <v>0</v>
      </c>
      <c r="J697" s="5">
        <v>0</v>
      </c>
      <c r="K697" s="5">
        <f>Table2[[#This Row],[Advance Amount]]-Table2[[#This Row],[Expense Amount]]-Table2[[#This Row],[Return Amount]]</f>
        <v>350000</v>
      </c>
      <c r="L697" s="5" t="str">
        <f>IF(Table2[[#This Row],[Outstanding]]=0,"Settled",IF(Table2[[#This Row],[Outstanding]]&gt;0,"Outstanding"))</f>
        <v>Outstanding</v>
      </c>
      <c r="M697" s="5" t="str">
        <f>IF(Table2[[#This Row],[Advance Amount]]=Table2[[#This Row],[Expense Amount]]+Table2[[#This Row],[Return Amount]]+Table2[[#This Row],[Outstanding]],"Ok","Check")</f>
        <v>Ok</v>
      </c>
      <c r="N697" s="11">
        <f>IF(Table2[[#This Row],[Status]]="Settled",0,$Q$2-Table2[[#This Row],[Date]])</f>
        <v>75</v>
      </c>
      <c r="O697" s="5" t="str">
        <f>IF(Table2[[#This Row],[Age Days]]&lt;=7,"Normal",IF(Table2[[#This Row],[Age Days]]&lt;=14,"Perlu Dipantau",IF(Table2[[#This Row],[Age Days]]&lt;=30,"Perlu Ditindaklanjuti","Overdue")))</f>
        <v>Overdue</v>
      </c>
    </row>
    <row r="698" spans="1:15" x14ac:dyDescent="0.3">
      <c r="A698" t="s">
        <v>782</v>
      </c>
      <c r="B698" s="3">
        <v>46191</v>
      </c>
      <c r="C698" t="s">
        <v>32</v>
      </c>
      <c r="D698" t="s">
        <v>33</v>
      </c>
      <c r="E698" t="s">
        <v>27</v>
      </c>
      <c r="F698" t="s">
        <v>20</v>
      </c>
      <c r="G698" t="s">
        <v>40</v>
      </c>
      <c r="H698" s="5">
        <v>200000</v>
      </c>
      <c r="I698" s="5">
        <v>175000</v>
      </c>
      <c r="J698" s="5">
        <v>25000</v>
      </c>
      <c r="K698" s="5">
        <f>Table2[[#This Row],[Advance Amount]]-Table2[[#This Row],[Expense Amount]]-Table2[[#This Row],[Return Amount]]</f>
        <v>0</v>
      </c>
      <c r="L698" s="5" t="str">
        <f>IF(Table2[[#This Row],[Outstanding]]=0,"Settled",IF(Table2[[#This Row],[Outstanding]]&gt;0,"Outstanding"))</f>
        <v>Settled</v>
      </c>
      <c r="M698" s="5" t="str">
        <f>IF(Table2[[#This Row],[Advance Amount]]=Table2[[#This Row],[Expense Amount]]+Table2[[#This Row],[Return Amount]]+Table2[[#This Row],[Outstanding]],"Ok","Check")</f>
        <v>Ok</v>
      </c>
      <c r="N698" s="11">
        <f>IF(Table2[[#This Row],[Status]]="Settled",0,$Q$2-Table2[[#This Row],[Date]])</f>
        <v>0</v>
      </c>
      <c r="O698" s="5" t="str">
        <f>IF(Table2[[#This Row],[Age Days]]&lt;=7,"Normal",IF(Table2[[#This Row],[Age Days]]&lt;=14,"Perlu Dipantau",IF(Table2[[#This Row],[Age Days]]&lt;=30,"Perlu Ditindaklanjuti","Overdue")))</f>
        <v>Normal</v>
      </c>
    </row>
    <row r="699" spans="1:15" x14ac:dyDescent="0.3">
      <c r="A699" t="s">
        <v>783</v>
      </c>
      <c r="B699" s="3">
        <v>46191</v>
      </c>
      <c r="C699" t="s">
        <v>35</v>
      </c>
      <c r="D699" t="s">
        <v>36</v>
      </c>
      <c r="E699" t="s">
        <v>37</v>
      </c>
      <c r="F699" t="s">
        <v>20</v>
      </c>
      <c r="G699" t="s">
        <v>57</v>
      </c>
      <c r="H699" s="5">
        <v>205000</v>
      </c>
      <c r="I699" s="5">
        <v>200000</v>
      </c>
      <c r="J699" s="5">
        <v>5000</v>
      </c>
      <c r="K699" s="5">
        <f>Table2[[#This Row],[Advance Amount]]-Table2[[#This Row],[Expense Amount]]-Table2[[#This Row],[Return Amount]]</f>
        <v>0</v>
      </c>
      <c r="L699" s="5" t="str">
        <f>IF(Table2[[#This Row],[Outstanding]]=0,"Settled",IF(Table2[[#This Row],[Outstanding]]&gt;0,"Outstanding"))</f>
        <v>Settled</v>
      </c>
      <c r="M699" s="5" t="str">
        <f>IF(Table2[[#This Row],[Advance Amount]]=Table2[[#This Row],[Expense Amount]]+Table2[[#This Row],[Return Amount]]+Table2[[#This Row],[Outstanding]],"Ok","Check")</f>
        <v>Ok</v>
      </c>
      <c r="N699" s="11">
        <f>IF(Table2[[#This Row],[Status]]="Settled",0,$Q$2-Table2[[#This Row],[Date]])</f>
        <v>0</v>
      </c>
      <c r="O699" s="5" t="str">
        <f>IF(Table2[[#This Row],[Age Days]]&lt;=7,"Normal",IF(Table2[[#This Row],[Age Days]]&lt;=14,"Perlu Dipantau",IF(Table2[[#This Row],[Age Days]]&lt;=30,"Perlu Ditindaklanjuti","Overdue")))</f>
        <v>Normal</v>
      </c>
    </row>
    <row r="700" spans="1:15" x14ac:dyDescent="0.3">
      <c r="A700" t="s">
        <v>784</v>
      </c>
      <c r="B700" s="3">
        <v>46191</v>
      </c>
      <c r="C700" t="s">
        <v>38</v>
      </c>
      <c r="D700" t="s">
        <v>39</v>
      </c>
      <c r="E700" t="s">
        <v>24</v>
      </c>
      <c r="F700" t="s">
        <v>20</v>
      </c>
      <c r="G700" t="s">
        <v>61</v>
      </c>
      <c r="H700" s="5">
        <v>150000</v>
      </c>
      <c r="I700" s="5">
        <v>0</v>
      </c>
      <c r="J700" s="5">
        <v>0</v>
      </c>
      <c r="K700" s="5">
        <f>Table2[[#This Row],[Advance Amount]]-Table2[[#This Row],[Expense Amount]]-Table2[[#This Row],[Return Amount]]</f>
        <v>150000</v>
      </c>
      <c r="L700" s="5" t="str">
        <f>IF(Table2[[#This Row],[Outstanding]]=0,"Settled",IF(Table2[[#This Row],[Outstanding]]&gt;0,"Outstanding"))</f>
        <v>Outstanding</v>
      </c>
      <c r="M700" s="5" t="str">
        <f>IF(Table2[[#This Row],[Advance Amount]]=Table2[[#This Row],[Expense Amount]]+Table2[[#This Row],[Return Amount]]+Table2[[#This Row],[Outstanding]],"Ok","Check")</f>
        <v>Ok</v>
      </c>
      <c r="N700" s="11">
        <f>IF(Table2[[#This Row],[Status]]="Settled",0,$Q$2-Table2[[#This Row],[Date]])</f>
        <v>74</v>
      </c>
      <c r="O700" s="5" t="str">
        <f>IF(Table2[[#This Row],[Age Days]]&lt;=7,"Normal",IF(Table2[[#This Row],[Age Days]]&lt;=14,"Perlu Dipantau",IF(Table2[[#This Row],[Age Days]]&lt;=30,"Perlu Ditindaklanjuti","Overdue")))</f>
        <v>Overdue</v>
      </c>
    </row>
    <row r="701" spans="1:15" x14ac:dyDescent="0.3">
      <c r="A701" t="s">
        <v>785</v>
      </c>
      <c r="B701" s="3">
        <v>46191</v>
      </c>
      <c r="C701" t="s">
        <v>50</v>
      </c>
      <c r="D701" t="s">
        <v>51</v>
      </c>
      <c r="E701" t="s">
        <v>52</v>
      </c>
      <c r="F701" t="s">
        <v>14</v>
      </c>
      <c r="G701" t="s">
        <v>57</v>
      </c>
      <c r="H701" s="5">
        <v>355000</v>
      </c>
      <c r="I701" s="5">
        <v>350000</v>
      </c>
      <c r="J701" s="5">
        <v>5000</v>
      </c>
      <c r="K701" s="5">
        <f>Table2[[#This Row],[Advance Amount]]-Table2[[#This Row],[Expense Amount]]-Table2[[#This Row],[Return Amount]]</f>
        <v>0</v>
      </c>
      <c r="L701" s="5" t="str">
        <f>IF(Table2[[#This Row],[Outstanding]]=0,"Settled",IF(Table2[[#This Row],[Outstanding]]&gt;0,"Outstanding"))</f>
        <v>Settled</v>
      </c>
      <c r="M701" s="5" t="str">
        <f>IF(Table2[[#This Row],[Advance Amount]]=Table2[[#This Row],[Expense Amount]]+Table2[[#This Row],[Return Amount]]+Table2[[#This Row],[Outstanding]],"Ok","Check")</f>
        <v>Ok</v>
      </c>
      <c r="N701" s="11">
        <f>IF(Table2[[#This Row],[Status]]="Settled",0,$Q$2-Table2[[#This Row],[Date]])</f>
        <v>0</v>
      </c>
      <c r="O701" s="5" t="str">
        <f>IF(Table2[[#This Row],[Age Days]]&lt;=7,"Normal",IF(Table2[[#This Row],[Age Days]]&lt;=14,"Perlu Dipantau",IF(Table2[[#This Row],[Age Days]]&lt;=30,"Perlu Ditindaklanjuti","Overdue")))</f>
        <v>Normal</v>
      </c>
    </row>
    <row r="702" spans="1:15" x14ac:dyDescent="0.3">
      <c r="A702" t="s">
        <v>786</v>
      </c>
      <c r="B702" s="3">
        <v>46191</v>
      </c>
      <c r="C702" t="s">
        <v>25</v>
      </c>
      <c r="D702" t="s">
        <v>26</v>
      </c>
      <c r="E702" t="s">
        <v>27</v>
      </c>
      <c r="F702" t="s">
        <v>14</v>
      </c>
      <c r="G702" t="s">
        <v>15</v>
      </c>
      <c r="H702" s="5">
        <v>1575000</v>
      </c>
      <c r="I702" s="5">
        <v>1575000</v>
      </c>
      <c r="J702" s="5">
        <v>0</v>
      </c>
      <c r="K702" s="5">
        <f>Table2[[#This Row],[Advance Amount]]-Table2[[#This Row],[Expense Amount]]-Table2[[#This Row],[Return Amount]]</f>
        <v>0</v>
      </c>
      <c r="L702" s="5" t="str">
        <f>IF(Table2[[#This Row],[Outstanding]]=0,"Settled",IF(Table2[[#This Row],[Outstanding]]&gt;0,"Outstanding"))</f>
        <v>Settled</v>
      </c>
      <c r="M702" s="5" t="str">
        <f>IF(Table2[[#This Row],[Advance Amount]]=Table2[[#This Row],[Expense Amount]]+Table2[[#This Row],[Return Amount]]+Table2[[#This Row],[Outstanding]],"Ok","Check")</f>
        <v>Ok</v>
      </c>
      <c r="N702" s="11">
        <f>IF(Table2[[#This Row],[Status]]="Settled",0,$Q$2-Table2[[#This Row],[Date]])</f>
        <v>0</v>
      </c>
      <c r="O702" s="5" t="str">
        <f>IF(Table2[[#This Row],[Age Days]]&lt;=7,"Normal",IF(Table2[[#This Row],[Age Days]]&lt;=14,"Perlu Dipantau",IF(Table2[[#This Row],[Age Days]]&lt;=30,"Perlu Ditindaklanjuti","Overdue")))</f>
        <v>Normal</v>
      </c>
    </row>
    <row r="703" spans="1:15" x14ac:dyDescent="0.3">
      <c r="A703" t="s">
        <v>787</v>
      </c>
      <c r="B703" s="3">
        <v>46192</v>
      </c>
      <c r="C703" t="s">
        <v>50</v>
      </c>
      <c r="D703" t="s">
        <v>51</v>
      </c>
      <c r="E703" t="s">
        <v>52</v>
      </c>
      <c r="F703" t="s">
        <v>20</v>
      </c>
      <c r="G703" t="s">
        <v>58</v>
      </c>
      <c r="H703" s="5">
        <v>550000</v>
      </c>
      <c r="I703" s="5">
        <v>425000</v>
      </c>
      <c r="J703" s="5">
        <v>125000</v>
      </c>
      <c r="K703" s="5">
        <f>Table2[[#This Row],[Advance Amount]]-Table2[[#This Row],[Expense Amount]]-Table2[[#This Row],[Return Amount]]</f>
        <v>0</v>
      </c>
      <c r="L703" s="5" t="str">
        <f>IF(Table2[[#This Row],[Outstanding]]=0,"Settled",IF(Table2[[#This Row],[Outstanding]]&gt;0,"Outstanding"))</f>
        <v>Settled</v>
      </c>
      <c r="M703" s="5" t="str">
        <f>IF(Table2[[#This Row],[Advance Amount]]=Table2[[#This Row],[Expense Amount]]+Table2[[#This Row],[Return Amount]]+Table2[[#This Row],[Outstanding]],"Ok","Check")</f>
        <v>Ok</v>
      </c>
      <c r="N703" s="11">
        <f>IF(Table2[[#This Row],[Status]]="Settled",0,$Q$2-Table2[[#This Row],[Date]])</f>
        <v>0</v>
      </c>
      <c r="O703" s="5" t="str">
        <f>IF(Table2[[#This Row],[Age Days]]&lt;=7,"Normal",IF(Table2[[#This Row],[Age Days]]&lt;=14,"Perlu Dipantau",IF(Table2[[#This Row],[Age Days]]&lt;=30,"Perlu Ditindaklanjuti","Overdue")))</f>
        <v>Normal</v>
      </c>
    </row>
    <row r="704" spans="1:15" x14ac:dyDescent="0.3">
      <c r="A704" t="s">
        <v>788</v>
      </c>
      <c r="B704" s="3">
        <v>46192</v>
      </c>
      <c r="C704" t="s">
        <v>59</v>
      </c>
      <c r="D704" t="s">
        <v>60</v>
      </c>
      <c r="E704" t="s">
        <v>19</v>
      </c>
      <c r="F704" t="s">
        <v>14</v>
      </c>
      <c r="G704" t="s">
        <v>58</v>
      </c>
      <c r="H704" s="5">
        <v>175000</v>
      </c>
      <c r="I704" s="5">
        <v>175000</v>
      </c>
      <c r="J704" s="5">
        <v>0</v>
      </c>
      <c r="K704" s="5">
        <f>Table2[[#This Row],[Advance Amount]]-Table2[[#This Row],[Expense Amount]]-Table2[[#This Row],[Return Amount]]</f>
        <v>0</v>
      </c>
      <c r="L704" s="5" t="str">
        <f>IF(Table2[[#This Row],[Outstanding]]=0,"Settled",IF(Table2[[#This Row],[Outstanding]]&gt;0,"Outstanding"))</f>
        <v>Settled</v>
      </c>
      <c r="M704" s="5" t="str">
        <f>IF(Table2[[#This Row],[Advance Amount]]=Table2[[#This Row],[Expense Amount]]+Table2[[#This Row],[Return Amount]]+Table2[[#This Row],[Outstanding]],"Ok","Check")</f>
        <v>Ok</v>
      </c>
      <c r="N704" s="11">
        <f>IF(Table2[[#This Row],[Status]]="Settled",0,$Q$2-Table2[[#This Row],[Date]])</f>
        <v>0</v>
      </c>
      <c r="O704" s="5" t="str">
        <f>IF(Table2[[#This Row],[Age Days]]&lt;=7,"Normal",IF(Table2[[#This Row],[Age Days]]&lt;=14,"Perlu Dipantau",IF(Table2[[#This Row],[Age Days]]&lt;=30,"Perlu Ditindaklanjuti","Overdue")))</f>
        <v>Normal</v>
      </c>
    </row>
    <row r="705" spans="1:15" x14ac:dyDescent="0.3">
      <c r="A705" t="s">
        <v>789</v>
      </c>
      <c r="B705" s="3">
        <v>46192</v>
      </c>
      <c r="C705" t="s">
        <v>25</v>
      </c>
      <c r="D705" t="s">
        <v>26</v>
      </c>
      <c r="E705" t="s">
        <v>27</v>
      </c>
      <c r="F705" t="s">
        <v>14</v>
      </c>
      <c r="G705" t="s">
        <v>28</v>
      </c>
      <c r="H705" s="5">
        <v>480000</v>
      </c>
      <c r="I705" s="5">
        <v>0</v>
      </c>
      <c r="J705" s="5">
        <v>0</v>
      </c>
      <c r="K705" s="5">
        <f>Table2[[#This Row],[Advance Amount]]-Table2[[#This Row],[Expense Amount]]-Table2[[#This Row],[Return Amount]]</f>
        <v>480000</v>
      </c>
      <c r="L705" s="5" t="str">
        <f>IF(Table2[[#This Row],[Outstanding]]=0,"Settled",IF(Table2[[#This Row],[Outstanding]]&gt;0,"Outstanding"))</f>
        <v>Outstanding</v>
      </c>
      <c r="M705" s="5" t="str">
        <f>IF(Table2[[#This Row],[Advance Amount]]=Table2[[#This Row],[Expense Amount]]+Table2[[#This Row],[Return Amount]]+Table2[[#This Row],[Outstanding]],"Ok","Check")</f>
        <v>Ok</v>
      </c>
      <c r="N705" s="11">
        <f>IF(Table2[[#This Row],[Status]]="Settled",0,$Q$2-Table2[[#This Row],[Date]])</f>
        <v>73</v>
      </c>
      <c r="O705" s="5" t="str">
        <f>IF(Table2[[#This Row],[Age Days]]&lt;=7,"Normal",IF(Table2[[#This Row],[Age Days]]&lt;=14,"Perlu Dipantau",IF(Table2[[#This Row],[Age Days]]&lt;=30,"Perlu Ditindaklanjuti","Overdue")))</f>
        <v>Overdue</v>
      </c>
    </row>
    <row r="706" spans="1:15" x14ac:dyDescent="0.3">
      <c r="A706" t="s">
        <v>790</v>
      </c>
      <c r="B706" s="3">
        <v>46193</v>
      </c>
      <c r="C706" t="s">
        <v>55</v>
      </c>
      <c r="D706" t="s">
        <v>56</v>
      </c>
      <c r="E706" t="s">
        <v>24</v>
      </c>
      <c r="F706" t="s">
        <v>20</v>
      </c>
      <c r="G706" t="s">
        <v>28</v>
      </c>
      <c r="H706" s="5">
        <v>30000</v>
      </c>
      <c r="I706" s="5">
        <v>0</v>
      </c>
      <c r="J706" s="5">
        <v>0</v>
      </c>
      <c r="K706" s="5">
        <f>Table2[[#This Row],[Advance Amount]]-Table2[[#This Row],[Expense Amount]]-Table2[[#This Row],[Return Amount]]</f>
        <v>30000</v>
      </c>
      <c r="L706" s="5" t="str">
        <f>IF(Table2[[#This Row],[Outstanding]]=0,"Settled",IF(Table2[[#This Row],[Outstanding]]&gt;0,"Outstanding"))</f>
        <v>Outstanding</v>
      </c>
      <c r="M706" s="5" t="str">
        <f>IF(Table2[[#This Row],[Advance Amount]]=Table2[[#This Row],[Expense Amount]]+Table2[[#This Row],[Return Amount]]+Table2[[#This Row],[Outstanding]],"Ok","Check")</f>
        <v>Ok</v>
      </c>
      <c r="N706" s="11">
        <f>IF(Table2[[#This Row],[Status]]="Settled",0,$Q$2-Table2[[#This Row],[Date]])</f>
        <v>72</v>
      </c>
      <c r="O706" s="5" t="str">
        <f>IF(Table2[[#This Row],[Age Days]]&lt;=7,"Normal",IF(Table2[[#This Row],[Age Days]]&lt;=14,"Perlu Dipantau",IF(Table2[[#This Row],[Age Days]]&lt;=30,"Perlu Ditindaklanjuti","Overdue")))</f>
        <v>Overdue</v>
      </c>
    </row>
    <row r="707" spans="1:15" x14ac:dyDescent="0.3">
      <c r="A707" t="s">
        <v>791</v>
      </c>
      <c r="B707" s="3">
        <v>46193</v>
      </c>
      <c r="C707" t="s">
        <v>11</v>
      </c>
      <c r="D707" t="s">
        <v>12</v>
      </c>
      <c r="E707" t="s">
        <v>13</v>
      </c>
      <c r="F707" t="s">
        <v>14</v>
      </c>
      <c r="G707" t="s">
        <v>34</v>
      </c>
      <c r="H707" s="5">
        <v>200000</v>
      </c>
      <c r="I707" s="5">
        <v>150000</v>
      </c>
      <c r="J707" s="5">
        <v>50000</v>
      </c>
      <c r="K707" s="5">
        <f>Table2[[#This Row],[Advance Amount]]-Table2[[#This Row],[Expense Amount]]-Table2[[#This Row],[Return Amount]]</f>
        <v>0</v>
      </c>
      <c r="L707" s="5" t="str">
        <f>IF(Table2[[#This Row],[Outstanding]]=0,"Settled",IF(Table2[[#This Row],[Outstanding]]&gt;0,"Outstanding"))</f>
        <v>Settled</v>
      </c>
      <c r="M707" s="5" t="str">
        <f>IF(Table2[[#This Row],[Advance Amount]]=Table2[[#This Row],[Expense Amount]]+Table2[[#This Row],[Return Amount]]+Table2[[#This Row],[Outstanding]],"Ok","Check")</f>
        <v>Ok</v>
      </c>
      <c r="N707" s="11">
        <f>IF(Table2[[#This Row],[Status]]="Settled",0,$Q$2-Table2[[#This Row],[Date]])</f>
        <v>0</v>
      </c>
      <c r="O707" s="5" t="str">
        <f>IF(Table2[[#This Row],[Age Days]]&lt;=7,"Normal",IF(Table2[[#This Row],[Age Days]]&lt;=14,"Perlu Dipantau",IF(Table2[[#This Row],[Age Days]]&lt;=30,"Perlu Ditindaklanjuti","Overdue")))</f>
        <v>Normal</v>
      </c>
    </row>
    <row r="708" spans="1:15" x14ac:dyDescent="0.3">
      <c r="A708" t="s">
        <v>792</v>
      </c>
      <c r="B708" s="3">
        <v>46193</v>
      </c>
      <c r="C708" t="s">
        <v>22</v>
      </c>
      <c r="D708" t="s">
        <v>23</v>
      </c>
      <c r="E708" t="s">
        <v>24</v>
      </c>
      <c r="F708" t="s">
        <v>20</v>
      </c>
      <c r="G708" t="s">
        <v>28</v>
      </c>
      <c r="H708" s="5">
        <v>180000</v>
      </c>
      <c r="I708" s="5">
        <v>0</v>
      </c>
      <c r="J708" s="5">
        <v>0</v>
      </c>
      <c r="K708" s="5">
        <f>Table2[[#This Row],[Advance Amount]]-Table2[[#This Row],[Expense Amount]]-Table2[[#This Row],[Return Amount]]</f>
        <v>180000</v>
      </c>
      <c r="L708" s="5" t="str">
        <f>IF(Table2[[#This Row],[Outstanding]]=0,"Settled",IF(Table2[[#This Row],[Outstanding]]&gt;0,"Outstanding"))</f>
        <v>Outstanding</v>
      </c>
      <c r="M708" s="5" t="str">
        <f>IF(Table2[[#This Row],[Advance Amount]]=Table2[[#This Row],[Expense Amount]]+Table2[[#This Row],[Return Amount]]+Table2[[#This Row],[Outstanding]],"Ok","Check")</f>
        <v>Ok</v>
      </c>
      <c r="N708" s="11">
        <f>IF(Table2[[#This Row],[Status]]="Settled",0,$Q$2-Table2[[#This Row],[Date]])</f>
        <v>72</v>
      </c>
      <c r="O708" s="5" t="str">
        <f>IF(Table2[[#This Row],[Age Days]]&lt;=7,"Normal",IF(Table2[[#This Row],[Age Days]]&lt;=14,"Perlu Dipantau",IF(Table2[[#This Row],[Age Days]]&lt;=30,"Perlu Ditindaklanjuti","Overdue")))</f>
        <v>Overdue</v>
      </c>
    </row>
    <row r="709" spans="1:15" x14ac:dyDescent="0.3">
      <c r="A709" t="s">
        <v>793</v>
      </c>
      <c r="B709" s="3">
        <v>46194</v>
      </c>
      <c r="C709" t="s">
        <v>29</v>
      </c>
      <c r="D709" t="s">
        <v>30</v>
      </c>
      <c r="E709" t="s">
        <v>13</v>
      </c>
      <c r="F709" t="s">
        <v>14</v>
      </c>
      <c r="G709" t="s">
        <v>15</v>
      </c>
      <c r="H709" s="5">
        <v>1500000</v>
      </c>
      <c r="I709" s="5">
        <v>1250000</v>
      </c>
      <c r="J709" s="5">
        <v>250000</v>
      </c>
      <c r="K709" s="5">
        <f>Table2[[#This Row],[Advance Amount]]-Table2[[#This Row],[Expense Amount]]-Table2[[#This Row],[Return Amount]]</f>
        <v>0</v>
      </c>
      <c r="L709" s="5" t="str">
        <f>IF(Table2[[#This Row],[Outstanding]]=0,"Settled",IF(Table2[[#This Row],[Outstanding]]&gt;0,"Outstanding"))</f>
        <v>Settled</v>
      </c>
      <c r="M709" s="5" t="str">
        <f>IF(Table2[[#This Row],[Advance Amount]]=Table2[[#This Row],[Expense Amount]]+Table2[[#This Row],[Return Amount]]+Table2[[#This Row],[Outstanding]],"Ok","Check")</f>
        <v>Ok</v>
      </c>
      <c r="N709" s="11">
        <f>IF(Table2[[#This Row],[Status]]="Settled",0,$Q$2-Table2[[#This Row],[Date]])</f>
        <v>0</v>
      </c>
      <c r="O709" s="5" t="str">
        <f>IF(Table2[[#This Row],[Age Days]]&lt;=7,"Normal",IF(Table2[[#This Row],[Age Days]]&lt;=14,"Perlu Dipantau",IF(Table2[[#This Row],[Age Days]]&lt;=30,"Perlu Ditindaklanjuti","Overdue")))</f>
        <v>Normal</v>
      </c>
    </row>
    <row r="710" spans="1:15" x14ac:dyDescent="0.3">
      <c r="A710" t="s">
        <v>794</v>
      </c>
      <c r="B710" s="3">
        <v>46194</v>
      </c>
      <c r="C710" t="s">
        <v>38</v>
      </c>
      <c r="D710" t="s">
        <v>39</v>
      </c>
      <c r="E710" t="s">
        <v>24</v>
      </c>
      <c r="F710" t="s">
        <v>20</v>
      </c>
      <c r="G710" t="s">
        <v>28</v>
      </c>
      <c r="H710" s="5">
        <v>105000</v>
      </c>
      <c r="I710" s="5">
        <v>75000</v>
      </c>
      <c r="J710" s="5">
        <v>30000</v>
      </c>
      <c r="K710" s="5">
        <f>Table2[[#This Row],[Advance Amount]]-Table2[[#This Row],[Expense Amount]]-Table2[[#This Row],[Return Amount]]</f>
        <v>0</v>
      </c>
      <c r="L710" s="5" t="str">
        <f>IF(Table2[[#This Row],[Outstanding]]=0,"Settled",IF(Table2[[#This Row],[Outstanding]]&gt;0,"Outstanding"))</f>
        <v>Settled</v>
      </c>
      <c r="M710" s="5" t="str">
        <f>IF(Table2[[#This Row],[Advance Amount]]=Table2[[#This Row],[Expense Amount]]+Table2[[#This Row],[Return Amount]]+Table2[[#This Row],[Outstanding]],"Ok","Check")</f>
        <v>Ok</v>
      </c>
      <c r="N710" s="11">
        <f>IF(Table2[[#This Row],[Status]]="Settled",0,$Q$2-Table2[[#This Row],[Date]])</f>
        <v>0</v>
      </c>
      <c r="O710" s="5" t="str">
        <f>IF(Table2[[#This Row],[Age Days]]&lt;=7,"Normal",IF(Table2[[#This Row],[Age Days]]&lt;=14,"Perlu Dipantau",IF(Table2[[#This Row],[Age Days]]&lt;=30,"Perlu Ditindaklanjuti","Overdue")))</f>
        <v>Normal</v>
      </c>
    </row>
    <row r="711" spans="1:15" x14ac:dyDescent="0.3">
      <c r="A711" t="s">
        <v>795</v>
      </c>
      <c r="B711" s="3">
        <v>46194</v>
      </c>
      <c r="C711" t="s">
        <v>44</v>
      </c>
      <c r="D711" t="s">
        <v>45</v>
      </c>
      <c r="E711" t="s">
        <v>43</v>
      </c>
      <c r="F711" t="s">
        <v>20</v>
      </c>
      <c r="G711" t="s">
        <v>28</v>
      </c>
      <c r="H711" s="5">
        <v>55000</v>
      </c>
      <c r="I711" s="5">
        <v>50000</v>
      </c>
      <c r="J711" s="5">
        <v>5000</v>
      </c>
      <c r="K711" s="5">
        <f>Table2[[#This Row],[Advance Amount]]-Table2[[#This Row],[Expense Amount]]-Table2[[#This Row],[Return Amount]]</f>
        <v>0</v>
      </c>
      <c r="L711" s="5" t="str">
        <f>IF(Table2[[#This Row],[Outstanding]]=0,"Settled",IF(Table2[[#This Row],[Outstanding]]&gt;0,"Outstanding"))</f>
        <v>Settled</v>
      </c>
      <c r="M711" s="5" t="str">
        <f>IF(Table2[[#This Row],[Advance Amount]]=Table2[[#This Row],[Expense Amount]]+Table2[[#This Row],[Return Amount]]+Table2[[#This Row],[Outstanding]],"Ok","Check")</f>
        <v>Ok</v>
      </c>
      <c r="N711" s="11">
        <f>IF(Table2[[#This Row],[Status]]="Settled",0,$Q$2-Table2[[#This Row],[Date]])</f>
        <v>0</v>
      </c>
      <c r="O711" s="5" t="str">
        <f>IF(Table2[[#This Row],[Age Days]]&lt;=7,"Normal",IF(Table2[[#This Row],[Age Days]]&lt;=14,"Perlu Dipantau",IF(Table2[[#This Row],[Age Days]]&lt;=30,"Perlu Ditindaklanjuti","Overdue")))</f>
        <v>Normal</v>
      </c>
    </row>
    <row r="712" spans="1:15" x14ac:dyDescent="0.3">
      <c r="A712" t="s">
        <v>796</v>
      </c>
      <c r="B712" s="3">
        <v>46194</v>
      </c>
      <c r="C712" t="s">
        <v>64</v>
      </c>
      <c r="D712" t="s">
        <v>65</v>
      </c>
      <c r="E712" t="s">
        <v>37</v>
      </c>
      <c r="F712" t="s">
        <v>20</v>
      </c>
      <c r="G712" t="s">
        <v>58</v>
      </c>
      <c r="H712" s="5">
        <v>850000</v>
      </c>
      <c r="I712" s="5">
        <v>750000</v>
      </c>
      <c r="J712" s="5">
        <v>100000</v>
      </c>
      <c r="K712" s="5">
        <f>Table2[[#This Row],[Advance Amount]]-Table2[[#This Row],[Expense Amount]]-Table2[[#This Row],[Return Amount]]</f>
        <v>0</v>
      </c>
      <c r="L712" s="5" t="str">
        <f>IF(Table2[[#This Row],[Outstanding]]=0,"Settled",IF(Table2[[#This Row],[Outstanding]]&gt;0,"Outstanding"))</f>
        <v>Settled</v>
      </c>
      <c r="M712" s="5" t="str">
        <f>IF(Table2[[#This Row],[Advance Amount]]=Table2[[#This Row],[Expense Amount]]+Table2[[#This Row],[Return Amount]]+Table2[[#This Row],[Outstanding]],"Ok","Check")</f>
        <v>Ok</v>
      </c>
      <c r="N712" s="11">
        <f>IF(Table2[[#This Row],[Status]]="Settled",0,$Q$2-Table2[[#This Row],[Date]])</f>
        <v>0</v>
      </c>
      <c r="O712" s="5" t="str">
        <f>IF(Table2[[#This Row],[Age Days]]&lt;=7,"Normal",IF(Table2[[#This Row],[Age Days]]&lt;=14,"Perlu Dipantau",IF(Table2[[#This Row],[Age Days]]&lt;=30,"Perlu Ditindaklanjuti","Overdue")))</f>
        <v>Normal</v>
      </c>
    </row>
    <row r="713" spans="1:15" x14ac:dyDescent="0.3">
      <c r="A713" t="s">
        <v>797</v>
      </c>
      <c r="B713" s="3">
        <v>46194</v>
      </c>
      <c r="C713" t="s">
        <v>59</v>
      </c>
      <c r="D713" t="s">
        <v>60</v>
      </c>
      <c r="E713" t="s">
        <v>19</v>
      </c>
      <c r="F713" t="s">
        <v>14</v>
      </c>
      <c r="G713" t="s">
        <v>57</v>
      </c>
      <c r="H713" s="5">
        <v>280000</v>
      </c>
      <c r="I713" s="5">
        <v>0</v>
      </c>
      <c r="J713" s="5">
        <v>0</v>
      </c>
      <c r="K713" s="5">
        <f>Table2[[#This Row],[Advance Amount]]-Table2[[#This Row],[Expense Amount]]-Table2[[#This Row],[Return Amount]]</f>
        <v>280000</v>
      </c>
      <c r="L713" s="5" t="str">
        <f>IF(Table2[[#This Row],[Outstanding]]=0,"Settled",IF(Table2[[#This Row],[Outstanding]]&gt;0,"Outstanding"))</f>
        <v>Outstanding</v>
      </c>
      <c r="M713" s="5" t="str">
        <f>IF(Table2[[#This Row],[Advance Amount]]=Table2[[#This Row],[Expense Amount]]+Table2[[#This Row],[Return Amount]]+Table2[[#This Row],[Outstanding]],"Ok","Check")</f>
        <v>Ok</v>
      </c>
      <c r="N713" s="11">
        <f>IF(Table2[[#This Row],[Status]]="Settled",0,$Q$2-Table2[[#This Row],[Date]])</f>
        <v>71</v>
      </c>
      <c r="O713" s="5" t="str">
        <f>IF(Table2[[#This Row],[Age Days]]&lt;=7,"Normal",IF(Table2[[#This Row],[Age Days]]&lt;=14,"Perlu Dipantau",IF(Table2[[#This Row],[Age Days]]&lt;=30,"Perlu Ditindaklanjuti","Overdue")))</f>
        <v>Overdue</v>
      </c>
    </row>
    <row r="714" spans="1:15" x14ac:dyDescent="0.3">
      <c r="A714" t="s">
        <v>798</v>
      </c>
      <c r="B714" s="3">
        <v>46195</v>
      </c>
      <c r="C714" t="s">
        <v>29</v>
      </c>
      <c r="D714" t="s">
        <v>30</v>
      </c>
      <c r="E714" t="s">
        <v>13</v>
      </c>
      <c r="F714" t="s">
        <v>14</v>
      </c>
      <c r="G714" t="s">
        <v>15</v>
      </c>
      <c r="H714" s="5">
        <v>1525000</v>
      </c>
      <c r="I714" s="5">
        <v>1525000</v>
      </c>
      <c r="J714" s="5">
        <v>0</v>
      </c>
      <c r="K714" s="5">
        <f>Table2[[#This Row],[Advance Amount]]-Table2[[#This Row],[Expense Amount]]-Table2[[#This Row],[Return Amount]]</f>
        <v>0</v>
      </c>
      <c r="L714" s="5" t="str">
        <f>IF(Table2[[#This Row],[Outstanding]]=0,"Settled",IF(Table2[[#This Row],[Outstanding]]&gt;0,"Outstanding"))</f>
        <v>Settled</v>
      </c>
      <c r="M714" s="5" t="str">
        <f>IF(Table2[[#This Row],[Advance Amount]]=Table2[[#This Row],[Expense Amount]]+Table2[[#This Row],[Return Amount]]+Table2[[#This Row],[Outstanding]],"Ok","Check")</f>
        <v>Ok</v>
      </c>
      <c r="N714" s="11">
        <f>IF(Table2[[#This Row],[Status]]="Settled",0,$Q$2-Table2[[#This Row],[Date]])</f>
        <v>0</v>
      </c>
      <c r="O714" s="5" t="str">
        <f>IF(Table2[[#This Row],[Age Days]]&lt;=7,"Normal",IF(Table2[[#This Row],[Age Days]]&lt;=14,"Perlu Dipantau",IF(Table2[[#This Row],[Age Days]]&lt;=30,"Perlu Ditindaklanjuti","Overdue")))</f>
        <v>Normal</v>
      </c>
    </row>
    <row r="715" spans="1:15" x14ac:dyDescent="0.3">
      <c r="A715" t="s">
        <v>799</v>
      </c>
      <c r="B715" s="3">
        <v>46195</v>
      </c>
      <c r="C715" t="s">
        <v>68</v>
      </c>
      <c r="D715" t="s">
        <v>69</v>
      </c>
      <c r="E715" t="s">
        <v>27</v>
      </c>
      <c r="F715" t="s">
        <v>20</v>
      </c>
      <c r="G715" t="s">
        <v>61</v>
      </c>
      <c r="H715" s="5">
        <v>625000</v>
      </c>
      <c r="I715" s="5">
        <v>475000</v>
      </c>
      <c r="J715" s="5">
        <v>150000</v>
      </c>
      <c r="K715" s="5">
        <f>Table2[[#This Row],[Advance Amount]]-Table2[[#This Row],[Expense Amount]]-Table2[[#This Row],[Return Amount]]</f>
        <v>0</v>
      </c>
      <c r="L715" s="5" t="str">
        <f>IF(Table2[[#This Row],[Outstanding]]=0,"Settled",IF(Table2[[#This Row],[Outstanding]]&gt;0,"Outstanding"))</f>
        <v>Settled</v>
      </c>
      <c r="M715" s="5" t="str">
        <f>IF(Table2[[#This Row],[Advance Amount]]=Table2[[#This Row],[Expense Amount]]+Table2[[#This Row],[Return Amount]]+Table2[[#This Row],[Outstanding]],"Ok","Check")</f>
        <v>Ok</v>
      </c>
      <c r="N715" s="11">
        <f>IF(Table2[[#This Row],[Status]]="Settled",0,$Q$2-Table2[[#This Row],[Date]])</f>
        <v>0</v>
      </c>
      <c r="O715" s="5" t="str">
        <f>IF(Table2[[#This Row],[Age Days]]&lt;=7,"Normal",IF(Table2[[#This Row],[Age Days]]&lt;=14,"Perlu Dipantau",IF(Table2[[#This Row],[Age Days]]&lt;=30,"Perlu Ditindaklanjuti","Overdue")))</f>
        <v>Normal</v>
      </c>
    </row>
    <row r="716" spans="1:15" x14ac:dyDescent="0.3">
      <c r="A716" t="s">
        <v>800</v>
      </c>
      <c r="B716" s="3">
        <v>46195</v>
      </c>
      <c r="C716" t="s">
        <v>44</v>
      </c>
      <c r="D716" t="s">
        <v>45</v>
      </c>
      <c r="E716" t="s">
        <v>43</v>
      </c>
      <c r="F716" t="s">
        <v>20</v>
      </c>
      <c r="G716" t="s">
        <v>61</v>
      </c>
      <c r="H716" s="5">
        <v>500000</v>
      </c>
      <c r="I716" s="5">
        <v>475000</v>
      </c>
      <c r="J716" s="5">
        <v>25000</v>
      </c>
      <c r="K716" s="5">
        <f>Table2[[#This Row],[Advance Amount]]-Table2[[#This Row],[Expense Amount]]-Table2[[#This Row],[Return Amount]]</f>
        <v>0</v>
      </c>
      <c r="L716" s="5" t="str">
        <f>IF(Table2[[#This Row],[Outstanding]]=0,"Settled",IF(Table2[[#This Row],[Outstanding]]&gt;0,"Outstanding"))</f>
        <v>Settled</v>
      </c>
      <c r="M716" s="5" t="str">
        <f>IF(Table2[[#This Row],[Advance Amount]]=Table2[[#This Row],[Expense Amount]]+Table2[[#This Row],[Return Amount]]+Table2[[#This Row],[Outstanding]],"Ok","Check")</f>
        <v>Ok</v>
      </c>
      <c r="N716" s="11">
        <f>IF(Table2[[#This Row],[Status]]="Settled",0,$Q$2-Table2[[#This Row],[Date]])</f>
        <v>0</v>
      </c>
      <c r="O716" s="5" t="str">
        <f>IF(Table2[[#This Row],[Age Days]]&lt;=7,"Normal",IF(Table2[[#This Row],[Age Days]]&lt;=14,"Perlu Dipantau",IF(Table2[[#This Row],[Age Days]]&lt;=30,"Perlu Ditindaklanjuti","Overdue")))</f>
        <v>Normal</v>
      </c>
    </row>
    <row r="717" spans="1:15" x14ac:dyDescent="0.3">
      <c r="A717" t="s">
        <v>801</v>
      </c>
      <c r="B717" s="3">
        <v>46196</v>
      </c>
      <c r="C717" t="s">
        <v>29</v>
      </c>
      <c r="D717" t="s">
        <v>30</v>
      </c>
      <c r="E717" t="s">
        <v>13</v>
      </c>
      <c r="F717" t="s">
        <v>20</v>
      </c>
      <c r="G717" t="s">
        <v>34</v>
      </c>
      <c r="H717" s="5">
        <v>75000</v>
      </c>
      <c r="I717" s="5">
        <v>50000</v>
      </c>
      <c r="J717" s="5">
        <v>25000</v>
      </c>
      <c r="K717" s="5">
        <f>Table2[[#This Row],[Advance Amount]]-Table2[[#This Row],[Expense Amount]]-Table2[[#This Row],[Return Amount]]</f>
        <v>0</v>
      </c>
      <c r="L717" s="5" t="str">
        <f>IF(Table2[[#This Row],[Outstanding]]=0,"Settled",IF(Table2[[#This Row],[Outstanding]]&gt;0,"Outstanding"))</f>
        <v>Settled</v>
      </c>
      <c r="M717" s="5" t="str">
        <f>IF(Table2[[#This Row],[Advance Amount]]=Table2[[#This Row],[Expense Amount]]+Table2[[#This Row],[Return Amount]]+Table2[[#This Row],[Outstanding]],"Ok","Check")</f>
        <v>Ok</v>
      </c>
      <c r="N717" s="11">
        <f>IF(Table2[[#This Row],[Status]]="Settled",0,$Q$2-Table2[[#This Row],[Date]])</f>
        <v>0</v>
      </c>
      <c r="O717" s="5" t="str">
        <f>IF(Table2[[#This Row],[Age Days]]&lt;=7,"Normal",IF(Table2[[#This Row],[Age Days]]&lt;=14,"Perlu Dipantau",IF(Table2[[#This Row],[Age Days]]&lt;=30,"Perlu Ditindaklanjuti","Overdue")))</f>
        <v>Normal</v>
      </c>
    </row>
    <row r="718" spans="1:15" x14ac:dyDescent="0.3">
      <c r="A718" t="s">
        <v>802</v>
      </c>
      <c r="B718" s="3">
        <v>46196</v>
      </c>
      <c r="C718" t="s">
        <v>59</v>
      </c>
      <c r="D718" t="s">
        <v>60</v>
      </c>
      <c r="E718" t="s">
        <v>19</v>
      </c>
      <c r="F718" t="s">
        <v>20</v>
      </c>
      <c r="G718" t="s">
        <v>31</v>
      </c>
      <c r="H718" s="5">
        <v>1275000</v>
      </c>
      <c r="I718" s="5">
        <v>1100000</v>
      </c>
      <c r="J718" s="5">
        <v>175000</v>
      </c>
      <c r="K718" s="5">
        <f>Table2[[#This Row],[Advance Amount]]-Table2[[#This Row],[Expense Amount]]-Table2[[#This Row],[Return Amount]]</f>
        <v>0</v>
      </c>
      <c r="L718" s="5" t="str">
        <f>IF(Table2[[#This Row],[Outstanding]]=0,"Settled",IF(Table2[[#This Row],[Outstanding]]&gt;0,"Outstanding"))</f>
        <v>Settled</v>
      </c>
      <c r="M718" s="5" t="str">
        <f>IF(Table2[[#This Row],[Advance Amount]]=Table2[[#This Row],[Expense Amount]]+Table2[[#This Row],[Return Amount]]+Table2[[#This Row],[Outstanding]],"Ok","Check")</f>
        <v>Ok</v>
      </c>
      <c r="N718" s="11">
        <f>IF(Table2[[#This Row],[Status]]="Settled",0,$Q$2-Table2[[#This Row],[Date]])</f>
        <v>0</v>
      </c>
      <c r="O718" s="5" t="str">
        <f>IF(Table2[[#This Row],[Age Days]]&lt;=7,"Normal",IF(Table2[[#This Row],[Age Days]]&lt;=14,"Perlu Dipantau",IF(Table2[[#This Row],[Age Days]]&lt;=30,"Perlu Ditindaklanjuti","Overdue")))</f>
        <v>Normal</v>
      </c>
    </row>
    <row r="719" spans="1:15" x14ac:dyDescent="0.3">
      <c r="A719" t="s">
        <v>803</v>
      </c>
      <c r="B719" s="3">
        <v>46197</v>
      </c>
      <c r="C719" t="s">
        <v>17</v>
      </c>
      <c r="D719" t="s">
        <v>18</v>
      </c>
      <c r="E719" t="s">
        <v>19</v>
      </c>
      <c r="F719" t="s">
        <v>20</v>
      </c>
      <c r="G719" t="s">
        <v>58</v>
      </c>
      <c r="H719" s="5">
        <v>750000</v>
      </c>
      <c r="I719" s="5">
        <v>700000</v>
      </c>
      <c r="J719" s="5">
        <v>50000</v>
      </c>
      <c r="K719" s="5">
        <f>Table2[[#This Row],[Advance Amount]]-Table2[[#This Row],[Expense Amount]]-Table2[[#This Row],[Return Amount]]</f>
        <v>0</v>
      </c>
      <c r="L719" s="5" t="str">
        <f>IF(Table2[[#This Row],[Outstanding]]=0,"Settled",IF(Table2[[#This Row],[Outstanding]]&gt;0,"Outstanding"))</f>
        <v>Settled</v>
      </c>
      <c r="M719" s="5" t="str">
        <f>IF(Table2[[#This Row],[Advance Amount]]=Table2[[#This Row],[Expense Amount]]+Table2[[#This Row],[Return Amount]]+Table2[[#This Row],[Outstanding]],"Ok","Check")</f>
        <v>Ok</v>
      </c>
      <c r="N719" s="11">
        <f>IF(Table2[[#This Row],[Status]]="Settled",0,$Q$2-Table2[[#This Row],[Date]])</f>
        <v>0</v>
      </c>
      <c r="O719" s="5" t="str">
        <f>IF(Table2[[#This Row],[Age Days]]&lt;=7,"Normal",IF(Table2[[#This Row],[Age Days]]&lt;=14,"Perlu Dipantau",IF(Table2[[#This Row],[Age Days]]&lt;=30,"Perlu Ditindaklanjuti","Overdue")))</f>
        <v>Normal</v>
      </c>
    </row>
    <row r="720" spans="1:15" x14ac:dyDescent="0.3">
      <c r="A720" t="s">
        <v>804</v>
      </c>
      <c r="B720" s="3">
        <v>46197</v>
      </c>
      <c r="C720" t="s">
        <v>17</v>
      </c>
      <c r="D720" t="s">
        <v>18</v>
      </c>
      <c r="E720" t="s">
        <v>19</v>
      </c>
      <c r="F720" t="s">
        <v>14</v>
      </c>
      <c r="G720" t="s">
        <v>40</v>
      </c>
      <c r="H720" s="5">
        <v>225000</v>
      </c>
      <c r="I720" s="5">
        <v>225000</v>
      </c>
      <c r="J720" s="5">
        <v>0</v>
      </c>
      <c r="K720" s="5">
        <f>Table2[[#This Row],[Advance Amount]]-Table2[[#This Row],[Expense Amount]]-Table2[[#This Row],[Return Amount]]</f>
        <v>0</v>
      </c>
      <c r="L720" s="5" t="str">
        <f>IF(Table2[[#This Row],[Outstanding]]=0,"Settled",IF(Table2[[#This Row],[Outstanding]]&gt;0,"Outstanding"))</f>
        <v>Settled</v>
      </c>
      <c r="M720" s="5" t="str">
        <f>IF(Table2[[#This Row],[Advance Amount]]=Table2[[#This Row],[Expense Amount]]+Table2[[#This Row],[Return Amount]]+Table2[[#This Row],[Outstanding]],"Ok","Check")</f>
        <v>Ok</v>
      </c>
      <c r="N720" s="11">
        <f>IF(Table2[[#This Row],[Status]]="Settled",0,$Q$2-Table2[[#This Row],[Date]])</f>
        <v>0</v>
      </c>
      <c r="O720" s="5" t="str">
        <f>IF(Table2[[#This Row],[Age Days]]&lt;=7,"Normal",IF(Table2[[#This Row],[Age Days]]&lt;=14,"Perlu Dipantau",IF(Table2[[#This Row],[Age Days]]&lt;=30,"Perlu Ditindaklanjuti","Overdue")))</f>
        <v>Normal</v>
      </c>
    </row>
    <row r="721" spans="1:15" x14ac:dyDescent="0.3">
      <c r="A721" t="s">
        <v>805</v>
      </c>
      <c r="B721" s="3">
        <v>46197</v>
      </c>
      <c r="C721" t="s">
        <v>64</v>
      </c>
      <c r="D721" t="s">
        <v>65</v>
      </c>
      <c r="E721" t="s">
        <v>37</v>
      </c>
      <c r="F721" t="s">
        <v>20</v>
      </c>
      <c r="G721" t="s">
        <v>34</v>
      </c>
      <c r="H721" s="5">
        <v>450000</v>
      </c>
      <c r="I721" s="5">
        <v>375000</v>
      </c>
      <c r="J721" s="5">
        <v>75000</v>
      </c>
      <c r="K721" s="5">
        <f>Table2[[#This Row],[Advance Amount]]-Table2[[#This Row],[Expense Amount]]-Table2[[#This Row],[Return Amount]]</f>
        <v>0</v>
      </c>
      <c r="L721" s="5" t="str">
        <f>IF(Table2[[#This Row],[Outstanding]]=0,"Settled",IF(Table2[[#This Row],[Outstanding]]&gt;0,"Outstanding"))</f>
        <v>Settled</v>
      </c>
      <c r="M721" s="5" t="str">
        <f>IF(Table2[[#This Row],[Advance Amount]]=Table2[[#This Row],[Expense Amount]]+Table2[[#This Row],[Return Amount]]+Table2[[#This Row],[Outstanding]],"Ok","Check")</f>
        <v>Ok</v>
      </c>
      <c r="N721" s="11">
        <f>IF(Table2[[#This Row],[Status]]="Settled",0,$Q$2-Table2[[#This Row],[Date]])</f>
        <v>0</v>
      </c>
      <c r="O721" s="5" t="str">
        <f>IF(Table2[[#This Row],[Age Days]]&lt;=7,"Normal",IF(Table2[[#This Row],[Age Days]]&lt;=14,"Perlu Dipantau",IF(Table2[[#This Row],[Age Days]]&lt;=30,"Perlu Ditindaklanjuti","Overdue")))</f>
        <v>Normal</v>
      </c>
    </row>
    <row r="722" spans="1:15" x14ac:dyDescent="0.3">
      <c r="A722" t="s">
        <v>806</v>
      </c>
      <c r="B722" s="3">
        <v>46197</v>
      </c>
      <c r="C722" t="s">
        <v>59</v>
      </c>
      <c r="D722" t="s">
        <v>60</v>
      </c>
      <c r="E722" t="s">
        <v>19</v>
      </c>
      <c r="F722" t="s">
        <v>20</v>
      </c>
      <c r="G722" t="s">
        <v>61</v>
      </c>
      <c r="H722" s="5">
        <v>350000</v>
      </c>
      <c r="I722" s="5">
        <v>350000</v>
      </c>
      <c r="J722" s="5">
        <v>0</v>
      </c>
      <c r="K722" s="5">
        <f>Table2[[#This Row],[Advance Amount]]-Table2[[#This Row],[Expense Amount]]-Table2[[#This Row],[Return Amount]]</f>
        <v>0</v>
      </c>
      <c r="L722" s="5" t="str">
        <f>IF(Table2[[#This Row],[Outstanding]]=0,"Settled",IF(Table2[[#This Row],[Outstanding]]&gt;0,"Outstanding"))</f>
        <v>Settled</v>
      </c>
      <c r="M722" s="5" t="str">
        <f>IF(Table2[[#This Row],[Advance Amount]]=Table2[[#This Row],[Expense Amount]]+Table2[[#This Row],[Return Amount]]+Table2[[#This Row],[Outstanding]],"Ok","Check")</f>
        <v>Ok</v>
      </c>
      <c r="N722" s="11">
        <f>IF(Table2[[#This Row],[Status]]="Settled",0,$Q$2-Table2[[#This Row],[Date]])</f>
        <v>0</v>
      </c>
      <c r="O722" s="5" t="str">
        <f>IF(Table2[[#This Row],[Age Days]]&lt;=7,"Normal",IF(Table2[[#This Row],[Age Days]]&lt;=14,"Perlu Dipantau",IF(Table2[[#This Row],[Age Days]]&lt;=30,"Perlu Ditindaklanjuti","Overdue")))</f>
        <v>Normal</v>
      </c>
    </row>
    <row r="723" spans="1:15" x14ac:dyDescent="0.3">
      <c r="A723" t="s">
        <v>807</v>
      </c>
      <c r="B723" s="3">
        <v>46197</v>
      </c>
      <c r="C723" t="s">
        <v>59</v>
      </c>
      <c r="D723" t="s">
        <v>60</v>
      </c>
      <c r="E723" t="s">
        <v>19</v>
      </c>
      <c r="F723" t="s">
        <v>20</v>
      </c>
      <c r="G723" t="s">
        <v>28</v>
      </c>
      <c r="H723" s="5">
        <v>105000</v>
      </c>
      <c r="I723" s="5">
        <v>100000</v>
      </c>
      <c r="J723" s="5">
        <v>5000</v>
      </c>
      <c r="K723" s="5">
        <f>Table2[[#This Row],[Advance Amount]]-Table2[[#This Row],[Expense Amount]]-Table2[[#This Row],[Return Amount]]</f>
        <v>0</v>
      </c>
      <c r="L723" s="5" t="str">
        <f>IF(Table2[[#This Row],[Outstanding]]=0,"Settled",IF(Table2[[#This Row],[Outstanding]]&gt;0,"Outstanding"))</f>
        <v>Settled</v>
      </c>
      <c r="M723" s="5" t="str">
        <f>IF(Table2[[#This Row],[Advance Amount]]=Table2[[#This Row],[Expense Amount]]+Table2[[#This Row],[Return Amount]]+Table2[[#This Row],[Outstanding]],"Ok","Check")</f>
        <v>Ok</v>
      </c>
      <c r="N723" s="11">
        <f>IF(Table2[[#This Row],[Status]]="Settled",0,$Q$2-Table2[[#This Row],[Date]])</f>
        <v>0</v>
      </c>
      <c r="O723" s="5" t="str">
        <f>IF(Table2[[#This Row],[Age Days]]&lt;=7,"Normal",IF(Table2[[#This Row],[Age Days]]&lt;=14,"Perlu Dipantau",IF(Table2[[#This Row],[Age Days]]&lt;=30,"Perlu Ditindaklanjuti","Overdue")))</f>
        <v>Normal</v>
      </c>
    </row>
    <row r="724" spans="1:15" x14ac:dyDescent="0.3">
      <c r="A724" t="s">
        <v>808</v>
      </c>
      <c r="B724" s="3">
        <v>46198</v>
      </c>
      <c r="C724" t="s">
        <v>55</v>
      </c>
      <c r="D724" t="s">
        <v>56</v>
      </c>
      <c r="E724" t="s">
        <v>24</v>
      </c>
      <c r="F724" t="s">
        <v>14</v>
      </c>
      <c r="G724" t="s">
        <v>57</v>
      </c>
      <c r="H724" s="5">
        <v>80000</v>
      </c>
      <c r="I724" s="5">
        <v>75000</v>
      </c>
      <c r="J724" s="5">
        <v>5000</v>
      </c>
      <c r="K724" s="5">
        <f>Table2[[#This Row],[Advance Amount]]-Table2[[#This Row],[Expense Amount]]-Table2[[#This Row],[Return Amount]]</f>
        <v>0</v>
      </c>
      <c r="L724" s="5" t="str">
        <f>IF(Table2[[#This Row],[Outstanding]]=0,"Settled",IF(Table2[[#This Row],[Outstanding]]&gt;0,"Outstanding"))</f>
        <v>Settled</v>
      </c>
      <c r="M724" s="5" t="str">
        <f>IF(Table2[[#This Row],[Advance Amount]]=Table2[[#This Row],[Expense Amount]]+Table2[[#This Row],[Return Amount]]+Table2[[#This Row],[Outstanding]],"Ok","Check")</f>
        <v>Ok</v>
      </c>
      <c r="N724" s="11">
        <f>IF(Table2[[#This Row],[Status]]="Settled",0,$Q$2-Table2[[#This Row],[Date]])</f>
        <v>0</v>
      </c>
      <c r="O724" s="5" t="str">
        <f>IF(Table2[[#This Row],[Age Days]]&lt;=7,"Normal",IF(Table2[[#This Row],[Age Days]]&lt;=14,"Perlu Dipantau",IF(Table2[[#This Row],[Age Days]]&lt;=30,"Perlu Ditindaklanjuti","Overdue")))</f>
        <v>Normal</v>
      </c>
    </row>
    <row r="725" spans="1:15" x14ac:dyDescent="0.3">
      <c r="A725" t="s">
        <v>809</v>
      </c>
      <c r="B725" s="3">
        <v>46198</v>
      </c>
      <c r="C725" t="s">
        <v>55</v>
      </c>
      <c r="D725" t="s">
        <v>56</v>
      </c>
      <c r="E725" t="s">
        <v>24</v>
      </c>
      <c r="F725" t="s">
        <v>14</v>
      </c>
      <c r="G725" t="s">
        <v>58</v>
      </c>
      <c r="H725" s="5">
        <v>925000</v>
      </c>
      <c r="I725" s="5">
        <v>825000</v>
      </c>
      <c r="J725" s="5">
        <v>100000</v>
      </c>
      <c r="K725" s="5">
        <f>Table2[[#This Row],[Advance Amount]]-Table2[[#This Row],[Expense Amount]]-Table2[[#This Row],[Return Amount]]</f>
        <v>0</v>
      </c>
      <c r="L725" s="5" t="str">
        <f>IF(Table2[[#This Row],[Outstanding]]=0,"Settled",IF(Table2[[#This Row],[Outstanding]]&gt;0,"Outstanding"))</f>
        <v>Settled</v>
      </c>
      <c r="M725" s="5" t="str">
        <f>IF(Table2[[#This Row],[Advance Amount]]=Table2[[#This Row],[Expense Amount]]+Table2[[#This Row],[Return Amount]]+Table2[[#This Row],[Outstanding]],"Ok","Check")</f>
        <v>Ok</v>
      </c>
      <c r="N725" s="11">
        <f>IF(Table2[[#This Row],[Status]]="Settled",0,$Q$2-Table2[[#This Row],[Date]])</f>
        <v>0</v>
      </c>
      <c r="O725" s="5" t="str">
        <f>IF(Table2[[#This Row],[Age Days]]&lt;=7,"Normal",IF(Table2[[#This Row],[Age Days]]&lt;=14,"Perlu Dipantau",IF(Table2[[#This Row],[Age Days]]&lt;=30,"Perlu Ditindaklanjuti","Overdue")))</f>
        <v>Normal</v>
      </c>
    </row>
    <row r="726" spans="1:15" x14ac:dyDescent="0.3">
      <c r="A726" t="s">
        <v>810</v>
      </c>
      <c r="B726" s="3">
        <v>46199</v>
      </c>
      <c r="C726" t="s">
        <v>48</v>
      </c>
      <c r="D726" t="s">
        <v>49</v>
      </c>
      <c r="E726" t="s">
        <v>19</v>
      </c>
      <c r="F726" t="s">
        <v>20</v>
      </c>
      <c r="G726" t="s">
        <v>57</v>
      </c>
      <c r="H726" s="5">
        <v>405000</v>
      </c>
      <c r="I726" s="5">
        <v>300000</v>
      </c>
      <c r="J726" s="5">
        <v>105000</v>
      </c>
      <c r="K726" s="5">
        <f>Table2[[#This Row],[Advance Amount]]-Table2[[#This Row],[Expense Amount]]-Table2[[#This Row],[Return Amount]]</f>
        <v>0</v>
      </c>
      <c r="L726" s="5" t="str">
        <f>IF(Table2[[#This Row],[Outstanding]]=0,"Settled",IF(Table2[[#This Row],[Outstanding]]&gt;0,"Outstanding"))</f>
        <v>Settled</v>
      </c>
      <c r="M726" s="5" t="str">
        <f>IF(Table2[[#This Row],[Advance Amount]]=Table2[[#This Row],[Expense Amount]]+Table2[[#This Row],[Return Amount]]+Table2[[#This Row],[Outstanding]],"Ok","Check")</f>
        <v>Ok</v>
      </c>
      <c r="N726" s="11">
        <f>IF(Table2[[#This Row],[Status]]="Settled",0,$Q$2-Table2[[#This Row],[Date]])</f>
        <v>0</v>
      </c>
      <c r="O726" s="5" t="str">
        <f>IF(Table2[[#This Row],[Age Days]]&lt;=7,"Normal",IF(Table2[[#This Row],[Age Days]]&lt;=14,"Perlu Dipantau",IF(Table2[[#This Row],[Age Days]]&lt;=30,"Perlu Ditindaklanjuti","Overdue")))</f>
        <v>Normal</v>
      </c>
    </row>
    <row r="727" spans="1:15" x14ac:dyDescent="0.3">
      <c r="A727" t="s">
        <v>811</v>
      </c>
      <c r="B727" s="3">
        <v>46199</v>
      </c>
      <c r="C727" t="s">
        <v>22</v>
      </c>
      <c r="D727" t="s">
        <v>23</v>
      </c>
      <c r="E727" t="s">
        <v>24</v>
      </c>
      <c r="F727" t="s">
        <v>20</v>
      </c>
      <c r="G727" t="s">
        <v>57</v>
      </c>
      <c r="H727" s="5">
        <v>480000</v>
      </c>
      <c r="I727" s="5">
        <v>475000</v>
      </c>
      <c r="J727" s="5">
        <v>5000</v>
      </c>
      <c r="K727" s="5">
        <f>Table2[[#This Row],[Advance Amount]]-Table2[[#This Row],[Expense Amount]]-Table2[[#This Row],[Return Amount]]</f>
        <v>0</v>
      </c>
      <c r="L727" s="5" t="str">
        <f>IF(Table2[[#This Row],[Outstanding]]=0,"Settled",IF(Table2[[#This Row],[Outstanding]]&gt;0,"Outstanding"))</f>
        <v>Settled</v>
      </c>
      <c r="M727" s="5" t="str">
        <f>IF(Table2[[#This Row],[Advance Amount]]=Table2[[#This Row],[Expense Amount]]+Table2[[#This Row],[Return Amount]]+Table2[[#This Row],[Outstanding]],"Ok","Check")</f>
        <v>Ok</v>
      </c>
      <c r="N727" s="11">
        <f>IF(Table2[[#This Row],[Status]]="Settled",0,$Q$2-Table2[[#This Row],[Date]])</f>
        <v>0</v>
      </c>
      <c r="O727" s="5" t="str">
        <f>IF(Table2[[#This Row],[Age Days]]&lt;=7,"Normal",IF(Table2[[#This Row],[Age Days]]&lt;=14,"Perlu Dipantau",IF(Table2[[#This Row],[Age Days]]&lt;=30,"Perlu Ditindaklanjuti","Overdue")))</f>
        <v>Normal</v>
      </c>
    </row>
    <row r="728" spans="1:15" x14ac:dyDescent="0.3">
      <c r="A728" t="s">
        <v>812</v>
      </c>
      <c r="B728" s="3">
        <v>46199</v>
      </c>
      <c r="C728" t="s">
        <v>59</v>
      </c>
      <c r="D728" t="s">
        <v>60</v>
      </c>
      <c r="E728" t="s">
        <v>19</v>
      </c>
      <c r="F728" t="s">
        <v>14</v>
      </c>
      <c r="G728" t="s">
        <v>34</v>
      </c>
      <c r="H728" s="5">
        <v>250000</v>
      </c>
      <c r="I728" s="5">
        <v>225000</v>
      </c>
      <c r="J728" s="5">
        <v>25000</v>
      </c>
      <c r="K728" s="5">
        <f>Table2[[#This Row],[Advance Amount]]-Table2[[#This Row],[Expense Amount]]-Table2[[#This Row],[Return Amount]]</f>
        <v>0</v>
      </c>
      <c r="L728" s="5" t="str">
        <f>IF(Table2[[#This Row],[Outstanding]]=0,"Settled",IF(Table2[[#This Row],[Outstanding]]&gt;0,"Outstanding"))</f>
        <v>Settled</v>
      </c>
      <c r="M728" s="5" t="str">
        <f>IF(Table2[[#This Row],[Advance Amount]]=Table2[[#This Row],[Expense Amount]]+Table2[[#This Row],[Return Amount]]+Table2[[#This Row],[Outstanding]],"Ok","Check")</f>
        <v>Ok</v>
      </c>
      <c r="N728" s="11">
        <f>IF(Table2[[#This Row],[Status]]="Settled",0,$Q$2-Table2[[#This Row],[Date]])</f>
        <v>0</v>
      </c>
      <c r="O728" s="5" t="str">
        <f>IF(Table2[[#This Row],[Age Days]]&lt;=7,"Normal",IF(Table2[[#This Row],[Age Days]]&lt;=14,"Perlu Dipantau",IF(Table2[[#This Row],[Age Days]]&lt;=30,"Perlu Ditindaklanjuti","Overdue")))</f>
        <v>Normal</v>
      </c>
    </row>
    <row r="729" spans="1:15" x14ac:dyDescent="0.3">
      <c r="A729" t="s">
        <v>813</v>
      </c>
      <c r="B729" s="3">
        <v>46199</v>
      </c>
      <c r="C729" t="s">
        <v>25</v>
      </c>
      <c r="D729" t="s">
        <v>26</v>
      </c>
      <c r="E729" t="s">
        <v>27</v>
      </c>
      <c r="F729" t="s">
        <v>14</v>
      </c>
      <c r="G729" t="s">
        <v>31</v>
      </c>
      <c r="H729" s="5">
        <v>225000</v>
      </c>
      <c r="I729" s="5">
        <v>225000</v>
      </c>
      <c r="J729" s="5">
        <v>0</v>
      </c>
      <c r="K729" s="5">
        <f>Table2[[#This Row],[Advance Amount]]-Table2[[#This Row],[Expense Amount]]-Table2[[#This Row],[Return Amount]]</f>
        <v>0</v>
      </c>
      <c r="L729" s="5" t="str">
        <f>IF(Table2[[#This Row],[Outstanding]]=0,"Settled",IF(Table2[[#This Row],[Outstanding]]&gt;0,"Outstanding"))</f>
        <v>Settled</v>
      </c>
      <c r="M729" s="5" t="str">
        <f>IF(Table2[[#This Row],[Advance Amount]]=Table2[[#This Row],[Expense Amount]]+Table2[[#This Row],[Return Amount]]+Table2[[#This Row],[Outstanding]],"Ok","Check")</f>
        <v>Ok</v>
      </c>
      <c r="N729" s="11">
        <f>IF(Table2[[#This Row],[Status]]="Settled",0,$Q$2-Table2[[#This Row],[Date]])</f>
        <v>0</v>
      </c>
      <c r="O729" s="5" t="str">
        <f>IF(Table2[[#This Row],[Age Days]]&lt;=7,"Normal",IF(Table2[[#This Row],[Age Days]]&lt;=14,"Perlu Dipantau",IF(Table2[[#This Row],[Age Days]]&lt;=30,"Perlu Ditindaklanjuti","Overdue")))</f>
        <v>Normal</v>
      </c>
    </row>
    <row r="730" spans="1:15" x14ac:dyDescent="0.3">
      <c r="A730" t="s">
        <v>814</v>
      </c>
      <c r="B730" s="3">
        <v>46200</v>
      </c>
      <c r="C730" t="s">
        <v>38</v>
      </c>
      <c r="D730" t="s">
        <v>39</v>
      </c>
      <c r="E730" t="s">
        <v>24</v>
      </c>
      <c r="F730" t="s">
        <v>14</v>
      </c>
      <c r="G730" t="s">
        <v>15</v>
      </c>
      <c r="H730" s="5">
        <v>2850000</v>
      </c>
      <c r="I730" s="5">
        <v>2550000</v>
      </c>
      <c r="J730" s="5">
        <v>300000</v>
      </c>
      <c r="K730" s="5">
        <f>Table2[[#This Row],[Advance Amount]]-Table2[[#This Row],[Expense Amount]]-Table2[[#This Row],[Return Amount]]</f>
        <v>0</v>
      </c>
      <c r="L730" s="5" t="str">
        <f>IF(Table2[[#This Row],[Outstanding]]=0,"Settled",IF(Table2[[#This Row],[Outstanding]]&gt;0,"Outstanding"))</f>
        <v>Settled</v>
      </c>
      <c r="M730" s="5" t="str">
        <f>IF(Table2[[#This Row],[Advance Amount]]=Table2[[#This Row],[Expense Amount]]+Table2[[#This Row],[Return Amount]]+Table2[[#This Row],[Outstanding]],"Ok","Check")</f>
        <v>Ok</v>
      </c>
      <c r="N730" s="11">
        <f>IF(Table2[[#This Row],[Status]]="Settled",0,$Q$2-Table2[[#This Row],[Date]])</f>
        <v>0</v>
      </c>
      <c r="O730" s="5" t="str">
        <f>IF(Table2[[#This Row],[Age Days]]&lt;=7,"Normal",IF(Table2[[#This Row],[Age Days]]&lt;=14,"Perlu Dipantau",IF(Table2[[#This Row],[Age Days]]&lt;=30,"Perlu Ditindaklanjuti","Overdue")))</f>
        <v>Normal</v>
      </c>
    </row>
    <row r="731" spans="1:15" x14ac:dyDescent="0.3">
      <c r="A731" t="s">
        <v>815</v>
      </c>
      <c r="B731" s="3">
        <v>46200</v>
      </c>
      <c r="C731" t="s">
        <v>66</v>
      </c>
      <c r="D731" t="s">
        <v>67</v>
      </c>
      <c r="E731" t="s">
        <v>13</v>
      </c>
      <c r="F731" t="s">
        <v>14</v>
      </c>
      <c r="G731" t="s">
        <v>15</v>
      </c>
      <c r="H731" s="5">
        <v>3475000</v>
      </c>
      <c r="I731" s="5">
        <v>3000000</v>
      </c>
      <c r="J731" s="5">
        <v>475000</v>
      </c>
      <c r="K731" s="5">
        <f>Table2[[#This Row],[Advance Amount]]-Table2[[#This Row],[Expense Amount]]-Table2[[#This Row],[Return Amount]]</f>
        <v>0</v>
      </c>
      <c r="L731" s="5" t="str">
        <f>IF(Table2[[#This Row],[Outstanding]]=0,"Settled",IF(Table2[[#This Row],[Outstanding]]&gt;0,"Outstanding"))</f>
        <v>Settled</v>
      </c>
      <c r="M731" s="5" t="str">
        <f>IF(Table2[[#This Row],[Advance Amount]]=Table2[[#This Row],[Expense Amount]]+Table2[[#This Row],[Return Amount]]+Table2[[#This Row],[Outstanding]],"Ok","Check")</f>
        <v>Ok</v>
      </c>
      <c r="N731" s="11">
        <f>IF(Table2[[#This Row],[Status]]="Settled",0,$Q$2-Table2[[#This Row],[Date]])</f>
        <v>0</v>
      </c>
      <c r="O731" s="5" t="str">
        <f>IF(Table2[[#This Row],[Age Days]]&lt;=7,"Normal",IF(Table2[[#This Row],[Age Days]]&lt;=14,"Perlu Dipantau",IF(Table2[[#This Row],[Age Days]]&lt;=30,"Perlu Ditindaklanjuti","Overdue")))</f>
        <v>Normal</v>
      </c>
    </row>
    <row r="732" spans="1:15" x14ac:dyDescent="0.3">
      <c r="A732" t="s">
        <v>816</v>
      </c>
      <c r="B732" s="3">
        <v>46200</v>
      </c>
      <c r="C732" t="s">
        <v>59</v>
      </c>
      <c r="D732" t="s">
        <v>60</v>
      </c>
      <c r="E732" t="s">
        <v>19</v>
      </c>
      <c r="F732" t="s">
        <v>20</v>
      </c>
      <c r="G732" t="s">
        <v>31</v>
      </c>
      <c r="H732" s="5">
        <v>250000</v>
      </c>
      <c r="I732" s="5">
        <v>225000</v>
      </c>
      <c r="J732" s="5">
        <v>25000</v>
      </c>
      <c r="K732" s="5">
        <f>Table2[[#This Row],[Advance Amount]]-Table2[[#This Row],[Expense Amount]]-Table2[[#This Row],[Return Amount]]</f>
        <v>0</v>
      </c>
      <c r="L732" s="5" t="str">
        <f>IF(Table2[[#This Row],[Outstanding]]=0,"Settled",IF(Table2[[#This Row],[Outstanding]]&gt;0,"Outstanding"))</f>
        <v>Settled</v>
      </c>
      <c r="M732" s="5" t="str">
        <f>IF(Table2[[#This Row],[Advance Amount]]=Table2[[#This Row],[Expense Amount]]+Table2[[#This Row],[Return Amount]]+Table2[[#This Row],[Outstanding]],"Ok","Check")</f>
        <v>Ok</v>
      </c>
      <c r="N732" s="11">
        <f>IF(Table2[[#This Row],[Status]]="Settled",0,$Q$2-Table2[[#This Row],[Date]])</f>
        <v>0</v>
      </c>
      <c r="O732" s="5" t="str">
        <f>IF(Table2[[#This Row],[Age Days]]&lt;=7,"Normal",IF(Table2[[#This Row],[Age Days]]&lt;=14,"Perlu Dipantau",IF(Table2[[#This Row],[Age Days]]&lt;=30,"Perlu Ditindaklanjuti","Overdue")))</f>
        <v>Normal</v>
      </c>
    </row>
    <row r="733" spans="1:15" x14ac:dyDescent="0.3">
      <c r="A733" t="s">
        <v>817</v>
      </c>
      <c r="B733" s="3">
        <v>46200</v>
      </c>
      <c r="C733" t="s">
        <v>59</v>
      </c>
      <c r="D733" t="s">
        <v>60</v>
      </c>
      <c r="E733" t="s">
        <v>19</v>
      </c>
      <c r="F733" t="s">
        <v>20</v>
      </c>
      <c r="G733" t="s">
        <v>57</v>
      </c>
      <c r="H733" s="5">
        <v>305000</v>
      </c>
      <c r="I733" s="5">
        <v>0</v>
      </c>
      <c r="J733" s="5">
        <v>0</v>
      </c>
      <c r="K733" s="5">
        <f>Table2[[#This Row],[Advance Amount]]-Table2[[#This Row],[Expense Amount]]-Table2[[#This Row],[Return Amount]]</f>
        <v>305000</v>
      </c>
      <c r="L733" s="5" t="str">
        <f>IF(Table2[[#This Row],[Outstanding]]=0,"Settled",IF(Table2[[#This Row],[Outstanding]]&gt;0,"Outstanding"))</f>
        <v>Outstanding</v>
      </c>
      <c r="M733" s="5" t="str">
        <f>IF(Table2[[#This Row],[Advance Amount]]=Table2[[#This Row],[Expense Amount]]+Table2[[#This Row],[Return Amount]]+Table2[[#This Row],[Outstanding]],"Ok","Check")</f>
        <v>Ok</v>
      </c>
      <c r="N733" s="11">
        <f>IF(Table2[[#This Row],[Status]]="Settled",0,$Q$2-Table2[[#This Row],[Date]])</f>
        <v>65</v>
      </c>
      <c r="O733" s="5" t="str">
        <f>IF(Table2[[#This Row],[Age Days]]&lt;=7,"Normal",IF(Table2[[#This Row],[Age Days]]&lt;=14,"Perlu Dipantau",IF(Table2[[#This Row],[Age Days]]&lt;=30,"Perlu Ditindaklanjuti","Overdue")))</f>
        <v>Overdue</v>
      </c>
    </row>
    <row r="734" spans="1:15" x14ac:dyDescent="0.3">
      <c r="A734" t="s">
        <v>818</v>
      </c>
      <c r="B734" s="3">
        <v>46200</v>
      </c>
      <c r="C734" t="s">
        <v>59</v>
      </c>
      <c r="D734" t="s">
        <v>60</v>
      </c>
      <c r="E734" t="s">
        <v>19</v>
      </c>
      <c r="F734" t="s">
        <v>20</v>
      </c>
      <c r="G734" t="s">
        <v>58</v>
      </c>
      <c r="H734" s="5">
        <v>175000</v>
      </c>
      <c r="I734" s="5">
        <v>150000</v>
      </c>
      <c r="J734" s="5">
        <v>25000</v>
      </c>
      <c r="K734" s="5">
        <f>Table2[[#This Row],[Advance Amount]]-Table2[[#This Row],[Expense Amount]]-Table2[[#This Row],[Return Amount]]</f>
        <v>0</v>
      </c>
      <c r="L734" s="5" t="str">
        <f>IF(Table2[[#This Row],[Outstanding]]=0,"Settled",IF(Table2[[#This Row],[Outstanding]]&gt;0,"Outstanding"))</f>
        <v>Settled</v>
      </c>
      <c r="M734" s="5" t="str">
        <f>IF(Table2[[#This Row],[Advance Amount]]=Table2[[#This Row],[Expense Amount]]+Table2[[#This Row],[Return Amount]]+Table2[[#This Row],[Outstanding]],"Ok","Check")</f>
        <v>Ok</v>
      </c>
      <c r="N734" s="11">
        <f>IF(Table2[[#This Row],[Status]]="Settled",0,$Q$2-Table2[[#This Row],[Date]])</f>
        <v>0</v>
      </c>
      <c r="O734" s="5" t="str">
        <f>IF(Table2[[#This Row],[Age Days]]&lt;=7,"Normal",IF(Table2[[#This Row],[Age Days]]&lt;=14,"Perlu Dipantau",IF(Table2[[#This Row],[Age Days]]&lt;=30,"Perlu Ditindaklanjuti","Overdue")))</f>
        <v>Normal</v>
      </c>
    </row>
    <row r="735" spans="1:15" x14ac:dyDescent="0.3">
      <c r="A735" t="s">
        <v>819</v>
      </c>
      <c r="B735" s="3">
        <v>46200</v>
      </c>
      <c r="C735" t="s">
        <v>25</v>
      </c>
      <c r="D735" t="s">
        <v>26</v>
      </c>
      <c r="E735" t="s">
        <v>27</v>
      </c>
      <c r="F735" t="s">
        <v>20</v>
      </c>
      <c r="G735" t="s">
        <v>34</v>
      </c>
      <c r="H735" s="5">
        <v>375000</v>
      </c>
      <c r="I735" s="5">
        <v>325000</v>
      </c>
      <c r="J735" s="5">
        <v>50000</v>
      </c>
      <c r="K735" s="5">
        <f>Table2[[#This Row],[Advance Amount]]-Table2[[#This Row],[Expense Amount]]-Table2[[#This Row],[Return Amount]]</f>
        <v>0</v>
      </c>
      <c r="L735" s="5" t="str">
        <f>IF(Table2[[#This Row],[Outstanding]]=0,"Settled",IF(Table2[[#This Row],[Outstanding]]&gt;0,"Outstanding"))</f>
        <v>Settled</v>
      </c>
      <c r="M735" s="5" t="str">
        <f>IF(Table2[[#This Row],[Advance Amount]]=Table2[[#This Row],[Expense Amount]]+Table2[[#This Row],[Return Amount]]+Table2[[#This Row],[Outstanding]],"Ok","Check")</f>
        <v>Ok</v>
      </c>
      <c r="N735" s="11">
        <f>IF(Table2[[#This Row],[Status]]="Settled",0,$Q$2-Table2[[#This Row],[Date]])</f>
        <v>0</v>
      </c>
      <c r="O735" s="5" t="str">
        <f>IF(Table2[[#This Row],[Age Days]]&lt;=7,"Normal",IF(Table2[[#This Row],[Age Days]]&lt;=14,"Perlu Dipantau",IF(Table2[[#This Row],[Age Days]]&lt;=30,"Perlu Ditindaklanjuti","Overdue")))</f>
        <v>Normal</v>
      </c>
    </row>
    <row r="736" spans="1:15" x14ac:dyDescent="0.3">
      <c r="A736" t="s">
        <v>820</v>
      </c>
      <c r="B736" s="3">
        <v>46201</v>
      </c>
      <c r="C736" t="s">
        <v>46</v>
      </c>
      <c r="D736" t="s">
        <v>47</v>
      </c>
      <c r="E736" t="s">
        <v>37</v>
      </c>
      <c r="F736" t="s">
        <v>20</v>
      </c>
      <c r="G736" t="s">
        <v>31</v>
      </c>
      <c r="H736" s="5">
        <v>300000</v>
      </c>
      <c r="I736" s="5">
        <v>250000</v>
      </c>
      <c r="J736" s="5">
        <v>50000</v>
      </c>
      <c r="K736" s="5">
        <f>Table2[[#This Row],[Advance Amount]]-Table2[[#This Row],[Expense Amount]]-Table2[[#This Row],[Return Amount]]</f>
        <v>0</v>
      </c>
      <c r="L736" s="5" t="str">
        <f>IF(Table2[[#This Row],[Outstanding]]=0,"Settled",IF(Table2[[#This Row],[Outstanding]]&gt;0,"Outstanding"))</f>
        <v>Settled</v>
      </c>
      <c r="M736" s="5" t="str">
        <f>IF(Table2[[#This Row],[Advance Amount]]=Table2[[#This Row],[Expense Amount]]+Table2[[#This Row],[Return Amount]]+Table2[[#This Row],[Outstanding]],"Ok","Check")</f>
        <v>Ok</v>
      </c>
      <c r="N736" s="11">
        <f>IF(Table2[[#This Row],[Status]]="Settled",0,$Q$2-Table2[[#This Row],[Date]])</f>
        <v>0</v>
      </c>
      <c r="O736" s="5" t="str">
        <f>IF(Table2[[#This Row],[Age Days]]&lt;=7,"Normal",IF(Table2[[#This Row],[Age Days]]&lt;=14,"Perlu Dipantau",IF(Table2[[#This Row],[Age Days]]&lt;=30,"Perlu Ditindaklanjuti","Overdue")))</f>
        <v>Normal</v>
      </c>
    </row>
    <row r="737" spans="1:15" x14ac:dyDescent="0.3">
      <c r="A737" t="s">
        <v>821</v>
      </c>
      <c r="B737" s="3">
        <v>46201</v>
      </c>
      <c r="C737" t="s">
        <v>41</v>
      </c>
      <c r="D737" t="s">
        <v>42</v>
      </c>
      <c r="E737" t="s">
        <v>43</v>
      </c>
      <c r="F737" t="s">
        <v>20</v>
      </c>
      <c r="G737" t="s">
        <v>40</v>
      </c>
      <c r="H737" s="5">
        <v>550000</v>
      </c>
      <c r="I737" s="5">
        <v>450000</v>
      </c>
      <c r="J737" s="5">
        <v>100000</v>
      </c>
      <c r="K737" s="5">
        <f>Table2[[#This Row],[Advance Amount]]-Table2[[#This Row],[Expense Amount]]-Table2[[#This Row],[Return Amount]]</f>
        <v>0</v>
      </c>
      <c r="L737" s="5" t="str">
        <f>IF(Table2[[#This Row],[Outstanding]]=0,"Settled",IF(Table2[[#This Row],[Outstanding]]&gt;0,"Outstanding"))</f>
        <v>Settled</v>
      </c>
      <c r="M737" s="5" t="str">
        <f>IF(Table2[[#This Row],[Advance Amount]]=Table2[[#This Row],[Expense Amount]]+Table2[[#This Row],[Return Amount]]+Table2[[#This Row],[Outstanding]],"Ok","Check")</f>
        <v>Ok</v>
      </c>
      <c r="N737" s="11">
        <f>IF(Table2[[#This Row],[Status]]="Settled",0,$Q$2-Table2[[#This Row],[Date]])</f>
        <v>0</v>
      </c>
      <c r="O737" s="5" t="str">
        <f>IF(Table2[[#This Row],[Age Days]]&lt;=7,"Normal",IF(Table2[[#This Row],[Age Days]]&lt;=14,"Perlu Dipantau",IF(Table2[[#This Row],[Age Days]]&lt;=30,"Perlu Ditindaklanjuti","Overdue")))</f>
        <v>Normal</v>
      </c>
    </row>
    <row r="738" spans="1:15" x14ac:dyDescent="0.3">
      <c r="A738" t="s">
        <v>822</v>
      </c>
      <c r="B738" s="3">
        <v>46201</v>
      </c>
      <c r="C738" t="s">
        <v>50</v>
      </c>
      <c r="D738" t="s">
        <v>51</v>
      </c>
      <c r="E738" t="s">
        <v>52</v>
      </c>
      <c r="F738" t="s">
        <v>20</v>
      </c>
      <c r="G738" t="s">
        <v>57</v>
      </c>
      <c r="H738" s="5">
        <v>130000</v>
      </c>
      <c r="I738" s="5">
        <v>100000</v>
      </c>
      <c r="J738" s="5">
        <v>30000</v>
      </c>
      <c r="K738" s="5">
        <f>Table2[[#This Row],[Advance Amount]]-Table2[[#This Row],[Expense Amount]]-Table2[[#This Row],[Return Amount]]</f>
        <v>0</v>
      </c>
      <c r="L738" s="5" t="str">
        <f>IF(Table2[[#This Row],[Outstanding]]=0,"Settled",IF(Table2[[#This Row],[Outstanding]]&gt;0,"Outstanding"))</f>
        <v>Settled</v>
      </c>
      <c r="M738" s="5" t="str">
        <f>IF(Table2[[#This Row],[Advance Amount]]=Table2[[#This Row],[Expense Amount]]+Table2[[#This Row],[Return Amount]]+Table2[[#This Row],[Outstanding]],"Ok","Check")</f>
        <v>Ok</v>
      </c>
      <c r="N738" s="11">
        <f>IF(Table2[[#This Row],[Status]]="Settled",0,$Q$2-Table2[[#This Row],[Date]])</f>
        <v>0</v>
      </c>
      <c r="O738" s="5" t="str">
        <f>IF(Table2[[#This Row],[Age Days]]&lt;=7,"Normal",IF(Table2[[#This Row],[Age Days]]&lt;=14,"Perlu Dipantau",IF(Table2[[#This Row],[Age Days]]&lt;=30,"Perlu Ditindaklanjuti","Overdue")))</f>
        <v>Normal</v>
      </c>
    </row>
    <row r="739" spans="1:15" x14ac:dyDescent="0.3">
      <c r="A739" t="s">
        <v>823</v>
      </c>
      <c r="B739" s="3">
        <v>46201</v>
      </c>
      <c r="C739" t="s">
        <v>66</v>
      </c>
      <c r="D739" t="s">
        <v>67</v>
      </c>
      <c r="E739" t="s">
        <v>13</v>
      </c>
      <c r="F739" t="s">
        <v>20</v>
      </c>
      <c r="G739" t="s">
        <v>58</v>
      </c>
      <c r="H739" s="5">
        <v>950000</v>
      </c>
      <c r="I739" s="5">
        <v>875000</v>
      </c>
      <c r="J739" s="5">
        <v>75000</v>
      </c>
      <c r="K739" s="5">
        <f>Table2[[#This Row],[Advance Amount]]-Table2[[#This Row],[Expense Amount]]-Table2[[#This Row],[Return Amount]]</f>
        <v>0</v>
      </c>
      <c r="L739" s="5" t="str">
        <f>IF(Table2[[#This Row],[Outstanding]]=0,"Settled",IF(Table2[[#This Row],[Outstanding]]&gt;0,"Outstanding"))</f>
        <v>Settled</v>
      </c>
      <c r="M739" s="5" t="str">
        <f>IF(Table2[[#This Row],[Advance Amount]]=Table2[[#This Row],[Expense Amount]]+Table2[[#This Row],[Return Amount]]+Table2[[#This Row],[Outstanding]],"Ok","Check")</f>
        <v>Ok</v>
      </c>
      <c r="N739" s="11">
        <f>IF(Table2[[#This Row],[Status]]="Settled",0,$Q$2-Table2[[#This Row],[Date]])</f>
        <v>0</v>
      </c>
      <c r="O739" s="5" t="str">
        <f>IF(Table2[[#This Row],[Age Days]]&lt;=7,"Normal",IF(Table2[[#This Row],[Age Days]]&lt;=14,"Perlu Dipantau",IF(Table2[[#This Row],[Age Days]]&lt;=30,"Perlu Ditindaklanjuti","Overdue")))</f>
        <v>Normal</v>
      </c>
    </row>
    <row r="740" spans="1:15" x14ac:dyDescent="0.3">
      <c r="A740" t="s">
        <v>824</v>
      </c>
      <c r="B740" s="3">
        <v>46201</v>
      </c>
      <c r="C740" t="s">
        <v>22</v>
      </c>
      <c r="D740" t="s">
        <v>23</v>
      </c>
      <c r="E740" t="s">
        <v>24</v>
      </c>
      <c r="F740" t="s">
        <v>20</v>
      </c>
      <c r="G740" t="s">
        <v>28</v>
      </c>
      <c r="H740" s="5">
        <v>455000</v>
      </c>
      <c r="I740" s="5">
        <v>350000</v>
      </c>
      <c r="J740" s="5">
        <v>105000</v>
      </c>
      <c r="K740" s="5">
        <f>Table2[[#This Row],[Advance Amount]]-Table2[[#This Row],[Expense Amount]]-Table2[[#This Row],[Return Amount]]</f>
        <v>0</v>
      </c>
      <c r="L740" s="5" t="str">
        <f>IF(Table2[[#This Row],[Outstanding]]=0,"Settled",IF(Table2[[#This Row],[Outstanding]]&gt;0,"Outstanding"))</f>
        <v>Settled</v>
      </c>
      <c r="M740" s="5" t="str">
        <f>IF(Table2[[#This Row],[Advance Amount]]=Table2[[#This Row],[Expense Amount]]+Table2[[#This Row],[Return Amount]]+Table2[[#This Row],[Outstanding]],"Ok","Check")</f>
        <v>Ok</v>
      </c>
      <c r="N740" s="11">
        <f>IF(Table2[[#This Row],[Status]]="Settled",0,$Q$2-Table2[[#This Row],[Date]])</f>
        <v>0</v>
      </c>
      <c r="O740" s="5" t="str">
        <f>IF(Table2[[#This Row],[Age Days]]&lt;=7,"Normal",IF(Table2[[#This Row],[Age Days]]&lt;=14,"Perlu Dipantau",IF(Table2[[#This Row],[Age Days]]&lt;=30,"Perlu Ditindaklanjuti","Overdue")))</f>
        <v>Normal</v>
      </c>
    </row>
    <row r="741" spans="1:15" x14ac:dyDescent="0.3">
      <c r="A741" t="s">
        <v>825</v>
      </c>
      <c r="B741" s="3">
        <v>46202</v>
      </c>
      <c r="C741" t="s">
        <v>29</v>
      </c>
      <c r="D741" t="s">
        <v>30</v>
      </c>
      <c r="E741" t="s">
        <v>13</v>
      </c>
      <c r="F741" t="s">
        <v>20</v>
      </c>
      <c r="G741" t="s">
        <v>31</v>
      </c>
      <c r="H741" s="5">
        <v>1375000</v>
      </c>
      <c r="I741" s="5">
        <v>0</v>
      </c>
      <c r="J741" s="5">
        <v>0</v>
      </c>
      <c r="K741" s="5">
        <f>Table2[[#This Row],[Advance Amount]]-Table2[[#This Row],[Expense Amount]]-Table2[[#This Row],[Return Amount]]</f>
        <v>1375000</v>
      </c>
      <c r="L741" s="5" t="str">
        <f>IF(Table2[[#This Row],[Outstanding]]=0,"Settled",IF(Table2[[#This Row],[Outstanding]]&gt;0,"Outstanding"))</f>
        <v>Outstanding</v>
      </c>
      <c r="M741" s="5" t="str">
        <f>IF(Table2[[#This Row],[Advance Amount]]=Table2[[#This Row],[Expense Amount]]+Table2[[#This Row],[Return Amount]]+Table2[[#This Row],[Outstanding]],"Ok","Check")</f>
        <v>Ok</v>
      </c>
      <c r="N741" s="11">
        <f>IF(Table2[[#This Row],[Status]]="Settled",0,$Q$2-Table2[[#This Row],[Date]])</f>
        <v>63</v>
      </c>
      <c r="O741" s="5" t="str">
        <f>IF(Table2[[#This Row],[Age Days]]&lt;=7,"Normal",IF(Table2[[#This Row],[Age Days]]&lt;=14,"Perlu Dipantau",IF(Table2[[#This Row],[Age Days]]&lt;=30,"Perlu Ditindaklanjuti","Overdue")))</f>
        <v>Overdue</v>
      </c>
    </row>
    <row r="742" spans="1:15" x14ac:dyDescent="0.3">
      <c r="A742" t="s">
        <v>826</v>
      </c>
      <c r="B742" s="3">
        <v>46202</v>
      </c>
      <c r="C742" t="s">
        <v>62</v>
      </c>
      <c r="D742" t="s">
        <v>63</v>
      </c>
      <c r="E742" t="s">
        <v>52</v>
      </c>
      <c r="F742" t="s">
        <v>14</v>
      </c>
      <c r="G742" t="s">
        <v>28</v>
      </c>
      <c r="H742" s="5">
        <v>380000</v>
      </c>
      <c r="I742" s="5">
        <v>300000</v>
      </c>
      <c r="J742" s="5">
        <v>80000</v>
      </c>
      <c r="K742" s="5">
        <f>Table2[[#This Row],[Advance Amount]]-Table2[[#This Row],[Expense Amount]]-Table2[[#This Row],[Return Amount]]</f>
        <v>0</v>
      </c>
      <c r="L742" s="5" t="str">
        <f>IF(Table2[[#This Row],[Outstanding]]=0,"Settled",IF(Table2[[#This Row],[Outstanding]]&gt;0,"Outstanding"))</f>
        <v>Settled</v>
      </c>
      <c r="M742" s="5" t="str">
        <f>IF(Table2[[#This Row],[Advance Amount]]=Table2[[#This Row],[Expense Amount]]+Table2[[#This Row],[Return Amount]]+Table2[[#This Row],[Outstanding]],"Ok","Check")</f>
        <v>Ok</v>
      </c>
      <c r="N742" s="11">
        <f>IF(Table2[[#This Row],[Status]]="Settled",0,$Q$2-Table2[[#This Row],[Date]])</f>
        <v>0</v>
      </c>
      <c r="O742" s="5" t="str">
        <f>IF(Table2[[#This Row],[Age Days]]&lt;=7,"Normal",IF(Table2[[#This Row],[Age Days]]&lt;=14,"Perlu Dipantau",IF(Table2[[#This Row],[Age Days]]&lt;=30,"Perlu Ditindaklanjuti","Overdue")))</f>
        <v>Normal</v>
      </c>
    </row>
    <row r="743" spans="1:15" x14ac:dyDescent="0.3">
      <c r="A743" t="s">
        <v>827</v>
      </c>
      <c r="B743" s="3">
        <v>46202</v>
      </c>
      <c r="C743" t="s">
        <v>38</v>
      </c>
      <c r="D743" t="s">
        <v>39</v>
      </c>
      <c r="E743" t="s">
        <v>24</v>
      </c>
      <c r="F743" t="s">
        <v>20</v>
      </c>
      <c r="G743" t="s">
        <v>57</v>
      </c>
      <c r="H743" s="5">
        <v>105000</v>
      </c>
      <c r="I743" s="5">
        <v>100000</v>
      </c>
      <c r="J743" s="5">
        <v>5000</v>
      </c>
      <c r="K743" s="5">
        <f>Table2[[#This Row],[Advance Amount]]-Table2[[#This Row],[Expense Amount]]-Table2[[#This Row],[Return Amount]]</f>
        <v>0</v>
      </c>
      <c r="L743" s="5" t="str">
        <f>IF(Table2[[#This Row],[Outstanding]]=0,"Settled",IF(Table2[[#This Row],[Outstanding]]&gt;0,"Outstanding"))</f>
        <v>Settled</v>
      </c>
      <c r="M743" s="5" t="str">
        <f>IF(Table2[[#This Row],[Advance Amount]]=Table2[[#This Row],[Expense Amount]]+Table2[[#This Row],[Return Amount]]+Table2[[#This Row],[Outstanding]],"Ok","Check")</f>
        <v>Ok</v>
      </c>
      <c r="N743" s="11">
        <f>IF(Table2[[#This Row],[Status]]="Settled",0,$Q$2-Table2[[#This Row],[Date]])</f>
        <v>0</v>
      </c>
      <c r="O743" s="5" t="str">
        <f>IF(Table2[[#This Row],[Age Days]]&lt;=7,"Normal",IF(Table2[[#This Row],[Age Days]]&lt;=14,"Perlu Dipantau",IF(Table2[[#This Row],[Age Days]]&lt;=30,"Perlu Ditindaklanjuti","Overdue")))</f>
        <v>Normal</v>
      </c>
    </row>
    <row r="744" spans="1:15" x14ac:dyDescent="0.3">
      <c r="A744" t="s">
        <v>828</v>
      </c>
      <c r="B744" s="3">
        <v>46202</v>
      </c>
      <c r="C744" t="s">
        <v>53</v>
      </c>
      <c r="D744" t="s">
        <v>54</v>
      </c>
      <c r="E744" t="s">
        <v>43</v>
      </c>
      <c r="F744" t="s">
        <v>14</v>
      </c>
      <c r="G744" t="s">
        <v>28</v>
      </c>
      <c r="H744" s="5">
        <v>55000</v>
      </c>
      <c r="I744" s="5">
        <v>50000</v>
      </c>
      <c r="J744" s="5">
        <v>5000</v>
      </c>
      <c r="K744" s="5">
        <f>Table2[[#This Row],[Advance Amount]]-Table2[[#This Row],[Expense Amount]]-Table2[[#This Row],[Return Amount]]</f>
        <v>0</v>
      </c>
      <c r="L744" s="5" t="str">
        <f>IF(Table2[[#This Row],[Outstanding]]=0,"Settled",IF(Table2[[#This Row],[Outstanding]]&gt;0,"Outstanding"))</f>
        <v>Settled</v>
      </c>
      <c r="M744" s="5" t="str">
        <f>IF(Table2[[#This Row],[Advance Amount]]=Table2[[#This Row],[Expense Amount]]+Table2[[#This Row],[Return Amount]]+Table2[[#This Row],[Outstanding]],"Ok","Check")</f>
        <v>Ok</v>
      </c>
      <c r="N744" s="11">
        <f>IF(Table2[[#This Row],[Status]]="Settled",0,$Q$2-Table2[[#This Row],[Date]])</f>
        <v>0</v>
      </c>
      <c r="O744" s="5" t="str">
        <f>IF(Table2[[#This Row],[Age Days]]&lt;=7,"Normal",IF(Table2[[#This Row],[Age Days]]&lt;=14,"Perlu Dipantau",IF(Table2[[#This Row],[Age Days]]&lt;=30,"Perlu Ditindaklanjuti","Overdue")))</f>
        <v>Normal</v>
      </c>
    </row>
    <row r="745" spans="1:15" x14ac:dyDescent="0.3">
      <c r="A745" t="s">
        <v>829</v>
      </c>
      <c r="B745" s="3">
        <v>46203</v>
      </c>
      <c r="C745" t="s">
        <v>48</v>
      </c>
      <c r="D745" t="s">
        <v>49</v>
      </c>
      <c r="E745" t="s">
        <v>19</v>
      </c>
      <c r="F745" t="s">
        <v>20</v>
      </c>
      <c r="G745" t="s">
        <v>34</v>
      </c>
      <c r="H745" s="5">
        <v>150000</v>
      </c>
      <c r="I745" s="5">
        <v>125000</v>
      </c>
      <c r="J745" s="5">
        <v>25000</v>
      </c>
      <c r="K745" s="5">
        <f>Table2[[#This Row],[Advance Amount]]-Table2[[#This Row],[Expense Amount]]-Table2[[#This Row],[Return Amount]]</f>
        <v>0</v>
      </c>
      <c r="L745" s="5" t="str">
        <f>IF(Table2[[#This Row],[Outstanding]]=0,"Settled",IF(Table2[[#This Row],[Outstanding]]&gt;0,"Outstanding"))</f>
        <v>Settled</v>
      </c>
      <c r="M745" s="5" t="str">
        <f>IF(Table2[[#This Row],[Advance Amount]]=Table2[[#This Row],[Expense Amount]]+Table2[[#This Row],[Return Amount]]+Table2[[#This Row],[Outstanding]],"Ok","Check")</f>
        <v>Ok</v>
      </c>
      <c r="N745" s="11">
        <f>IF(Table2[[#This Row],[Status]]="Settled",0,$Q$2-Table2[[#This Row],[Date]])</f>
        <v>0</v>
      </c>
      <c r="O745" s="5" t="str">
        <f>IF(Table2[[#This Row],[Age Days]]&lt;=7,"Normal",IF(Table2[[#This Row],[Age Days]]&lt;=14,"Perlu Dipantau",IF(Table2[[#This Row],[Age Days]]&lt;=30,"Perlu Ditindaklanjuti","Overdue")))</f>
        <v>Normal</v>
      </c>
    </row>
    <row r="746" spans="1:15" x14ac:dyDescent="0.3">
      <c r="A746" t="s">
        <v>830</v>
      </c>
      <c r="B746" s="3">
        <v>46203</v>
      </c>
      <c r="C746" t="s">
        <v>38</v>
      </c>
      <c r="D746" t="s">
        <v>39</v>
      </c>
      <c r="E746" t="s">
        <v>24</v>
      </c>
      <c r="F746" t="s">
        <v>14</v>
      </c>
      <c r="G746" t="s">
        <v>61</v>
      </c>
      <c r="H746" s="5">
        <v>250000</v>
      </c>
      <c r="I746" s="5">
        <v>0</v>
      </c>
      <c r="J746" s="5">
        <v>0</v>
      </c>
      <c r="K746" s="5">
        <f>Table2[[#This Row],[Advance Amount]]-Table2[[#This Row],[Expense Amount]]-Table2[[#This Row],[Return Amount]]</f>
        <v>250000</v>
      </c>
      <c r="L746" s="5" t="str">
        <f>IF(Table2[[#This Row],[Outstanding]]=0,"Settled",IF(Table2[[#This Row],[Outstanding]]&gt;0,"Outstanding"))</f>
        <v>Outstanding</v>
      </c>
      <c r="M746" s="5" t="str">
        <f>IF(Table2[[#This Row],[Advance Amount]]=Table2[[#This Row],[Expense Amount]]+Table2[[#This Row],[Return Amount]]+Table2[[#This Row],[Outstanding]],"Ok","Check")</f>
        <v>Ok</v>
      </c>
      <c r="N746" s="11">
        <f>IF(Table2[[#This Row],[Status]]="Settled",0,$Q$2-Table2[[#This Row],[Date]])</f>
        <v>62</v>
      </c>
      <c r="O746" s="5" t="str">
        <f>IF(Table2[[#This Row],[Age Days]]&lt;=7,"Normal",IF(Table2[[#This Row],[Age Days]]&lt;=14,"Perlu Dipantau",IF(Table2[[#This Row],[Age Days]]&lt;=30,"Perlu Ditindaklanjuti","Overdue")))</f>
        <v>Overdue</v>
      </c>
    </row>
    <row r="747" spans="1:15" x14ac:dyDescent="0.3">
      <c r="A747" t="s">
        <v>831</v>
      </c>
      <c r="B747" s="3">
        <v>46203</v>
      </c>
      <c r="C747" t="s">
        <v>59</v>
      </c>
      <c r="D747" t="s">
        <v>60</v>
      </c>
      <c r="E747" t="s">
        <v>19</v>
      </c>
      <c r="F747" t="s">
        <v>14</v>
      </c>
      <c r="G747" t="s">
        <v>40</v>
      </c>
      <c r="H747" s="5">
        <v>775000</v>
      </c>
      <c r="I747" s="5">
        <v>625000</v>
      </c>
      <c r="J747" s="5">
        <v>150000</v>
      </c>
      <c r="K747" s="5">
        <f>Table2[[#This Row],[Advance Amount]]-Table2[[#This Row],[Expense Amount]]-Table2[[#This Row],[Return Amount]]</f>
        <v>0</v>
      </c>
      <c r="L747" s="5" t="str">
        <f>IF(Table2[[#This Row],[Outstanding]]=0,"Settled",IF(Table2[[#This Row],[Outstanding]]&gt;0,"Outstanding"))</f>
        <v>Settled</v>
      </c>
      <c r="M747" s="5" t="str">
        <f>IF(Table2[[#This Row],[Advance Amount]]=Table2[[#This Row],[Expense Amount]]+Table2[[#This Row],[Return Amount]]+Table2[[#This Row],[Outstanding]],"Ok","Check")</f>
        <v>Ok</v>
      </c>
      <c r="N747" s="11">
        <f>IF(Table2[[#This Row],[Status]]="Settled",0,$Q$2-Table2[[#This Row],[Date]])</f>
        <v>0</v>
      </c>
      <c r="O747" s="5" t="str">
        <f>IF(Table2[[#This Row],[Age Days]]&lt;=7,"Normal",IF(Table2[[#This Row],[Age Days]]&lt;=14,"Perlu Dipantau",IF(Table2[[#This Row],[Age Days]]&lt;=30,"Perlu Ditindaklanjuti","Overdue")))</f>
        <v>Normal</v>
      </c>
    </row>
    <row r="748" spans="1:15" x14ac:dyDescent="0.3">
      <c r="A748" t="s">
        <v>832</v>
      </c>
      <c r="B748" s="3">
        <v>46204</v>
      </c>
      <c r="C748" t="s">
        <v>38</v>
      </c>
      <c r="D748" t="s">
        <v>39</v>
      </c>
      <c r="E748" t="s">
        <v>24</v>
      </c>
      <c r="F748" t="s">
        <v>20</v>
      </c>
      <c r="G748" t="s">
        <v>40</v>
      </c>
      <c r="H748" s="5">
        <v>500000</v>
      </c>
      <c r="I748" s="5">
        <v>425000</v>
      </c>
      <c r="J748" s="5">
        <v>75000</v>
      </c>
      <c r="K748" s="5">
        <f>Table2[[#This Row],[Advance Amount]]-Table2[[#This Row],[Expense Amount]]-Table2[[#This Row],[Return Amount]]</f>
        <v>0</v>
      </c>
      <c r="L748" s="5" t="str">
        <f>IF(Table2[[#This Row],[Outstanding]]=0,"Settled",IF(Table2[[#This Row],[Outstanding]]&gt;0,"Outstanding"))</f>
        <v>Settled</v>
      </c>
      <c r="M748" s="5" t="str">
        <f>IF(Table2[[#This Row],[Advance Amount]]=Table2[[#This Row],[Expense Amount]]+Table2[[#This Row],[Return Amount]]+Table2[[#This Row],[Outstanding]],"Ok","Check")</f>
        <v>Ok</v>
      </c>
      <c r="N748" s="11">
        <f>IF(Table2[[#This Row],[Status]]="Settled",0,$Q$2-Table2[[#This Row],[Date]])</f>
        <v>0</v>
      </c>
      <c r="O748" s="5" t="str">
        <f>IF(Table2[[#This Row],[Age Days]]&lt;=7,"Normal",IF(Table2[[#This Row],[Age Days]]&lt;=14,"Perlu Dipantau",IF(Table2[[#This Row],[Age Days]]&lt;=30,"Perlu Ditindaklanjuti","Overdue")))</f>
        <v>Normal</v>
      </c>
    </row>
    <row r="749" spans="1:15" x14ac:dyDescent="0.3">
      <c r="A749" t="s">
        <v>833</v>
      </c>
      <c r="B749" s="3">
        <v>46204</v>
      </c>
      <c r="C749" t="s">
        <v>44</v>
      </c>
      <c r="D749" t="s">
        <v>45</v>
      </c>
      <c r="E749" t="s">
        <v>43</v>
      </c>
      <c r="F749" t="s">
        <v>14</v>
      </c>
      <c r="G749" t="s">
        <v>58</v>
      </c>
      <c r="H749" s="5">
        <v>875000</v>
      </c>
      <c r="I749" s="5">
        <v>750000</v>
      </c>
      <c r="J749" s="5">
        <v>125000</v>
      </c>
      <c r="K749" s="5">
        <f>Table2[[#This Row],[Advance Amount]]-Table2[[#This Row],[Expense Amount]]-Table2[[#This Row],[Return Amount]]</f>
        <v>0</v>
      </c>
      <c r="L749" s="5" t="str">
        <f>IF(Table2[[#This Row],[Outstanding]]=0,"Settled",IF(Table2[[#This Row],[Outstanding]]&gt;0,"Outstanding"))</f>
        <v>Settled</v>
      </c>
      <c r="M749" s="5" t="str">
        <f>IF(Table2[[#This Row],[Advance Amount]]=Table2[[#This Row],[Expense Amount]]+Table2[[#This Row],[Return Amount]]+Table2[[#This Row],[Outstanding]],"Ok","Check")</f>
        <v>Ok</v>
      </c>
      <c r="N749" s="11">
        <f>IF(Table2[[#This Row],[Status]]="Settled",0,$Q$2-Table2[[#This Row],[Date]])</f>
        <v>0</v>
      </c>
      <c r="O749" s="5" t="str">
        <f>IF(Table2[[#This Row],[Age Days]]&lt;=7,"Normal",IF(Table2[[#This Row],[Age Days]]&lt;=14,"Perlu Dipantau",IF(Table2[[#This Row],[Age Days]]&lt;=30,"Perlu Ditindaklanjuti","Overdue")))</f>
        <v>Normal</v>
      </c>
    </row>
    <row r="750" spans="1:15" x14ac:dyDescent="0.3">
      <c r="A750" t="s">
        <v>834</v>
      </c>
      <c r="B750" s="3">
        <v>46204</v>
      </c>
      <c r="C750" t="s">
        <v>66</v>
      </c>
      <c r="D750" t="s">
        <v>67</v>
      </c>
      <c r="E750" t="s">
        <v>13</v>
      </c>
      <c r="F750" t="s">
        <v>14</v>
      </c>
      <c r="G750" t="s">
        <v>28</v>
      </c>
      <c r="H750" s="5">
        <v>355000</v>
      </c>
      <c r="I750" s="5">
        <v>275000</v>
      </c>
      <c r="J750" s="5">
        <v>80000</v>
      </c>
      <c r="K750" s="5">
        <f>Table2[[#This Row],[Advance Amount]]-Table2[[#This Row],[Expense Amount]]-Table2[[#This Row],[Return Amount]]</f>
        <v>0</v>
      </c>
      <c r="L750" s="5" t="str">
        <f>IF(Table2[[#This Row],[Outstanding]]=0,"Settled",IF(Table2[[#This Row],[Outstanding]]&gt;0,"Outstanding"))</f>
        <v>Settled</v>
      </c>
      <c r="M750" s="5" t="str">
        <f>IF(Table2[[#This Row],[Advance Amount]]=Table2[[#This Row],[Expense Amount]]+Table2[[#This Row],[Return Amount]]+Table2[[#This Row],[Outstanding]],"Ok","Check")</f>
        <v>Ok</v>
      </c>
      <c r="N750" s="11">
        <f>IF(Table2[[#This Row],[Status]]="Settled",0,$Q$2-Table2[[#This Row],[Date]])</f>
        <v>0</v>
      </c>
      <c r="O750" s="5" t="str">
        <f>IF(Table2[[#This Row],[Age Days]]&lt;=7,"Normal",IF(Table2[[#This Row],[Age Days]]&lt;=14,"Perlu Dipantau",IF(Table2[[#This Row],[Age Days]]&lt;=30,"Perlu Ditindaklanjuti","Overdue")))</f>
        <v>Normal</v>
      </c>
    </row>
    <row r="751" spans="1:15" x14ac:dyDescent="0.3">
      <c r="A751" t="s">
        <v>835</v>
      </c>
      <c r="B751" s="3">
        <v>46204</v>
      </c>
      <c r="C751" t="s">
        <v>22</v>
      </c>
      <c r="D751" t="s">
        <v>23</v>
      </c>
      <c r="E751" t="s">
        <v>24</v>
      </c>
      <c r="F751" t="s">
        <v>14</v>
      </c>
      <c r="G751" t="s">
        <v>40</v>
      </c>
      <c r="H751" s="5">
        <v>550000</v>
      </c>
      <c r="I751" s="5">
        <v>550000</v>
      </c>
      <c r="J751" s="5">
        <v>0</v>
      </c>
      <c r="K751" s="5">
        <f>Table2[[#This Row],[Advance Amount]]-Table2[[#This Row],[Expense Amount]]-Table2[[#This Row],[Return Amount]]</f>
        <v>0</v>
      </c>
      <c r="L751" s="5" t="str">
        <f>IF(Table2[[#This Row],[Outstanding]]=0,"Settled",IF(Table2[[#This Row],[Outstanding]]&gt;0,"Outstanding"))</f>
        <v>Settled</v>
      </c>
      <c r="M751" s="5" t="str">
        <f>IF(Table2[[#This Row],[Advance Amount]]=Table2[[#This Row],[Expense Amount]]+Table2[[#This Row],[Return Amount]]+Table2[[#This Row],[Outstanding]],"Ok","Check")</f>
        <v>Ok</v>
      </c>
      <c r="N751" s="11">
        <f>IF(Table2[[#This Row],[Status]]="Settled",0,$Q$2-Table2[[#This Row],[Date]])</f>
        <v>0</v>
      </c>
      <c r="O751" s="5" t="str">
        <f>IF(Table2[[#This Row],[Age Days]]&lt;=7,"Normal",IF(Table2[[#This Row],[Age Days]]&lt;=14,"Perlu Dipantau",IF(Table2[[#This Row],[Age Days]]&lt;=30,"Perlu Ditindaklanjuti","Overdue")))</f>
        <v>Normal</v>
      </c>
    </row>
    <row r="752" spans="1:15" x14ac:dyDescent="0.3">
      <c r="A752" t="s">
        <v>836</v>
      </c>
      <c r="B752" s="3">
        <v>46204</v>
      </c>
      <c r="C752" t="s">
        <v>22</v>
      </c>
      <c r="D752" t="s">
        <v>23</v>
      </c>
      <c r="E752" t="s">
        <v>24</v>
      </c>
      <c r="F752" t="s">
        <v>14</v>
      </c>
      <c r="G752" t="s">
        <v>31</v>
      </c>
      <c r="H752" s="5">
        <v>300000</v>
      </c>
      <c r="I752" s="5">
        <v>300000</v>
      </c>
      <c r="J752" s="5">
        <v>0</v>
      </c>
      <c r="K752" s="5">
        <f>Table2[[#This Row],[Advance Amount]]-Table2[[#This Row],[Expense Amount]]-Table2[[#This Row],[Return Amount]]</f>
        <v>0</v>
      </c>
      <c r="L752" s="5" t="str">
        <f>IF(Table2[[#This Row],[Outstanding]]=0,"Settled",IF(Table2[[#This Row],[Outstanding]]&gt;0,"Outstanding"))</f>
        <v>Settled</v>
      </c>
      <c r="M752" s="5" t="str">
        <f>IF(Table2[[#This Row],[Advance Amount]]=Table2[[#This Row],[Expense Amount]]+Table2[[#This Row],[Return Amount]]+Table2[[#This Row],[Outstanding]],"Ok","Check")</f>
        <v>Ok</v>
      </c>
      <c r="N752" s="11">
        <f>IF(Table2[[#This Row],[Status]]="Settled",0,$Q$2-Table2[[#This Row],[Date]])</f>
        <v>0</v>
      </c>
      <c r="O752" s="5" t="str">
        <f>IF(Table2[[#This Row],[Age Days]]&lt;=7,"Normal",IF(Table2[[#This Row],[Age Days]]&lt;=14,"Perlu Dipantau",IF(Table2[[#This Row],[Age Days]]&lt;=30,"Perlu Ditindaklanjuti","Overdue")))</f>
        <v>Normal</v>
      </c>
    </row>
    <row r="753" spans="1:15" x14ac:dyDescent="0.3">
      <c r="A753" t="s">
        <v>837</v>
      </c>
      <c r="B753" s="3">
        <v>46205</v>
      </c>
      <c r="C753" t="s">
        <v>11</v>
      </c>
      <c r="D753" t="s">
        <v>12</v>
      </c>
      <c r="E753" t="s">
        <v>13</v>
      </c>
      <c r="F753" t="s">
        <v>14</v>
      </c>
      <c r="G753" t="s">
        <v>40</v>
      </c>
      <c r="H753" s="5">
        <v>725000</v>
      </c>
      <c r="I753" s="5">
        <v>0</v>
      </c>
      <c r="J753" s="5">
        <v>0</v>
      </c>
      <c r="K753" s="5">
        <f>Table2[[#This Row],[Advance Amount]]-Table2[[#This Row],[Expense Amount]]-Table2[[#This Row],[Return Amount]]</f>
        <v>725000</v>
      </c>
      <c r="L753" s="5" t="str">
        <f>IF(Table2[[#This Row],[Outstanding]]=0,"Settled",IF(Table2[[#This Row],[Outstanding]]&gt;0,"Outstanding"))</f>
        <v>Outstanding</v>
      </c>
      <c r="M753" s="5" t="str">
        <f>IF(Table2[[#This Row],[Advance Amount]]=Table2[[#This Row],[Expense Amount]]+Table2[[#This Row],[Return Amount]]+Table2[[#This Row],[Outstanding]],"Ok","Check")</f>
        <v>Ok</v>
      </c>
      <c r="N753" s="11">
        <f>IF(Table2[[#This Row],[Status]]="Settled",0,$Q$2-Table2[[#This Row],[Date]])</f>
        <v>60</v>
      </c>
      <c r="O753" s="5" t="str">
        <f>IF(Table2[[#This Row],[Age Days]]&lt;=7,"Normal",IF(Table2[[#This Row],[Age Days]]&lt;=14,"Perlu Dipantau",IF(Table2[[#This Row],[Age Days]]&lt;=30,"Perlu Ditindaklanjuti","Overdue")))</f>
        <v>Overdue</v>
      </c>
    </row>
    <row r="754" spans="1:15" x14ac:dyDescent="0.3">
      <c r="A754" t="s">
        <v>838</v>
      </c>
      <c r="B754" s="3">
        <v>46205</v>
      </c>
      <c r="C754" t="s">
        <v>11</v>
      </c>
      <c r="D754" t="s">
        <v>12</v>
      </c>
      <c r="E754" t="s">
        <v>13</v>
      </c>
      <c r="F754" t="s">
        <v>14</v>
      </c>
      <c r="G754" t="s">
        <v>57</v>
      </c>
      <c r="H754" s="5">
        <v>430000</v>
      </c>
      <c r="I754" s="5">
        <v>375000</v>
      </c>
      <c r="J754" s="5">
        <v>55000</v>
      </c>
      <c r="K754" s="5">
        <f>Table2[[#This Row],[Advance Amount]]-Table2[[#This Row],[Expense Amount]]-Table2[[#This Row],[Return Amount]]</f>
        <v>0</v>
      </c>
      <c r="L754" s="5" t="str">
        <f>IF(Table2[[#This Row],[Outstanding]]=0,"Settled",IF(Table2[[#This Row],[Outstanding]]&gt;0,"Outstanding"))</f>
        <v>Settled</v>
      </c>
      <c r="M754" s="5" t="str">
        <f>IF(Table2[[#This Row],[Advance Amount]]=Table2[[#This Row],[Expense Amount]]+Table2[[#This Row],[Return Amount]]+Table2[[#This Row],[Outstanding]],"Ok","Check")</f>
        <v>Ok</v>
      </c>
      <c r="N754" s="11">
        <f>IF(Table2[[#This Row],[Status]]="Settled",0,$Q$2-Table2[[#This Row],[Date]])</f>
        <v>0</v>
      </c>
      <c r="O754" s="5" t="str">
        <f>IF(Table2[[#This Row],[Age Days]]&lt;=7,"Normal",IF(Table2[[#This Row],[Age Days]]&lt;=14,"Perlu Dipantau",IF(Table2[[#This Row],[Age Days]]&lt;=30,"Perlu Ditindaklanjuti","Overdue")))</f>
        <v>Normal</v>
      </c>
    </row>
    <row r="755" spans="1:15" x14ac:dyDescent="0.3">
      <c r="A755" t="s">
        <v>839</v>
      </c>
      <c r="B755" s="3">
        <v>46205</v>
      </c>
      <c r="C755" t="s">
        <v>38</v>
      </c>
      <c r="D755" t="s">
        <v>39</v>
      </c>
      <c r="E755" t="s">
        <v>24</v>
      </c>
      <c r="F755" t="s">
        <v>20</v>
      </c>
      <c r="G755" t="s">
        <v>28</v>
      </c>
      <c r="H755" s="5">
        <v>430000</v>
      </c>
      <c r="I755" s="5">
        <v>425000</v>
      </c>
      <c r="J755" s="5">
        <v>5000</v>
      </c>
      <c r="K755" s="5">
        <f>Table2[[#This Row],[Advance Amount]]-Table2[[#This Row],[Expense Amount]]-Table2[[#This Row],[Return Amount]]</f>
        <v>0</v>
      </c>
      <c r="L755" s="5" t="str">
        <f>IF(Table2[[#This Row],[Outstanding]]=0,"Settled",IF(Table2[[#This Row],[Outstanding]]&gt;0,"Outstanding"))</f>
        <v>Settled</v>
      </c>
      <c r="M755" s="5" t="str">
        <f>IF(Table2[[#This Row],[Advance Amount]]=Table2[[#This Row],[Expense Amount]]+Table2[[#This Row],[Return Amount]]+Table2[[#This Row],[Outstanding]],"Ok","Check")</f>
        <v>Ok</v>
      </c>
      <c r="N755" s="11">
        <f>IF(Table2[[#This Row],[Status]]="Settled",0,$Q$2-Table2[[#This Row],[Date]])</f>
        <v>0</v>
      </c>
      <c r="O755" s="5" t="str">
        <f>IF(Table2[[#This Row],[Age Days]]&lt;=7,"Normal",IF(Table2[[#This Row],[Age Days]]&lt;=14,"Perlu Dipantau",IF(Table2[[#This Row],[Age Days]]&lt;=30,"Perlu Ditindaklanjuti","Overdue")))</f>
        <v>Normal</v>
      </c>
    </row>
    <row r="756" spans="1:15" x14ac:dyDescent="0.3">
      <c r="A756" t="s">
        <v>840</v>
      </c>
      <c r="B756" s="3">
        <v>46206</v>
      </c>
      <c r="C756" t="s">
        <v>32</v>
      </c>
      <c r="D756" t="s">
        <v>33</v>
      </c>
      <c r="E756" t="s">
        <v>27</v>
      </c>
      <c r="F756" t="s">
        <v>14</v>
      </c>
      <c r="G756" t="s">
        <v>58</v>
      </c>
      <c r="H756" s="5">
        <v>775000</v>
      </c>
      <c r="I756" s="5">
        <v>675000</v>
      </c>
      <c r="J756" s="5">
        <v>100000</v>
      </c>
      <c r="K756" s="5">
        <f>Table2[[#This Row],[Advance Amount]]-Table2[[#This Row],[Expense Amount]]-Table2[[#This Row],[Return Amount]]</f>
        <v>0</v>
      </c>
      <c r="L756" s="5" t="str">
        <f>IF(Table2[[#This Row],[Outstanding]]=0,"Settled",IF(Table2[[#This Row],[Outstanding]]&gt;0,"Outstanding"))</f>
        <v>Settled</v>
      </c>
      <c r="M756" s="5" t="str">
        <f>IF(Table2[[#This Row],[Advance Amount]]=Table2[[#This Row],[Expense Amount]]+Table2[[#This Row],[Return Amount]]+Table2[[#This Row],[Outstanding]],"Ok","Check")</f>
        <v>Ok</v>
      </c>
      <c r="N756" s="11">
        <f>IF(Table2[[#This Row],[Status]]="Settled",0,$Q$2-Table2[[#This Row],[Date]])</f>
        <v>0</v>
      </c>
      <c r="O756" s="5" t="str">
        <f>IF(Table2[[#This Row],[Age Days]]&lt;=7,"Normal",IF(Table2[[#This Row],[Age Days]]&lt;=14,"Perlu Dipantau",IF(Table2[[#This Row],[Age Days]]&lt;=30,"Perlu Ditindaklanjuti","Overdue")))</f>
        <v>Normal</v>
      </c>
    </row>
    <row r="757" spans="1:15" x14ac:dyDescent="0.3">
      <c r="A757" t="s">
        <v>841</v>
      </c>
      <c r="B757" s="3">
        <v>46206</v>
      </c>
      <c r="C757" t="s">
        <v>48</v>
      </c>
      <c r="D757" t="s">
        <v>49</v>
      </c>
      <c r="E757" t="s">
        <v>19</v>
      </c>
      <c r="F757" t="s">
        <v>14</v>
      </c>
      <c r="G757" t="s">
        <v>40</v>
      </c>
      <c r="H757" s="5">
        <v>425000</v>
      </c>
      <c r="I757" s="5">
        <v>425000</v>
      </c>
      <c r="J757" s="5">
        <v>0</v>
      </c>
      <c r="K757" s="5">
        <f>Table2[[#This Row],[Advance Amount]]-Table2[[#This Row],[Expense Amount]]-Table2[[#This Row],[Return Amount]]</f>
        <v>0</v>
      </c>
      <c r="L757" s="5" t="str">
        <f>IF(Table2[[#This Row],[Outstanding]]=0,"Settled",IF(Table2[[#This Row],[Outstanding]]&gt;0,"Outstanding"))</f>
        <v>Settled</v>
      </c>
      <c r="M757" s="5" t="str">
        <f>IF(Table2[[#This Row],[Advance Amount]]=Table2[[#This Row],[Expense Amount]]+Table2[[#This Row],[Return Amount]]+Table2[[#This Row],[Outstanding]],"Ok","Check")</f>
        <v>Ok</v>
      </c>
      <c r="N757" s="11">
        <f>IF(Table2[[#This Row],[Status]]="Settled",0,$Q$2-Table2[[#This Row],[Date]])</f>
        <v>0</v>
      </c>
      <c r="O757" s="5" t="str">
        <f>IF(Table2[[#This Row],[Age Days]]&lt;=7,"Normal",IF(Table2[[#This Row],[Age Days]]&lt;=14,"Perlu Dipantau",IF(Table2[[#This Row],[Age Days]]&lt;=30,"Perlu Ditindaklanjuti","Overdue")))</f>
        <v>Normal</v>
      </c>
    </row>
    <row r="758" spans="1:15" x14ac:dyDescent="0.3">
      <c r="A758" t="s">
        <v>842</v>
      </c>
      <c r="B758" s="3">
        <v>46206</v>
      </c>
      <c r="C758" t="s">
        <v>25</v>
      </c>
      <c r="D758" t="s">
        <v>26</v>
      </c>
      <c r="E758" t="s">
        <v>27</v>
      </c>
      <c r="F758" t="s">
        <v>14</v>
      </c>
      <c r="G758" t="s">
        <v>58</v>
      </c>
      <c r="H758" s="5">
        <v>350000</v>
      </c>
      <c r="I758" s="5">
        <v>350000</v>
      </c>
      <c r="J758" s="5">
        <v>0</v>
      </c>
      <c r="K758" s="5">
        <f>Table2[[#This Row],[Advance Amount]]-Table2[[#This Row],[Expense Amount]]-Table2[[#This Row],[Return Amount]]</f>
        <v>0</v>
      </c>
      <c r="L758" s="5" t="str">
        <f>IF(Table2[[#This Row],[Outstanding]]=0,"Settled",IF(Table2[[#This Row],[Outstanding]]&gt;0,"Outstanding"))</f>
        <v>Settled</v>
      </c>
      <c r="M758" s="5" t="str">
        <f>IF(Table2[[#This Row],[Advance Amount]]=Table2[[#This Row],[Expense Amount]]+Table2[[#This Row],[Return Amount]]+Table2[[#This Row],[Outstanding]],"Ok","Check")</f>
        <v>Ok</v>
      </c>
      <c r="N758" s="11">
        <f>IF(Table2[[#This Row],[Status]]="Settled",0,$Q$2-Table2[[#This Row],[Date]])</f>
        <v>0</v>
      </c>
      <c r="O758" s="5" t="str">
        <f>IF(Table2[[#This Row],[Age Days]]&lt;=7,"Normal",IF(Table2[[#This Row],[Age Days]]&lt;=14,"Perlu Dipantau",IF(Table2[[#This Row],[Age Days]]&lt;=30,"Perlu Ditindaklanjuti","Overdue")))</f>
        <v>Normal</v>
      </c>
    </row>
    <row r="759" spans="1:15" x14ac:dyDescent="0.3">
      <c r="A759" t="s">
        <v>843</v>
      </c>
      <c r="B759" s="3">
        <v>46207</v>
      </c>
      <c r="C759" t="s">
        <v>32</v>
      </c>
      <c r="D759" t="s">
        <v>33</v>
      </c>
      <c r="E759" t="s">
        <v>27</v>
      </c>
      <c r="F759" t="s">
        <v>20</v>
      </c>
      <c r="G759" t="s">
        <v>57</v>
      </c>
      <c r="H759" s="5">
        <v>55000</v>
      </c>
      <c r="I759" s="5">
        <v>50000</v>
      </c>
      <c r="J759" s="5">
        <v>5000</v>
      </c>
      <c r="K759" s="5">
        <f>Table2[[#This Row],[Advance Amount]]-Table2[[#This Row],[Expense Amount]]-Table2[[#This Row],[Return Amount]]</f>
        <v>0</v>
      </c>
      <c r="L759" s="5" t="str">
        <f>IF(Table2[[#This Row],[Outstanding]]=0,"Settled",IF(Table2[[#This Row],[Outstanding]]&gt;0,"Outstanding"))</f>
        <v>Settled</v>
      </c>
      <c r="M759" s="5" t="str">
        <f>IF(Table2[[#This Row],[Advance Amount]]=Table2[[#This Row],[Expense Amount]]+Table2[[#This Row],[Return Amount]]+Table2[[#This Row],[Outstanding]],"Ok","Check")</f>
        <v>Ok</v>
      </c>
      <c r="N759" s="11">
        <f>IF(Table2[[#This Row],[Status]]="Settled",0,$Q$2-Table2[[#This Row],[Date]])</f>
        <v>0</v>
      </c>
      <c r="O759" s="5" t="str">
        <f>IF(Table2[[#This Row],[Age Days]]&lt;=7,"Normal",IF(Table2[[#This Row],[Age Days]]&lt;=14,"Perlu Dipantau",IF(Table2[[#This Row],[Age Days]]&lt;=30,"Perlu Ditindaklanjuti","Overdue")))</f>
        <v>Normal</v>
      </c>
    </row>
    <row r="760" spans="1:15" x14ac:dyDescent="0.3">
      <c r="A760" t="s">
        <v>844</v>
      </c>
      <c r="B760" s="3">
        <v>46207</v>
      </c>
      <c r="C760" t="s">
        <v>62</v>
      </c>
      <c r="D760" t="s">
        <v>63</v>
      </c>
      <c r="E760" t="s">
        <v>52</v>
      </c>
      <c r="F760" t="s">
        <v>20</v>
      </c>
      <c r="G760" t="s">
        <v>34</v>
      </c>
      <c r="H760" s="5">
        <v>125000</v>
      </c>
      <c r="I760" s="5">
        <v>125000</v>
      </c>
      <c r="J760" s="5">
        <v>0</v>
      </c>
      <c r="K760" s="5">
        <f>Table2[[#This Row],[Advance Amount]]-Table2[[#This Row],[Expense Amount]]-Table2[[#This Row],[Return Amount]]</f>
        <v>0</v>
      </c>
      <c r="L760" s="5" t="str">
        <f>IF(Table2[[#This Row],[Outstanding]]=0,"Settled",IF(Table2[[#This Row],[Outstanding]]&gt;0,"Outstanding"))</f>
        <v>Settled</v>
      </c>
      <c r="M760" s="5" t="str">
        <f>IF(Table2[[#This Row],[Advance Amount]]=Table2[[#This Row],[Expense Amount]]+Table2[[#This Row],[Return Amount]]+Table2[[#This Row],[Outstanding]],"Ok","Check")</f>
        <v>Ok</v>
      </c>
      <c r="N760" s="11">
        <f>IF(Table2[[#This Row],[Status]]="Settled",0,$Q$2-Table2[[#This Row],[Date]])</f>
        <v>0</v>
      </c>
      <c r="O760" s="5" t="str">
        <f>IF(Table2[[#This Row],[Age Days]]&lt;=7,"Normal",IF(Table2[[#This Row],[Age Days]]&lt;=14,"Perlu Dipantau",IF(Table2[[#This Row],[Age Days]]&lt;=30,"Perlu Ditindaklanjuti","Overdue")))</f>
        <v>Normal</v>
      </c>
    </row>
    <row r="761" spans="1:15" x14ac:dyDescent="0.3">
      <c r="A761" t="s">
        <v>845</v>
      </c>
      <c r="B761" s="3">
        <v>46207</v>
      </c>
      <c r="C761" t="s">
        <v>41</v>
      </c>
      <c r="D761" t="s">
        <v>42</v>
      </c>
      <c r="E761" t="s">
        <v>43</v>
      </c>
      <c r="F761" t="s">
        <v>14</v>
      </c>
      <c r="G761" t="s">
        <v>15</v>
      </c>
      <c r="H761" s="5">
        <v>3725000</v>
      </c>
      <c r="I761" s="5">
        <v>0</v>
      </c>
      <c r="J761" s="5">
        <v>0</v>
      </c>
      <c r="K761" s="5">
        <f>Table2[[#This Row],[Advance Amount]]-Table2[[#This Row],[Expense Amount]]-Table2[[#This Row],[Return Amount]]</f>
        <v>3725000</v>
      </c>
      <c r="L761" s="5" t="str">
        <f>IF(Table2[[#This Row],[Outstanding]]=0,"Settled",IF(Table2[[#This Row],[Outstanding]]&gt;0,"Outstanding"))</f>
        <v>Outstanding</v>
      </c>
      <c r="M761" s="5" t="str">
        <f>IF(Table2[[#This Row],[Advance Amount]]=Table2[[#This Row],[Expense Amount]]+Table2[[#This Row],[Return Amount]]+Table2[[#This Row],[Outstanding]],"Ok","Check")</f>
        <v>Ok</v>
      </c>
      <c r="N761" s="11">
        <f>IF(Table2[[#This Row],[Status]]="Settled",0,$Q$2-Table2[[#This Row],[Date]])</f>
        <v>58</v>
      </c>
      <c r="O761" s="5" t="str">
        <f>IF(Table2[[#This Row],[Age Days]]&lt;=7,"Normal",IF(Table2[[#This Row],[Age Days]]&lt;=14,"Perlu Dipantau",IF(Table2[[#This Row],[Age Days]]&lt;=30,"Perlu Ditindaklanjuti","Overdue")))</f>
        <v>Overdue</v>
      </c>
    </row>
    <row r="762" spans="1:15" x14ac:dyDescent="0.3">
      <c r="A762" t="s">
        <v>846</v>
      </c>
      <c r="B762" s="3">
        <v>46207</v>
      </c>
      <c r="C762" t="s">
        <v>68</v>
      </c>
      <c r="D762" t="s">
        <v>69</v>
      </c>
      <c r="E762" t="s">
        <v>27</v>
      </c>
      <c r="F762" t="s">
        <v>20</v>
      </c>
      <c r="G762" t="s">
        <v>28</v>
      </c>
      <c r="H762" s="5">
        <v>30000</v>
      </c>
      <c r="I762" s="5">
        <v>0</v>
      </c>
      <c r="J762" s="5">
        <v>0</v>
      </c>
      <c r="K762" s="5">
        <f>Table2[[#This Row],[Advance Amount]]-Table2[[#This Row],[Expense Amount]]-Table2[[#This Row],[Return Amount]]</f>
        <v>30000</v>
      </c>
      <c r="L762" s="5" t="str">
        <f>IF(Table2[[#This Row],[Outstanding]]=0,"Settled",IF(Table2[[#This Row],[Outstanding]]&gt;0,"Outstanding"))</f>
        <v>Outstanding</v>
      </c>
      <c r="M762" s="5" t="str">
        <f>IF(Table2[[#This Row],[Advance Amount]]=Table2[[#This Row],[Expense Amount]]+Table2[[#This Row],[Return Amount]]+Table2[[#This Row],[Outstanding]],"Ok","Check")</f>
        <v>Ok</v>
      </c>
      <c r="N762" s="11">
        <f>IF(Table2[[#This Row],[Status]]="Settled",0,$Q$2-Table2[[#This Row],[Date]])</f>
        <v>58</v>
      </c>
      <c r="O762" s="5" t="str">
        <f>IF(Table2[[#This Row],[Age Days]]&lt;=7,"Normal",IF(Table2[[#This Row],[Age Days]]&lt;=14,"Perlu Dipantau",IF(Table2[[#This Row],[Age Days]]&lt;=30,"Perlu Ditindaklanjuti","Overdue")))</f>
        <v>Overdue</v>
      </c>
    </row>
    <row r="763" spans="1:15" x14ac:dyDescent="0.3">
      <c r="A763" t="s">
        <v>847</v>
      </c>
      <c r="B763" s="3">
        <v>46208</v>
      </c>
      <c r="C763" t="s">
        <v>55</v>
      </c>
      <c r="D763" t="s">
        <v>56</v>
      </c>
      <c r="E763" t="s">
        <v>24</v>
      </c>
      <c r="F763" t="s">
        <v>14</v>
      </c>
      <c r="G763" t="s">
        <v>61</v>
      </c>
      <c r="H763" s="5">
        <v>400000</v>
      </c>
      <c r="I763" s="5">
        <v>0</v>
      </c>
      <c r="J763" s="5">
        <v>0</v>
      </c>
      <c r="K763" s="5">
        <f>Table2[[#This Row],[Advance Amount]]-Table2[[#This Row],[Expense Amount]]-Table2[[#This Row],[Return Amount]]</f>
        <v>400000</v>
      </c>
      <c r="L763" s="5" t="str">
        <f>IF(Table2[[#This Row],[Outstanding]]=0,"Settled",IF(Table2[[#This Row],[Outstanding]]&gt;0,"Outstanding"))</f>
        <v>Outstanding</v>
      </c>
      <c r="M763" s="5" t="str">
        <f>IF(Table2[[#This Row],[Advance Amount]]=Table2[[#This Row],[Expense Amount]]+Table2[[#This Row],[Return Amount]]+Table2[[#This Row],[Outstanding]],"Ok","Check")</f>
        <v>Ok</v>
      </c>
      <c r="N763" s="11">
        <f>IF(Table2[[#This Row],[Status]]="Settled",0,$Q$2-Table2[[#This Row],[Date]])</f>
        <v>57</v>
      </c>
      <c r="O763" s="5" t="str">
        <f>IF(Table2[[#This Row],[Age Days]]&lt;=7,"Normal",IF(Table2[[#This Row],[Age Days]]&lt;=14,"Perlu Dipantau",IF(Table2[[#This Row],[Age Days]]&lt;=30,"Perlu Ditindaklanjuti","Overdue")))</f>
        <v>Overdue</v>
      </c>
    </row>
    <row r="764" spans="1:15" x14ac:dyDescent="0.3">
      <c r="A764" t="s">
        <v>848</v>
      </c>
      <c r="B764" s="3">
        <v>46208</v>
      </c>
      <c r="C764" t="s">
        <v>17</v>
      </c>
      <c r="D764" t="s">
        <v>18</v>
      </c>
      <c r="E764" t="s">
        <v>19</v>
      </c>
      <c r="F764" t="s">
        <v>14</v>
      </c>
      <c r="G764" t="s">
        <v>40</v>
      </c>
      <c r="H764" s="5">
        <v>900000</v>
      </c>
      <c r="I764" s="5">
        <v>675000</v>
      </c>
      <c r="J764" s="5">
        <v>225000</v>
      </c>
      <c r="K764" s="5">
        <f>Table2[[#This Row],[Advance Amount]]-Table2[[#This Row],[Expense Amount]]-Table2[[#This Row],[Return Amount]]</f>
        <v>0</v>
      </c>
      <c r="L764" s="5" t="str">
        <f>IF(Table2[[#This Row],[Outstanding]]=0,"Settled",IF(Table2[[#This Row],[Outstanding]]&gt;0,"Outstanding"))</f>
        <v>Settled</v>
      </c>
      <c r="M764" s="5" t="str">
        <f>IF(Table2[[#This Row],[Advance Amount]]=Table2[[#This Row],[Expense Amount]]+Table2[[#This Row],[Return Amount]]+Table2[[#This Row],[Outstanding]],"Ok","Check")</f>
        <v>Ok</v>
      </c>
      <c r="N764" s="11">
        <f>IF(Table2[[#This Row],[Status]]="Settled",0,$Q$2-Table2[[#This Row],[Date]])</f>
        <v>0</v>
      </c>
      <c r="O764" s="5" t="str">
        <f>IF(Table2[[#This Row],[Age Days]]&lt;=7,"Normal",IF(Table2[[#This Row],[Age Days]]&lt;=14,"Perlu Dipantau",IF(Table2[[#This Row],[Age Days]]&lt;=30,"Perlu Ditindaklanjuti","Overdue")))</f>
        <v>Normal</v>
      </c>
    </row>
    <row r="765" spans="1:15" x14ac:dyDescent="0.3">
      <c r="A765" t="s">
        <v>849</v>
      </c>
      <c r="B765" s="3">
        <v>46208</v>
      </c>
      <c r="C765" t="s">
        <v>22</v>
      </c>
      <c r="D765" t="s">
        <v>23</v>
      </c>
      <c r="E765" t="s">
        <v>24</v>
      </c>
      <c r="F765" t="s">
        <v>20</v>
      </c>
      <c r="G765" t="s">
        <v>61</v>
      </c>
      <c r="H765" s="5">
        <v>400000</v>
      </c>
      <c r="I765" s="5">
        <v>375000</v>
      </c>
      <c r="J765" s="5">
        <v>25000</v>
      </c>
      <c r="K765" s="5">
        <f>Table2[[#This Row],[Advance Amount]]-Table2[[#This Row],[Expense Amount]]-Table2[[#This Row],[Return Amount]]</f>
        <v>0</v>
      </c>
      <c r="L765" s="5" t="str">
        <f>IF(Table2[[#This Row],[Outstanding]]=0,"Settled",IF(Table2[[#This Row],[Outstanding]]&gt;0,"Outstanding"))</f>
        <v>Settled</v>
      </c>
      <c r="M765" s="5" t="str">
        <f>IF(Table2[[#This Row],[Advance Amount]]=Table2[[#This Row],[Expense Amount]]+Table2[[#This Row],[Return Amount]]+Table2[[#This Row],[Outstanding]],"Ok","Check")</f>
        <v>Ok</v>
      </c>
      <c r="N765" s="11">
        <f>IF(Table2[[#This Row],[Status]]="Settled",0,$Q$2-Table2[[#This Row],[Date]])</f>
        <v>0</v>
      </c>
      <c r="O765" s="5" t="str">
        <f>IF(Table2[[#This Row],[Age Days]]&lt;=7,"Normal",IF(Table2[[#This Row],[Age Days]]&lt;=14,"Perlu Dipantau",IF(Table2[[#This Row],[Age Days]]&lt;=30,"Perlu Ditindaklanjuti","Overdue")))</f>
        <v>Normal</v>
      </c>
    </row>
    <row r="766" spans="1:15" x14ac:dyDescent="0.3">
      <c r="A766" t="s">
        <v>850</v>
      </c>
      <c r="B766" s="3">
        <v>46208</v>
      </c>
      <c r="C766" t="s">
        <v>22</v>
      </c>
      <c r="D766" t="s">
        <v>23</v>
      </c>
      <c r="E766" t="s">
        <v>24</v>
      </c>
      <c r="F766" t="s">
        <v>14</v>
      </c>
      <c r="G766" t="s">
        <v>58</v>
      </c>
      <c r="H766" s="5">
        <v>925000</v>
      </c>
      <c r="I766" s="5">
        <v>700000</v>
      </c>
      <c r="J766" s="5">
        <v>225000</v>
      </c>
      <c r="K766" s="5">
        <f>Table2[[#This Row],[Advance Amount]]-Table2[[#This Row],[Expense Amount]]-Table2[[#This Row],[Return Amount]]</f>
        <v>0</v>
      </c>
      <c r="L766" s="5" t="str">
        <f>IF(Table2[[#This Row],[Outstanding]]=0,"Settled",IF(Table2[[#This Row],[Outstanding]]&gt;0,"Outstanding"))</f>
        <v>Settled</v>
      </c>
      <c r="M766" s="5" t="str">
        <f>IF(Table2[[#This Row],[Advance Amount]]=Table2[[#This Row],[Expense Amount]]+Table2[[#This Row],[Return Amount]]+Table2[[#This Row],[Outstanding]],"Ok","Check")</f>
        <v>Ok</v>
      </c>
      <c r="N766" s="11">
        <f>IF(Table2[[#This Row],[Status]]="Settled",0,$Q$2-Table2[[#This Row],[Date]])</f>
        <v>0</v>
      </c>
      <c r="O766" s="5" t="str">
        <f>IF(Table2[[#This Row],[Age Days]]&lt;=7,"Normal",IF(Table2[[#This Row],[Age Days]]&lt;=14,"Perlu Dipantau",IF(Table2[[#This Row],[Age Days]]&lt;=30,"Perlu Ditindaklanjuti","Overdue")))</f>
        <v>Normal</v>
      </c>
    </row>
    <row r="767" spans="1:15" x14ac:dyDescent="0.3">
      <c r="A767" t="s">
        <v>851</v>
      </c>
      <c r="B767" s="3">
        <v>46209</v>
      </c>
      <c r="C767" t="s">
        <v>32</v>
      </c>
      <c r="D767" t="s">
        <v>33</v>
      </c>
      <c r="E767" t="s">
        <v>27</v>
      </c>
      <c r="F767" t="s">
        <v>20</v>
      </c>
      <c r="G767" t="s">
        <v>31</v>
      </c>
      <c r="H767" s="5">
        <v>1000000</v>
      </c>
      <c r="I767" s="5">
        <v>875000</v>
      </c>
      <c r="J767" s="5">
        <v>125000</v>
      </c>
      <c r="K767" s="5">
        <f>Table2[[#This Row],[Advance Amount]]-Table2[[#This Row],[Expense Amount]]-Table2[[#This Row],[Return Amount]]</f>
        <v>0</v>
      </c>
      <c r="L767" s="5" t="str">
        <f>IF(Table2[[#This Row],[Outstanding]]=0,"Settled",IF(Table2[[#This Row],[Outstanding]]&gt;0,"Outstanding"))</f>
        <v>Settled</v>
      </c>
      <c r="M767" s="5" t="str">
        <f>IF(Table2[[#This Row],[Advance Amount]]=Table2[[#This Row],[Expense Amount]]+Table2[[#This Row],[Return Amount]]+Table2[[#This Row],[Outstanding]],"Ok","Check")</f>
        <v>Ok</v>
      </c>
      <c r="N767" s="11">
        <f>IF(Table2[[#This Row],[Status]]="Settled",0,$Q$2-Table2[[#This Row],[Date]])</f>
        <v>0</v>
      </c>
      <c r="O767" s="5" t="str">
        <f>IF(Table2[[#This Row],[Age Days]]&lt;=7,"Normal",IF(Table2[[#This Row],[Age Days]]&lt;=14,"Perlu Dipantau",IF(Table2[[#This Row],[Age Days]]&lt;=30,"Perlu Ditindaklanjuti","Overdue")))</f>
        <v>Normal</v>
      </c>
    </row>
    <row r="768" spans="1:15" x14ac:dyDescent="0.3">
      <c r="A768" t="s">
        <v>852</v>
      </c>
      <c r="B768" s="3">
        <v>46209</v>
      </c>
      <c r="C768" t="s">
        <v>38</v>
      </c>
      <c r="D768" t="s">
        <v>39</v>
      </c>
      <c r="E768" t="s">
        <v>24</v>
      </c>
      <c r="F768" t="s">
        <v>14</v>
      </c>
      <c r="G768" t="s">
        <v>15</v>
      </c>
      <c r="H768" s="5">
        <v>500000</v>
      </c>
      <c r="I768" s="5">
        <v>475000</v>
      </c>
      <c r="J768" s="5">
        <v>25000</v>
      </c>
      <c r="K768" s="5">
        <f>Table2[[#This Row],[Advance Amount]]-Table2[[#This Row],[Expense Amount]]-Table2[[#This Row],[Return Amount]]</f>
        <v>0</v>
      </c>
      <c r="L768" s="5" t="str">
        <f>IF(Table2[[#This Row],[Outstanding]]=0,"Settled",IF(Table2[[#This Row],[Outstanding]]&gt;0,"Outstanding"))</f>
        <v>Settled</v>
      </c>
      <c r="M768" s="5" t="str">
        <f>IF(Table2[[#This Row],[Advance Amount]]=Table2[[#This Row],[Expense Amount]]+Table2[[#This Row],[Return Amount]]+Table2[[#This Row],[Outstanding]],"Ok","Check")</f>
        <v>Ok</v>
      </c>
      <c r="N768" s="11">
        <f>IF(Table2[[#This Row],[Status]]="Settled",0,$Q$2-Table2[[#This Row],[Date]])</f>
        <v>0</v>
      </c>
      <c r="O768" s="5" t="str">
        <f>IF(Table2[[#This Row],[Age Days]]&lt;=7,"Normal",IF(Table2[[#This Row],[Age Days]]&lt;=14,"Perlu Dipantau",IF(Table2[[#This Row],[Age Days]]&lt;=30,"Perlu Ditindaklanjuti","Overdue")))</f>
        <v>Normal</v>
      </c>
    </row>
    <row r="769" spans="1:15" x14ac:dyDescent="0.3">
      <c r="A769" t="s">
        <v>853</v>
      </c>
      <c r="B769" s="3">
        <v>46209</v>
      </c>
      <c r="C769" t="s">
        <v>59</v>
      </c>
      <c r="D769" t="s">
        <v>60</v>
      </c>
      <c r="E769" t="s">
        <v>19</v>
      </c>
      <c r="F769" t="s">
        <v>20</v>
      </c>
      <c r="G769" t="s">
        <v>40</v>
      </c>
      <c r="H769" s="5">
        <v>400000</v>
      </c>
      <c r="I769" s="5">
        <v>350000</v>
      </c>
      <c r="J769" s="5">
        <v>50000</v>
      </c>
      <c r="K769" s="5">
        <f>Table2[[#This Row],[Advance Amount]]-Table2[[#This Row],[Expense Amount]]-Table2[[#This Row],[Return Amount]]</f>
        <v>0</v>
      </c>
      <c r="L769" s="5" t="str">
        <f>IF(Table2[[#This Row],[Outstanding]]=0,"Settled",IF(Table2[[#This Row],[Outstanding]]&gt;0,"Outstanding"))</f>
        <v>Settled</v>
      </c>
      <c r="M769" s="5" t="str">
        <f>IF(Table2[[#This Row],[Advance Amount]]=Table2[[#This Row],[Expense Amount]]+Table2[[#This Row],[Return Amount]]+Table2[[#This Row],[Outstanding]],"Ok","Check")</f>
        <v>Ok</v>
      </c>
      <c r="N769" s="11">
        <f>IF(Table2[[#This Row],[Status]]="Settled",0,$Q$2-Table2[[#This Row],[Date]])</f>
        <v>0</v>
      </c>
      <c r="O769" s="5" t="str">
        <f>IF(Table2[[#This Row],[Age Days]]&lt;=7,"Normal",IF(Table2[[#This Row],[Age Days]]&lt;=14,"Perlu Dipantau",IF(Table2[[#This Row],[Age Days]]&lt;=30,"Perlu Ditindaklanjuti","Overdue")))</f>
        <v>Normal</v>
      </c>
    </row>
    <row r="770" spans="1:15" x14ac:dyDescent="0.3">
      <c r="A770" t="s">
        <v>854</v>
      </c>
      <c r="B770" s="3">
        <v>46210</v>
      </c>
      <c r="C770" t="s">
        <v>29</v>
      </c>
      <c r="D770" t="s">
        <v>30</v>
      </c>
      <c r="E770" t="s">
        <v>13</v>
      </c>
      <c r="F770" t="s">
        <v>20</v>
      </c>
      <c r="G770" t="s">
        <v>34</v>
      </c>
      <c r="H770" s="5">
        <v>350000</v>
      </c>
      <c r="I770" s="5">
        <v>250000</v>
      </c>
      <c r="J770" s="5">
        <v>100000</v>
      </c>
      <c r="K770" s="5">
        <f>Table2[[#This Row],[Advance Amount]]-Table2[[#This Row],[Expense Amount]]-Table2[[#This Row],[Return Amount]]</f>
        <v>0</v>
      </c>
      <c r="L770" s="5" t="str">
        <f>IF(Table2[[#This Row],[Outstanding]]=0,"Settled",IF(Table2[[#This Row],[Outstanding]]&gt;0,"Outstanding"))</f>
        <v>Settled</v>
      </c>
      <c r="M770" s="5" t="str">
        <f>IF(Table2[[#This Row],[Advance Amount]]=Table2[[#This Row],[Expense Amount]]+Table2[[#This Row],[Return Amount]]+Table2[[#This Row],[Outstanding]],"Ok","Check")</f>
        <v>Ok</v>
      </c>
      <c r="N770" s="11">
        <f>IF(Table2[[#This Row],[Status]]="Settled",0,$Q$2-Table2[[#This Row],[Date]])</f>
        <v>0</v>
      </c>
      <c r="O770" s="5" t="str">
        <f>IF(Table2[[#This Row],[Age Days]]&lt;=7,"Normal",IF(Table2[[#This Row],[Age Days]]&lt;=14,"Perlu Dipantau",IF(Table2[[#This Row],[Age Days]]&lt;=30,"Perlu Ditindaklanjuti","Overdue")))</f>
        <v>Normal</v>
      </c>
    </row>
    <row r="771" spans="1:15" x14ac:dyDescent="0.3">
      <c r="A771" t="s">
        <v>855</v>
      </c>
      <c r="B771" s="3">
        <v>46210</v>
      </c>
      <c r="C771" t="s">
        <v>59</v>
      </c>
      <c r="D771" t="s">
        <v>60</v>
      </c>
      <c r="E771" t="s">
        <v>19</v>
      </c>
      <c r="F771" t="s">
        <v>20</v>
      </c>
      <c r="G771" t="s">
        <v>34</v>
      </c>
      <c r="H771" s="5">
        <v>425000</v>
      </c>
      <c r="I771" s="5">
        <v>400000</v>
      </c>
      <c r="J771" s="5">
        <v>25000</v>
      </c>
      <c r="K771" s="5">
        <f>Table2[[#This Row],[Advance Amount]]-Table2[[#This Row],[Expense Amount]]-Table2[[#This Row],[Return Amount]]</f>
        <v>0</v>
      </c>
      <c r="L771" s="5" t="str">
        <f>IF(Table2[[#This Row],[Outstanding]]=0,"Settled",IF(Table2[[#This Row],[Outstanding]]&gt;0,"Outstanding"))</f>
        <v>Settled</v>
      </c>
      <c r="M771" s="5" t="str">
        <f>IF(Table2[[#This Row],[Advance Amount]]=Table2[[#This Row],[Expense Amount]]+Table2[[#This Row],[Return Amount]]+Table2[[#This Row],[Outstanding]],"Ok","Check")</f>
        <v>Ok</v>
      </c>
      <c r="N771" s="11">
        <f>IF(Table2[[#This Row],[Status]]="Settled",0,$Q$2-Table2[[#This Row],[Date]])</f>
        <v>0</v>
      </c>
      <c r="O771" s="5" t="str">
        <f>IF(Table2[[#This Row],[Age Days]]&lt;=7,"Normal",IF(Table2[[#This Row],[Age Days]]&lt;=14,"Perlu Dipantau",IF(Table2[[#This Row],[Age Days]]&lt;=30,"Perlu Ditindaklanjuti","Overdue")))</f>
        <v>Normal</v>
      </c>
    </row>
    <row r="772" spans="1:15" x14ac:dyDescent="0.3">
      <c r="A772" t="s">
        <v>856</v>
      </c>
      <c r="B772" s="3">
        <v>46210</v>
      </c>
      <c r="C772" t="s">
        <v>59</v>
      </c>
      <c r="D772" t="s">
        <v>60</v>
      </c>
      <c r="E772" t="s">
        <v>19</v>
      </c>
      <c r="F772" t="s">
        <v>14</v>
      </c>
      <c r="G772" t="s">
        <v>57</v>
      </c>
      <c r="H772" s="5">
        <v>30000</v>
      </c>
      <c r="I772" s="5">
        <v>25000</v>
      </c>
      <c r="J772" s="5">
        <v>5000</v>
      </c>
      <c r="K772" s="5">
        <f>Table2[[#This Row],[Advance Amount]]-Table2[[#This Row],[Expense Amount]]-Table2[[#This Row],[Return Amount]]</f>
        <v>0</v>
      </c>
      <c r="L772" s="5" t="str">
        <f>IF(Table2[[#This Row],[Outstanding]]=0,"Settled",IF(Table2[[#This Row],[Outstanding]]&gt;0,"Outstanding"))</f>
        <v>Settled</v>
      </c>
      <c r="M772" s="5" t="str">
        <f>IF(Table2[[#This Row],[Advance Amount]]=Table2[[#This Row],[Expense Amount]]+Table2[[#This Row],[Return Amount]]+Table2[[#This Row],[Outstanding]],"Ok","Check")</f>
        <v>Ok</v>
      </c>
      <c r="N772" s="11">
        <f>IF(Table2[[#This Row],[Status]]="Settled",0,$Q$2-Table2[[#This Row],[Date]])</f>
        <v>0</v>
      </c>
      <c r="O772" s="5" t="str">
        <f>IF(Table2[[#This Row],[Age Days]]&lt;=7,"Normal",IF(Table2[[#This Row],[Age Days]]&lt;=14,"Perlu Dipantau",IF(Table2[[#This Row],[Age Days]]&lt;=30,"Perlu Ditindaklanjuti","Overdue")))</f>
        <v>Normal</v>
      </c>
    </row>
    <row r="773" spans="1:15" x14ac:dyDescent="0.3">
      <c r="A773" t="s">
        <v>857</v>
      </c>
      <c r="B773" s="3">
        <v>46211</v>
      </c>
      <c r="C773" t="s">
        <v>32</v>
      </c>
      <c r="D773" t="s">
        <v>33</v>
      </c>
      <c r="E773" t="s">
        <v>27</v>
      </c>
      <c r="F773" t="s">
        <v>20</v>
      </c>
      <c r="G773" t="s">
        <v>58</v>
      </c>
      <c r="H773" s="5">
        <v>250000</v>
      </c>
      <c r="I773" s="5">
        <v>225000</v>
      </c>
      <c r="J773" s="5">
        <v>25000</v>
      </c>
      <c r="K773" s="5">
        <f>Table2[[#This Row],[Advance Amount]]-Table2[[#This Row],[Expense Amount]]-Table2[[#This Row],[Return Amount]]</f>
        <v>0</v>
      </c>
      <c r="L773" s="5" t="str">
        <f>IF(Table2[[#This Row],[Outstanding]]=0,"Settled",IF(Table2[[#This Row],[Outstanding]]&gt;0,"Outstanding"))</f>
        <v>Settled</v>
      </c>
      <c r="M773" s="5" t="str">
        <f>IF(Table2[[#This Row],[Advance Amount]]=Table2[[#This Row],[Expense Amount]]+Table2[[#This Row],[Return Amount]]+Table2[[#This Row],[Outstanding]],"Ok","Check")</f>
        <v>Ok</v>
      </c>
      <c r="N773" s="11">
        <f>IF(Table2[[#This Row],[Status]]="Settled",0,$Q$2-Table2[[#This Row],[Date]])</f>
        <v>0</v>
      </c>
      <c r="O773" s="5" t="str">
        <f>IF(Table2[[#This Row],[Age Days]]&lt;=7,"Normal",IF(Table2[[#This Row],[Age Days]]&lt;=14,"Perlu Dipantau",IF(Table2[[#This Row],[Age Days]]&lt;=30,"Perlu Ditindaklanjuti","Overdue")))</f>
        <v>Normal</v>
      </c>
    </row>
    <row r="774" spans="1:15" x14ac:dyDescent="0.3">
      <c r="A774" t="s">
        <v>858</v>
      </c>
      <c r="B774" s="3">
        <v>46211</v>
      </c>
      <c r="C774" t="s">
        <v>62</v>
      </c>
      <c r="D774" t="s">
        <v>63</v>
      </c>
      <c r="E774" t="s">
        <v>52</v>
      </c>
      <c r="F774" t="s">
        <v>20</v>
      </c>
      <c r="G774" t="s">
        <v>15</v>
      </c>
      <c r="H774" s="5">
        <v>1675000</v>
      </c>
      <c r="I774" s="5">
        <v>1225000</v>
      </c>
      <c r="J774" s="5">
        <v>450000</v>
      </c>
      <c r="K774" s="5">
        <f>Table2[[#This Row],[Advance Amount]]-Table2[[#This Row],[Expense Amount]]-Table2[[#This Row],[Return Amount]]</f>
        <v>0</v>
      </c>
      <c r="L774" s="5" t="str">
        <f>IF(Table2[[#This Row],[Outstanding]]=0,"Settled",IF(Table2[[#This Row],[Outstanding]]&gt;0,"Outstanding"))</f>
        <v>Settled</v>
      </c>
      <c r="M774" s="5" t="str">
        <f>IF(Table2[[#This Row],[Advance Amount]]=Table2[[#This Row],[Expense Amount]]+Table2[[#This Row],[Return Amount]]+Table2[[#This Row],[Outstanding]],"Ok","Check")</f>
        <v>Ok</v>
      </c>
      <c r="N774" s="11">
        <f>IF(Table2[[#This Row],[Status]]="Settled",0,$Q$2-Table2[[#This Row],[Date]])</f>
        <v>0</v>
      </c>
      <c r="O774" s="5" t="str">
        <f>IF(Table2[[#This Row],[Age Days]]&lt;=7,"Normal",IF(Table2[[#This Row],[Age Days]]&lt;=14,"Perlu Dipantau",IF(Table2[[#This Row],[Age Days]]&lt;=30,"Perlu Ditindaklanjuti","Overdue")))</f>
        <v>Normal</v>
      </c>
    </row>
    <row r="775" spans="1:15" x14ac:dyDescent="0.3">
      <c r="A775" t="s">
        <v>859</v>
      </c>
      <c r="B775" s="3">
        <v>46211</v>
      </c>
      <c r="C775" t="s">
        <v>59</v>
      </c>
      <c r="D775" t="s">
        <v>60</v>
      </c>
      <c r="E775" t="s">
        <v>19</v>
      </c>
      <c r="F775" t="s">
        <v>20</v>
      </c>
      <c r="G775" t="s">
        <v>28</v>
      </c>
      <c r="H775" s="5">
        <v>380000</v>
      </c>
      <c r="I775" s="5">
        <v>325000</v>
      </c>
      <c r="J775" s="5">
        <v>55000</v>
      </c>
      <c r="K775" s="5">
        <f>Table2[[#This Row],[Advance Amount]]-Table2[[#This Row],[Expense Amount]]-Table2[[#This Row],[Return Amount]]</f>
        <v>0</v>
      </c>
      <c r="L775" s="5" t="str">
        <f>IF(Table2[[#This Row],[Outstanding]]=0,"Settled",IF(Table2[[#This Row],[Outstanding]]&gt;0,"Outstanding"))</f>
        <v>Settled</v>
      </c>
      <c r="M775" s="5" t="str">
        <f>IF(Table2[[#This Row],[Advance Amount]]=Table2[[#This Row],[Expense Amount]]+Table2[[#This Row],[Return Amount]]+Table2[[#This Row],[Outstanding]],"Ok","Check")</f>
        <v>Ok</v>
      </c>
      <c r="N775" s="11">
        <f>IF(Table2[[#This Row],[Status]]="Settled",0,$Q$2-Table2[[#This Row],[Date]])</f>
        <v>0</v>
      </c>
      <c r="O775" s="5" t="str">
        <f>IF(Table2[[#This Row],[Age Days]]&lt;=7,"Normal",IF(Table2[[#This Row],[Age Days]]&lt;=14,"Perlu Dipantau",IF(Table2[[#This Row],[Age Days]]&lt;=30,"Perlu Ditindaklanjuti","Overdue")))</f>
        <v>Normal</v>
      </c>
    </row>
    <row r="776" spans="1:15" x14ac:dyDescent="0.3">
      <c r="A776" t="s">
        <v>860</v>
      </c>
      <c r="B776" s="3">
        <v>46212</v>
      </c>
      <c r="C776" t="s">
        <v>55</v>
      </c>
      <c r="D776" t="s">
        <v>56</v>
      </c>
      <c r="E776" t="s">
        <v>24</v>
      </c>
      <c r="F776" t="s">
        <v>20</v>
      </c>
      <c r="G776" t="s">
        <v>31</v>
      </c>
      <c r="H776" s="5">
        <v>575000</v>
      </c>
      <c r="I776" s="5">
        <v>550000</v>
      </c>
      <c r="J776" s="5">
        <v>25000</v>
      </c>
      <c r="K776" s="5">
        <f>Table2[[#This Row],[Advance Amount]]-Table2[[#This Row],[Expense Amount]]-Table2[[#This Row],[Return Amount]]</f>
        <v>0</v>
      </c>
      <c r="L776" s="5" t="str">
        <f>IF(Table2[[#This Row],[Outstanding]]=0,"Settled",IF(Table2[[#This Row],[Outstanding]]&gt;0,"Outstanding"))</f>
        <v>Settled</v>
      </c>
      <c r="M776" s="5" t="str">
        <f>IF(Table2[[#This Row],[Advance Amount]]=Table2[[#This Row],[Expense Amount]]+Table2[[#This Row],[Return Amount]]+Table2[[#This Row],[Outstanding]],"Ok","Check")</f>
        <v>Ok</v>
      </c>
      <c r="N776" s="11">
        <f>IF(Table2[[#This Row],[Status]]="Settled",0,$Q$2-Table2[[#This Row],[Date]])</f>
        <v>0</v>
      </c>
      <c r="O776" s="5" t="str">
        <f>IF(Table2[[#This Row],[Age Days]]&lt;=7,"Normal",IF(Table2[[#This Row],[Age Days]]&lt;=14,"Perlu Dipantau",IF(Table2[[#This Row],[Age Days]]&lt;=30,"Perlu Ditindaklanjuti","Overdue")))</f>
        <v>Normal</v>
      </c>
    </row>
    <row r="777" spans="1:15" x14ac:dyDescent="0.3">
      <c r="A777" t="s">
        <v>861</v>
      </c>
      <c r="B777" s="3">
        <v>46212</v>
      </c>
      <c r="C777" t="s">
        <v>55</v>
      </c>
      <c r="D777" t="s">
        <v>56</v>
      </c>
      <c r="E777" t="s">
        <v>24</v>
      </c>
      <c r="F777" t="s">
        <v>20</v>
      </c>
      <c r="G777" t="s">
        <v>61</v>
      </c>
      <c r="H777" s="5">
        <v>375000</v>
      </c>
      <c r="I777" s="5">
        <v>275000</v>
      </c>
      <c r="J777" s="5">
        <v>100000</v>
      </c>
      <c r="K777" s="5">
        <f>Table2[[#This Row],[Advance Amount]]-Table2[[#This Row],[Expense Amount]]-Table2[[#This Row],[Return Amount]]</f>
        <v>0</v>
      </c>
      <c r="L777" s="5" t="str">
        <f>IF(Table2[[#This Row],[Outstanding]]=0,"Settled",IF(Table2[[#This Row],[Outstanding]]&gt;0,"Outstanding"))</f>
        <v>Settled</v>
      </c>
      <c r="M777" s="5" t="str">
        <f>IF(Table2[[#This Row],[Advance Amount]]=Table2[[#This Row],[Expense Amount]]+Table2[[#This Row],[Return Amount]]+Table2[[#This Row],[Outstanding]],"Ok","Check")</f>
        <v>Ok</v>
      </c>
      <c r="N777" s="11">
        <f>IF(Table2[[#This Row],[Status]]="Settled",0,$Q$2-Table2[[#This Row],[Date]])</f>
        <v>0</v>
      </c>
      <c r="O777" s="5" t="str">
        <f>IF(Table2[[#This Row],[Age Days]]&lt;=7,"Normal",IF(Table2[[#This Row],[Age Days]]&lt;=14,"Perlu Dipantau",IF(Table2[[#This Row],[Age Days]]&lt;=30,"Perlu Ditindaklanjuti","Overdue")))</f>
        <v>Normal</v>
      </c>
    </row>
    <row r="778" spans="1:15" x14ac:dyDescent="0.3">
      <c r="A778" t="s">
        <v>862</v>
      </c>
      <c r="B778" s="3">
        <v>46212</v>
      </c>
      <c r="C778" t="s">
        <v>48</v>
      </c>
      <c r="D778" t="s">
        <v>49</v>
      </c>
      <c r="E778" t="s">
        <v>19</v>
      </c>
      <c r="F778" t="s">
        <v>20</v>
      </c>
      <c r="G778" t="s">
        <v>58</v>
      </c>
      <c r="H778" s="5">
        <v>200000</v>
      </c>
      <c r="I778" s="5">
        <v>150000</v>
      </c>
      <c r="J778" s="5">
        <v>50000</v>
      </c>
      <c r="K778" s="5">
        <f>Table2[[#This Row],[Advance Amount]]-Table2[[#This Row],[Expense Amount]]-Table2[[#This Row],[Return Amount]]</f>
        <v>0</v>
      </c>
      <c r="L778" s="5" t="str">
        <f>IF(Table2[[#This Row],[Outstanding]]=0,"Settled",IF(Table2[[#This Row],[Outstanding]]&gt;0,"Outstanding"))</f>
        <v>Settled</v>
      </c>
      <c r="M778" s="5" t="str">
        <f>IF(Table2[[#This Row],[Advance Amount]]=Table2[[#This Row],[Expense Amount]]+Table2[[#This Row],[Return Amount]]+Table2[[#This Row],[Outstanding]],"Ok","Check")</f>
        <v>Ok</v>
      </c>
      <c r="N778" s="11">
        <f>IF(Table2[[#This Row],[Status]]="Settled",0,$Q$2-Table2[[#This Row],[Date]])</f>
        <v>0</v>
      </c>
      <c r="O778" s="5" t="str">
        <f>IF(Table2[[#This Row],[Age Days]]&lt;=7,"Normal",IF(Table2[[#This Row],[Age Days]]&lt;=14,"Perlu Dipantau",IF(Table2[[#This Row],[Age Days]]&lt;=30,"Perlu Ditindaklanjuti","Overdue")))</f>
        <v>Normal</v>
      </c>
    </row>
    <row r="779" spans="1:15" x14ac:dyDescent="0.3">
      <c r="A779" t="s">
        <v>863</v>
      </c>
      <c r="B779" s="3">
        <v>46212</v>
      </c>
      <c r="C779" t="s">
        <v>17</v>
      </c>
      <c r="D779" t="s">
        <v>18</v>
      </c>
      <c r="E779" t="s">
        <v>19</v>
      </c>
      <c r="F779" t="s">
        <v>14</v>
      </c>
      <c r="G779" t="s">
        <v>34</v>
      </c>
      <c r="H779" s="5">
        <v>225000</v>
      </c>
      <c r="I779" s="5">
        <v>200000</v>
      </c>
      <c r="J779" s="5">
        <v>25000</v>
      </c>
      <c r="K779" s="5">
        <f>Table2[[#This Row],[Advance Amount]]-Table2[[#This Row],[Expense Amount]]-Table2[[#This Row],[Return Amount]]</f>
        <v>0</v>
      </c>
      <c r="L779" s="5" t="str">
        <f>IF(Table2[[#This Row],[Outstanding]]=0,"Settled",IF(Table2[[#This Row],[Outstanding]]&gt;0,"Outstanding"))</f>
        <v>Settled</v>
      </c>
      <c r="M779" s="5" t="str">
        <f>IF(Table2[[#This Row],[Advance Amount]]=Table2[[#This Row],[Expense Amount]]+Table2[[#This Row],[Return Amount]]+Table2[[#This Row],[Outstanding]],"Ok","Check")</f>
        <v>Ok</v>
      </c>
      <c r="N779" s="11">
        <f>IF(Table2[[#This Row],[Status]]="Settled",0,$Q$2-Table2[[#This Row],[Date]])</f>
        <v>0</v>
      </c>
      <c r="O779" s="5" t="str">
        <f>IF(Table2[[#This Row],[Age Days]]&lt;=7,"Normal",IF(Table2[[#This Row],[Age Days]]&lt;=14,"Perlu Dipantau",IF(Table2[[#This Row],[Age Days]]&lt;=30,"Perlu Ditindaklanjuti","Overdue")))</f>
        <v>Normal</v>
      </c>
    </row>
    <row r="780" spans="1:15" x14ac:dyDescent="0.3">
      <c r="A780" t="s">
        <v>864</v>
      </c>
      <c r="B780" s="3">
        <v>46212</v>
      </c>
      <c r="C780" t="s">
        <v>50</v>
      </c>
      <c r="D780" t="s">
        <v>51</v>
      </c>
      <c r="E780" t="s">
        <v>52</v>
      </c>
      <c r="F780" t="s">
        <v>14</v>
      </c>
      <c r="G780" t="s">
        <v>15</v>
      </c>
      <c r="H780" s="5">
        <v>650000</v>
      </c>
      <c r="I780" s="5">
        <v>0</v>
      </c>
      <c r="J780" s="5">
        <v>0</v>
      </c>
      <c r="K780" s="5">
        <f>Table2[[#This Row],[Advance Amount]]-Table2[[#This Row],[Expense Amount]]-Table2[[#This Row],[Return Amount]]</f>
        <v>650000</v>
      </c>
      <c r="L780" s="5" t="str">
        <f>IF(Table2[[#This Row],[Outstanding]]=0,"Settled",IF(Table2[[#This Row],[Outstanding]]&gt;0,"Outstanding"))</f>
        <v>Outstanding</v>
      </c>
      <c r="M780" s="5" t="str">
        <f>IF(Table2[[#This Row],[Advance Amount]]=Table2[[#This Row],[Expense Amount]]+Table2[[#This Row],[Return Amount]]+Table2[[#This Row],[Outstanding]],"Ok","Check")</f>
        <v>Ok</v>
      </c>
      <c r="N780" s="11">
        <f>IF(Table2[[#This Row],[Status]]="Settled",0,$Q$2-Table2[[#This Row],[Date]])</f>
        <v>53</v>
      </c>
      <c r="O780" s="5" t="str">
        <f>IF(Table2[[#This Row],[Age Days]]&lt;=7,"Normal",IF(Table2[[#This Row],[Age Days]]&lt;=14,"Perlu Dipantau",IF(Table2[[#This Row],[Age Days]]&lt;=30,"Perlu Ditindaklanjuti","Overdue")))</f>
        <v>Overdue</v>
      </c>
    </row>
    <row r="781" spans="1:15" x14ac:dyDescent="0.3">
      <c r="A781" t="s">
        <v>865</v>
      </c>
      <c r="B781" s="3">
        <v>46212</v>
      </c>
      <c r="C781" t="s">
        <v>59</v>
      </c>
      <c r="D781" t="s">
        <v>60</v>
      </c>
      <c r="E781" t="s">
        <v>19</v>
      </c>
      <c r="F781" t="s">
        <v>20</v>
      </c>
      <c r="G781" t="s">
        <v>58</v>
      </c>
      <c r="H781" s="5">
        <v>225000</v>
      </c>
      <c r="I781" s="5">
        <v>175000</v>
      </c>
      <c r="J781" s="5">
        <v>50000</v>
      </c>
      <c r="K781" s="5">
        <f>Table2[[#This Row],[Advance Amount]]-Table2[[#This Row],[Expense Amount]]-Table2[[#This Row],[Return Amount]]</f>
        <v>0</v>
      </c>
      <c r="L781" s="5" t="str">
        <f>IF(Table2[[#This Row],[Outstanding]]=0,"Settled",IF(Table2[[#This Row],[Outstanding]]&gt;0,"Outstanding"))</f>
        <v>Settled</v>
      </c>
      <c r="M781" s="5" t="str">
        <f>IF(Table2[[#This Row],[Advance Amount]]=Table2[[#This Row],[Expense Amount]]+Table2[[#This Row],[Return Amount]]+Table2[[#This Row],[Outstanding]],"Ok","Check")</f>
        <v>Ok</v>
      </c>
      <c r="N781" s="11">
        <f>IF(Table2[[#This Row],[Status]]="Settled",0,$Q$2-Table2[[#This Row],[Date]])</f>
        <v>0</v>
      </c>
      <c r="O781" s="5" t="str">
        <f>IF(Table2[[#This Row],[Age Days]]&lt;=7,"Normal",IF(Table2[[#This Row],[Age Days]]&lt;=14,"Perlu Dipantau",IF(Table2[[#This Row],[Age Days]]&lt;=30,"Perlu Ditindaklanjuti","Overdue")))</f>
        <v>Normal</v>
      </c>
    </row>
    <row r="782" spans="1:15" x14ac:dyDescent="0.3">
      <c r="A782" t="s">
        <v>866</v>
      </c>
      <c r="B782" s="3">
        <v>46213</v>
      </c>
      <c r="C782" t="s">
        <v>48</v>
      </c>
      <c r="D782" t="s">
        <v>49</v>
      </c>
      <c r="E782" t="s">
        <v>19</v>
      </c>
      <c r="F782" t="s">
        <v>14</v>
      </c>
      <c r="G782" t="s">
        <v>28</v>
      </c>
      <c r="H782" s="5">
        <v>280000</v>
      </c>
      <c r="I782" s="5">
        <v>250000</v>
      </c>
      <c r="J782" s="5">
        <v>30000</v>
      </c>
      <c r="K782" s="5">
        <f>Table2[[#This Row],[Advance Amount]]-Table2[[#This Row],[Expense Amount]]-Table2[[#This Row],[Return Amount]]</f>
        <v>0</v>
      </c>
      <c r="L782" s="5" t="str">
        <f>IF(Table2[[#This Row],[Outstanding]]=0,"Settled",IF(Table2[[#This Row],[Outstanding]]&gt;0,"Outstanding"))</f>
        <v>Settled</v>
      </c>
      <c r="M782" s="5" t="str">
        <f>IF(Table2[[#This Row],[Advance Amount]]=Table2[[#This Row],[Expense Amount]]+Table2[[#This Row],[Return Amount]]+Table2[[#This Row],[Outstanding]],"Ok","Check")</f>
        <v>Ok</v>
      </c>
      <c r="N782" s="11">
        <f>IF(Table2[[#This Row],[Status]]="Settled",0,$Q$2-Table2[[#This Row],[Date]])</f>
        <v>0</v>
      </c>
      <c r="O782" s="5" t="str">
        <f>IF(Table2[[#This Row],[Age Days]]&lt;=7,"Normal",IF(Table2[[#This Row],[Age Days]]&lt;=14,"Perlu Dipantau",IF(Table2[[#This Row],[Age Days]]&lt;=30,"Perlu Ditindaklanjuti","Overdue")))</f>
        <v>Normal</v>
      </c>
    </row>
    <row r="783" spans="1:15" x14ac:dyDescent="0.3">
      <c r="A783" t="s">
        <v>867</v>
      </c>
      <c r="B783" s="3">
        <v>46213</v>
      </c>
      <c r="C783" t="s">
        <v>41</v>
      </c>
      <c r="D783" t="s">
        <v>42</v>
      </c>
      <c r="E783" t="s">
        <v>43</v>
      </c>
      <c r="F783" t="s">
        <v>14</v>
      </c>
      <c r="G783" t="s">
        <v>57</v>
      </c>
      <c r="H783" s="5">
        <v>205000</v>
      </c>
      <c r="I783" s="5">
        <v>200000</v>
      </c>
      <c r="J783" s="5">
        <v>5000</v>
      </c>
      <c r="K783" s="5">
        <f>Table2[[#This Row],[Advance Amount]]-Table2[[#This Row],[Expense Amount]]-Table2[[#This Row],[Return Amount]]</f>
        <v>0</v>
      </c>
      <c r="L783" s="5" t="str">
        <f>IF(Table2[[#This Row],[Outstanding]]=0,"Settled",IF(Table2[[#This Row],[Outstanding]]&gt;0,"Outstanding"))</f>
        <v>Settled</v>
      </c>
      <c r="M783" s="5" t="str">
        <f>IF(Table2[[#This Row],[Advance Amount]]=Table2[[#This Row],[Expense Amount]]+Table2[[#This Row],[Return Amount]]+Table2[[#This Row],[Outstanding]],"Ok","Check")</f>
        <v>Ok</v>
      </c>
      <c r="N783" s="11">
        <f>IF(Table2[[#This Row],[Status]]="Settled",0,$Q$2-Table2[[#This Row],[Date]])</f>
        <v>0</v>
      </c>
      <c r="O783" s="5" t="str">
        <f>IF(Table2[[#This Row],[Age Days]]&lt;=7,"Normal",IF(Table2[[#This Row],[Age Days]]&lt;=14,"Perlu Dipantau",IF(Table2[[#This Row],[Age Days]]&lt;=30,"Perlu Ditindaklanjuti","Overdue")))</f>
        <v>Normal</v>
      </c>
    </row>
    <row r="784" spans="1:15" x14ac:dyDescent="0.3">
      <c r="A784" t="s">
        <v>868</v>
      </c>
      <c r="B784" s="3">
        <v>46213</v>
      </c>
      <c r="C784" t="s">
        <v>41</v>
      </c>
      <c r="D784" t="s">
        <v>42</v>
      </c>
      <c r="E784" t="s">
        <v>43</v>
      </c>
      <c r="F784" t="s">
        <v>20</v>
      </c>
      <c r="G784" t="s">
        <v>31</v>
      </c>
      <c r="H784" s="5">
        <v>950000</v>
      </c>
      <c r="I784" s="5">
        <v>825000</v>
      </c>
      <c r="J784" s="5">
        <v>125000</v>
      </c>
      <c r="K784" s="5">
        <f>Table2[[#This Row],[Advance Amount]]-Table2[[#This Row],[Expense Amount]]-Table2[[#This Row],[Return Amount]]</f>
        <v>0</v>
      </c>
      <c r="L784" s="5" t="str">
        <f>IF(Table2[[#This Row],[Outstanding]]=0,"Settled",IF(Table2[[#This Row],[Outstanding]]&gt;0,"Outstanding"))</f>
        <v>Settled</v>
      </c>
      <c r="M784" s="5" t="str">
        <f>IF(Table2[[#This Row],[Advance Amount]]=Table2[[#This Row],[Expense Amount]]+Table2[[#This Row],[Return Amount]]+Table2[[#This Row],[Outstanding]],"Ok","Check")</f>
        <v>Ok</v>
      </c>
      <c r="N784" s="11">
        <f>IF(Table2[[#This Row],[Status]]="Settled",0,$Q$2-Table2[[#This Row],[Date]])</f>
        <v>0</v>
      </c>
      <c r="O784" s="5" t="str">
        <f>IF(Table2[[#This Row],[Age Days]]&lt;=7,"Normal",IF(Table2[[#This Row],[Age Days]]&lt;=14,"Perlu Dipantau",IF(Table2[[#This Row],[Age Days]]&lt;=30,"Perlu Ditindaklanjuti","Overdue")))</f>
        <v>Normal</v>
      </c>
    </row>
    <row r="785" spans="1:15" x14ac:dyDescent="0.3">
      <c r="A785" t="s">
        <v>869</v>
      </c>
      <c r="B785" s="3">
        <v>46213</v>
      </c>
      <c r="C785" t="s">
        <v>11</v>
      </c>
      <c r="D785" t="s">
        <v>12</v>
      </c>
      <c r="E785" t="s">
        <v>13</v>
      </c>
      <c r="F785" t="s">
        <v>14</v>
      </c>
      <c r="G785" t="s">
        <v>15</v>
      </c>
      <c r="H785" s="5">
        <v>3150000</v>
      </c>
      <c r="I785" s="5">
        <v>2525000</v>
      </c>
      <c r="J785" s="5">
        <v>625000</v>
      </c>
      <c r="K785" s="5">
        <f>Table2[[#This Row],[Advance Amount]]-Table2[[#This Row],[Expense Amount]]-Table2[[#This Row],[Return Amount]]</f>
        <v>0</v>
      </c>
      <c r="L785" s="5" t="str">
        <f>IF(Table2[[#This Row],[Outstanding]]=0,"Settled",IF(Table2[[#This Row],[Outstanding]]&gt;0,"Outstanding"))</f>
        <v>Settled</v>
      </c>
      <c r="M785" s="5" t="str">
        <f>IF(Table2[[#This Row],[Advance Amount]]=Table2[[#This Row],[Expense Amount]]+Table2[[#This Row],[Return Amount]]+Table2[[#This Row],[Outstanding]],"Ok","Check")</f>
        <v>Ok</v>
      </c>
      <c r="N785" s="11">
        <f>IF(Table2[[#This Row],[Status]]="Settled",0,$Q$2-Table2[[#This Row],[Date]])</f>
        <v>0</v>
      </c>
      <c r="O785" s="5" t="str">
        <f>IF(Table2[[#This Row],[Age Days]]&lt;=7,"Normal",IF(Table2[[#This Row],[Age Days]]&lt;=14,"Perlu Dipantau",IF(Table2[[#This Row],[Age Days]]&lt;=30,"Perlu Ditindaklanjuti","Overdue")))</f>
        <v>Normal</v>
      </c>
    </row>
    <row r="786" spans="1:15" x14ac:dyDescent="0.3">
      <c r="A786" t="s">
        <v>870</v>
      </c>
      <c r="B786" s="3">
        <v>46214</v>
      </c>
      <c r="C786" t="s">
        <v>55</v>
      </c>
      <c r="D786" t="s">
        <v>56</v>
      </c>
      <c r="E786" t="s">
        <v>24</v>
      </c>
      <c r="F786" t="s">
        <v>14</v>
      </c>
      <c r="G786" t="s">
        <v>57</v>
      </c>
      <c r="H786" s="5">
        <v>305000</v>
      </c>
      <c r="I786" s="5">
        <v>275000</v>
      </c>
      <c r="J786" s="5">
        <v>30000</v>
      </c>
      <c r="K786" s="5">
        <f>Table2[[#This Row],[Advance Amount]]-Table2[[#This Row],[Expense Amount]]-Table2[[#This Row],[Return Amount]]</f>
        <v>0</v>
      </c>
      <c r="L786" s="5" t="str">
        <f>IF(Table2[[#This Row],[Outstanding]]=0,"Settled",IF(Table2[[#This Row],[Outstanding]]&gt;0,"Outstanding"))</f>
        <v>Settled</v>
      </c>
      <c r="M786" s="5" t="str">
        <f>IF(Table2[[#This Row],[Advance Amount]]=Table2[[#This Row],[Expense Amount]]+Table2[[#This Row],[Return Amount]]+Table2[[#This Row],[Outstanding]],"Ok","Check")</f>
        <v>Ok</v>
      </c>
      <c r="N786" s="11">
        <f>IF(Table2[[#This Row],[Status]]="Settled",0,$Q$2-Table2[[#This Row],[Date]])</f>
        <v>0</v>
      </c>
      <c r="O786" s="5" t="str">
        <f>IF(Table2[[#This Row],[Age Days]]&lt;=7,"Normal",IF(Table2[[#This Row],[Age Days]]&lt;=14,"Perlu Dipantau",IF(Table2[[#This Row],[Age Days]]&lt;=30,"Perlu Ditindaklanjuti","Overdue")))</f>
        <v>Normal</v>
      </c>
    </row>
    <row r="787" spans="1:15" x14ac:dyDescent="0.3">
      <c r="A787" t="s">
        <v>871</v>
      </c>
      <c r="B787" s="3">
        <v>46214</v>
      </c>
      <c r="C787" t="s">
        <v>11</v>
      </c>
      <c r="D787" t="s">
        <v>12</v>
      </c>
      <c r="E787" t="s">
        <v>13</v>
      </c>
      <c r="F787" t="s">
        <v>20</v>
      </c>
      <c r="G787" t="s">
        <v>61</v>
      </c>
      <c r="H787" s="5">
        <v>675000</v>
      </c>
      <c r="I787" s="5">
        <v>650000</v>
      </c>
      <c r="J787" s="5">
        <v>25000</v>
      </c>
      <c r="K787" s="5">
        <f>Table2[[#This Row],[Advance Amount]]-Table2[[#This Row],[Expense Amount]]-Table2[[#This Row],[Return Amount]]</f>
        <v>0</v>
      </c>
      <c r="L787" s="5" t="str">
        <f>IF(Table2[[#This Row],[Outstanding]]=0,"Settled",IF(Table2[[#This Row],[Outstanding]]&gt;0,"Outstanding"))</f>
        <v>Settled</v>
      </c>
      <c r="M787" s="5" t="str">
        <f>IF(Table2[[#This Row],[Advance Amount]]=Table2[[#This Row],[Expense Amount]]+Table2[[#This Row],[Return Amount]]+Table2[[#This Row],[Outstanding]],"Ok","Check")</f>
        <v>Ok</v>
      </c>
      <c r="N787" s="11">
        <f>IF(Table2[[#This Row],[Status]]="Settled",0,$Q$2-Table2[[#This Row],[Date]])</f>
        <v>0</v>
      </c>
      <c r="O787" s="5" t="str">
        <f>IF(Table2[[#This Row],[Age Days]]&lt;=7,"Normal",IF(Table2[[#This Row],[Age Days]]&lt;=14,"Perlu Dipantau",IF(Table2[[#This Row],[Age Days]]&lt;=30,"Perlu Ditindaklanjuti","Overdue")))</f>
        <v>Normal</v>
      </c>
    </row>
    <row r="788" spans="1:15" x14ac:dyDescent="0.3">
      <c r="A788" t="s">
        <v>872</v>
      </c>
      <c r="B788" s="3">
        <v>46214</v>
      </c>
      <c r="C788" t="s">
        <v>22</v>
      </c>
      <c r="D788" t="s">
        <v>23</v>
      </c>
      <c r="E788" t="s">
        <v>24</v>
      </c>
      <c r="F788" t="s">
        <v>20</v>
      </c>
      <c r="G788" t="s">
        <v>61</v>
      </c>
      <c r="H788" s="5">
        <v>700000</v>
      </c>
      <c r="I788" s="5">
        <v>575000</v>
      </c>
      <c r="J788" s="5">
        <v>125000</v>
      </c>
      <c r="K788" s="5">
        <f>Table2[[#This Row],[Advance Amount]]-Table2[[#This Row],[Expense Amount]]-Table2[[#This Row],[Return Amount]]</f>
        <v>0</v>
      </c>
      <c r="L788" s="5" t="str">
        <f>IF(Table2[[#This Row],[Outstanding]]=0,"Settled",IF(Table2[[#This Row],[Outstanding]]&gt;0,"Outstanding"))</f>
        <v>Settled</v>
      </c>
      <c r="M788" s="5" t="str">
        <f>IF(Table2[[#This Row],[Advance Amount]]=Table2[[#This Row],[Expense Amount]]+Table2[[#This Row],[Return Amount]]+Table2[[#This Row],[Outstanding]],"Ok","Check")</f>
        <v>Ok</v>
      </c>
      <c r="N788" s="11">
        <f>IF(Table2[[#This Row],[Status]]="Settled",0,$Q$2-Table2[[#This Row],[Date]])</f>
        <v>0</v>
      </c>
      <c r="O788" s="5" t="str">
        <f>IF(Table2[[#This Row],[Age Days]]&lt;=7,"Normal",IF(Table2[[#This Row],[Age Days]]&lt;=14,"Perlu Dipantau",IF(Table2[[#This Row],[Age Days]]&lt;=30,"Perlu Ditindaklanjuti","Overdue")))</f>
        <v>Normal</v>
      </c>
    </row>
    <row r="789" spans="1:15" x14ac:dyDescent="0.3">
      <c r="A789" t="s">
        <v>873</v>
      </c>
      <c r="B789" s="3">
        <v>46215</v>
      </c>
      <c r="C789" t="s">
        <v>62</v>
      </c>
      <c r="D789" t="s">
        <v>63</v>
      </c>
      <c r="E789" t="s">
        <v>52</v>
      </c>
      <c r="F789" t="s">
        <v>20</v>
      </c>
      <c r="G789" t="s">
        <v>31</v>
      </c>
      <c r="H789" s="5">
        <v>875000</v>
      </c>
      <c r="I789" s="5">
        <v>800000</v>
      </c>
      <c r="J789" s="5">
        <v>75000</v>
      </c>
      <c r="K789" s="5">
        <f>Table2[[#This Row],[Advance Amount]]-Table2[[#This Row],[Expense Amount]]-Table2[[#This Row],[Return Amount]]</f>
        <v>0</v>
      </c>
      <c r="L789" s="5" t="str">
        <f>IF(Table2[[#This Row],[Outstanding]]=0,"Settled",IF(Table2[[#This Row],[Outstanding]]&gt;0,"Outstanding"))</f>
        <v>Settled</v>
      </c>
      <c r="M789" s="5" t="str">
        <f>IF(Table2[[#This Row],[Advance Amount]]=Table2[[#This Row],[Expense Amount]]+Table2[[#This Row],[Return Amount]]+Table2[[#This Row],[Outstanding]],"Ok","Check")</f>
        <v>Ok</v>
      </c>
      <c r="N789" s="11">
        <f>IF(Table2[[#This Row],[Status]]="Settled",0,$Q$2-Table2[[#This Row],[Date]])</f>
        <v>0</v>
      </c>
      <c r="O789" s="5" t="str">
        <f>IF(Table2[[#This Row],[Age Days]]&lt;=7,"Normal",IF(Table2[[#This Row],[Age Days]]&lt;=14,"Perlu Dipantau",IF(Table2[[#This Row],[Age Days]]&lt;=30,"Perlu Ditindaklanjuti","Overdue")))</f>
        <v>Normal</v>
      </c>
    </row>
    <row r="790" spans="1:15" x14ac:dyDescent="0.3">
      <c r="A790" t="s">
        <v>874</v>
      </c>
      <c r="B790" s="3">
        <v>46215</v>
      </c>
      <c r="C790" t="s">
        <v>25</v>
      </c>
      <c r="D790" t="s">
        <v>26</v>
      </c>
      <c r="E790" t="s">
        <v>27</v>
      </c>
      <c r="F790" t="s">
        <v>20</v>
      </c>
      <c r="G790" t="s">
        <v>15</v>
      </c>
      <c r="H790" s="5">
        <v>3300000</v>
      </c>
      <c r="I790" s="5">
        <v>2500000</v>
      </c>
      <c r="J790" s="5">
        <v>800000</v>
      </c>
      <c r="K790" s="5">
        <f>Table2[[#This Row],[Advance Amount]]-Table2[[#This Row],[Expense Amount]]-Table2[[#This Row],[Return Amount]]</f>
        <v>0</v>
      </c>
      <c r="L790" s="5" t="str">
        <f>IF(Table2[[#This Row],[Outstanding]]=0,"Settled",IF(Table2[[#This Row],[Outstanding]]&gt;0,"Outstanding"))</f>
        <v>Settled</v>
      </c>
      <c r="M790" s="5" t="str">
        <f>IF(Table2[[#This Row],[Advance Amount]]=Table2[[#This Row],[Expense Amount]]+Table2[[#This Row],[Return Amount]]+Table2[[#This Row],[Outstanding]],"Ok","Check")</f>
        <v>Ok</v>
      </c>
      <c r="N790" s="11">
        <f>IF(Table2[[#This Row],[Status]]="Settled",0,$Q$2-Table2[[#This Row],[Date]])</f>
        <v>0</v>
      </c>
      <c r="O790" s="5" t="str">
        <f>IF(Table2[[#This Row],[Age Days]]&lt;=7,"Normal",IF(Table2[[#This Row],[Age Days]]&lt;=14,"Perlu Dipantau",IF(Table2[[#This Row],[Age Days]]&lt;=30,"Perlu Ditindaklanjuti","Overdue")))</f>
        <v>Normal</v>
      </c>
    </row>
    <row r="791" spans="1:15" x14ac:dyDescent="0.3">
      <c r="A791" t="s">
        <v>875</v>
      </c>
      <c r="B791" s="3">
        <v>46216</v>
      </c>
      <c r="C791" t="s">
        <v>35</v>
      </c>
      <c r="D791" t="s">
        <v>36</v>
      </c>
      <c r="E791" t="s">
        <v>37</v>
      </c>
      <c r="F791" t="s">
        <v>14</v>
      </c>
      <c r="G791" t="s">
        <v>15</v>
      </c>
      <c r="H791" s="5">
        <v>3825000</v>
      </c>
      <c r="I791" s="5">
        <v>3275000</v>
      </c>
      <c r="J791" s="5">
        <v>550000</v>
      </c>
      <c r="K791" s="5">
        <f>Table2[[#This Row],[Advance Amount]]-Table2[[#This Row],[Expense Amount]]-Table2[[#This Row],[Return Amount]]</f>
        <v>0</v>
      </c>
      <c r="L791" s="5" t="str">
        <f>IF(Table2[[#This Row],[Outstanding]]=0,"Settled",IF(Table2[[#This Row],[Outstanding]]&gt;0,"Outstanding"))</f>
        <v>Settled</v>
      </c>
      <c r="M791" s="5" t="str">
        <f>IF(Table2[[#This Row],[Advance Amount]]=Table2[[#This Row],[Expense Amount]]+Table2[[#This Row],[Return Amount]]+Table2[[#This Row],[Outstanding]],"Ok","Check")</f>
        <v>Ok</v>
      </c>
      <c r="N791" s="11">
        <f>IF(Table2[[#This Row],[Status]]="Settled",0,$Q$2-Table2[[#This Row],[Date]])</f>
        <v>0</v>
      </c>
      <c r="O791" s="5" t="str">
        <f>IF(Table2[[#This Row],[Age Days]]&lt;=7,"Normal",IF(Table2[[#This Row],[Age Days]]&lt;=14,"Perlu Dipantau",IF(Table2[[#This Row],[Age Days]]&lt;=30,"Perlu Ditindaklanjuti","Overdue")))</f>
        <v>Normal</v>
      </c>
    </row>
    <row r="792" spans="1:15" x14ac:dyDescent="0.3">
      <c r="A792" t="s">
        <v>876</v>
      </c>
      <c r="B792" s="3">
        <v>46216</v>
      </c>
      <c r="C792" t="s">
        <v>38</v>
      </c>
      <c r="D792" t="s">
        <v>39</v>
      </c>
      <c r="E792" t="s">
        <v>24</v>
      </c>
      <c r="F792" t="s">
        <v>14</v>
      </c>
      <c r="G792" t="s">
        <v>61</v>
      </c>
      <c r="H792" s="5">
        <v>475000</v>
      </c>
      <c r="I792" s="5">
        <v>450000</v>
      </c>
      <c r="J792" s="5">
        <v>25000</v>
      </c>
      <c r="K792" s="5">
        <f>Table2[[#This Row],[Advance Amount]]-Table2[[#This Row],[Expense Amount]]-Table2[[#This Row],[Return Amount]]</f>
        <v>0</v>
      </c>
      <c r="L792" s="5" t="str">
        <f>IF(Table2[[#This Row],[Outstanding]]=0,"Settled",IF(Table2[[#This Row],[Outstanding]]&gt;0,"Outstanding"))</f>
        <v>Settled</v>
      </c>
      <c r="M792" s="5" t="str">
        <f>IF(Table2[[#This Row],[Advance Amount]]=Table2[[#This Row],[Expense Amount]]+Table2[[#This Row],[Return Amount]]+Table2[[#This Row],[Outstanding]],"Ok","Check")</f>
        <v>Ok</v>
      </c>
      <c r="N792" s="11">
        <f>IF(Table2[[#This Row],[Status]]="Settled",0,$Q$2-Table2[[#This Row],[Date]])</f>
        <v>0</v>
      </c>
      <c r="O792" s="5" t="str">
        <f>IF(Table2[[#This Row],[Age Days]]&lt;=7,"Normal",IF(Table2[[#This Row],[Age Days]]&lt;=14,"Perlu Dipantau",IF(Table2[[#This Row],[Age Days]]&lt;=30,"Perlu Ditindaklanjuti","Overdue")))</f>
        <v>Normal</v>
      </c>
    </row>
    <row r="793" spans="1:15" x14ac:dyDescent="0.3">
      <c r="A793" t="s">
        <v>877</v>
      </c>
      <c r="B793" s="3">
        <v>46217</v>
      </c>
      <c r="C793" t="s">
        <v>62</v>
      </c>
      <c r="D793" t="s">
        <v>63</v>
      </c>
      <c r="E793" t="s">
        <v>52</v>
      </c>
      <c r="F793" t="s">
        <v>20</v>
      </c>
      <c r="G793" t="s">
        <v>57</v>
      </c>
      <c r="H793" s="5">
        <v>155000</v>
      </c>
      <c r="I793" s="5">
        <v>0</v>
      </c>
      <c r="J793" s="5">
        <v>0</v>
      </c>
      <c r="K793" s="5">
        <f>Table2[[#This Row],[Advance Amount]]-Table2[[#This Row],[Expense Amount]]-Table2[[#This Row],[Return Amount]]</f>
        <v>155000</v>
      </c>
      <c r="L793" s="5" t="str">
        <f>IF(Table2[[#This Row],[Outstanding]]=0,"Settled",IF(Table2[[#This Row],[Outstanding]]&gt;0,"Outstanding"))</f>
        <v>Outstanding</v>
      </c>
      <c r="M793" s="5" t="str">
        <f>IF(Table2[[#This Row],[Advance Amount]]=Table2[[#This Row],[Expense Amount]]+Table2[[#This Row],[Return Amount]]+Table2[[#This Row],[Outstanding]],"Ok","Check")</f>
        <v>Ok</v>
      </c>
      <c r="N793" s="11">
        <f>IF(Table2[[#This Row],[Status]]="Settled",0,$Q$2-Table2[[#This Row],[Date]])</f>
        <v>48</v>
      </c>
      <c r="O793" s="5" t="str">
        <f>IF(Table2[[#This Row],[Age Days]]&lt;=7,"Normal",IF(Table2[[#This Row],[Age Days]]&lt;=14,"Perlu Dipantau",IF(Table2[[#This Row],[Age Days]]&lt;=30,"Perlu Ditindaklanjuti","Overdue")))</f>
        <v>Overdue</v>
      </c>
    </row>
    <row r="794" spans="1:15" x14ac:dyDescent="0.3">
      <c r="A794" t="s">
        <v>878</v>
      </c>
      <c r="B794" s="3">
        <v>46217</v>
      </c>
      <c r="C794" t="s">
        <v>41</v>
      </c>
      <c r="D794" t="s">
        <v>42</v>
      </c>
      <c r="E794" t="s">
        <v>43</v>
      </c>
      <c r="F794" t="s">
        <v>20</v>
      </c>
      <c r="G794" t="s">
        <v>58</v>
      </c>
      <c r="H794" s="5">
        <v>825000</v>
      </c>
      <c r="I794" s="5">
        <v>625000</v>
      </c>
      <c r="J794" s="5">
        <v>200000</v>
      </c>
      <c r="K794" s="5">
        <f>Table2[[#This Row],[Advance Amount]]-Table2[[#This Row],[Expense Amount]]-Table2[[#This Row],[Return Amount]]</f>
        <v>0</v>
      </c>
      <c r="L794" s="5" t="str">
        <f>IF(Table2[[#This Row],[Outstanding]]=0,"Settled",IF(Table2[[#This Row],[Outstanding]]&gt;0,"Outstanding"))</f>
        <v>Settled</v>
      </c>
      <c r="M794" s="5" t="str">
        <f>IF(Table2[[#This Row],[Advance Amount]]=Table2[[#This Row],[Expense Amount]]+Table2[[#This Row],[Return Amount]]+Table2[[#This Row],[Outstanding]],"Ok","Check")</f>
        <v>Ok</v>
      </c>
      <c r="N794" s="11">
        <f>IF(Table2[[#This Row],[Status]]="Settled",0,$Q$2-Table2[[#This Row],[Date]])</f>
        <v>0</v>
      </c>
      <c r="O794" s="5" t="str">
        <f>IF(Table2[[#This Row],[Age Days]]&lt;=7,"Normal",IF(Table2[[#This Row],[Age Days]]&lt;=14,"Perlu Dipantau",IF(Table2[[#This Row],[Age Days]]&lt;=30,"Perlu Ditindaklanjuti","Overdue")))</f>
        <v>Normal</v>
      </c>
    </row>
    <row r="795" spans="1:15" x14ac:dyDescent="0.3">
      <c r="A795" t="s">
        <v>879</v>
      </c>
      <c r="B795" s="3">
        <v>46217</v>
      </c>
      <c r="C795" t="s">
        <v>41</v>
      </c>
      <c r="D795" t="s">
        <v>42</v>
      </c>
      <c r="E795" t="s">
        <v>43</v>
      </c>
      <c r="F795" t="s">
        <v>14</v>
      </c>
      <c r="G795" t="s">
        <v>28</v>
      </c>
      <c r="H795" s="5">
        <v>380000</v>
      </c>
      <c r="I795" s="5">
        <v>375000</v>
      </c>
      <c r="J795" s="5">
        <v>5000</v>
      </c>
      <c r="K795" s="5">
        <f>Table2[[#This Row],[Advance Amount]]-Table2[[#This Row],[Expense Amount]]-Table2[[#This Row],[Return Amount]]</f>
        <v>0</v>
      </c>
      <c r="L795" s="5" t="str">
        <f>IF(Table2[[#This Row],[Outstanding]]=0,"Settled",IF(Table2[[#This Row],[Outstanding]]&gt;0,"Outstanding"))</f>
        <v>Settled</v>
      </c>
      <c r="M795" s="5" t="str">
        <f>IF(Table2[[#This Row],[Advance Amount]]=Table2[[#This Row],[Expense Amount]]+Table2[[#This Row],[Return Amount]]+Table2[[#This Row],[Outstanding]],"Ok","Check")</f>
        <v>Ok</v>
      </c>
      <c r="N795" s="11">
        <f>IF(Table2[[#This Row],[Status]]="Settled",0,$Q$2-Table2[[#This Row],[Date]])</f>
        <v>0</v>
      </c>
      <c r="O795" s="5" t="str">
        <f>IF(Table2[[#This Row],[Age Days]]&lt;=7,"Normal",IF(Table2[[#This Row],[Age Days]]&lt;=14,"Perlu Dipantau",IF(Table2[[#This Row],[Age Days]]&lt;=30,"Perlu Ditindaklanjuti","Overdue")))</f>
        <v>Normal</v>
      </c>
    </row>
    <row r="796" spans="1:15" x14ac:dyDescent="0.3">
      <c r="A796" t="s">
        <v>880</v>
      </c>
      <c r="B796" s="3">
        <v>46217</v>
      </c>
      <c r="C796" t="s">
        <v>11</v>
      </c>
      <c r="D796" t="s">
        <v>12</v>
      </c>
      <c r="E796" t="s">
        <v>13</v>
      </c>
      <c r="F796" t="s">
        <v>14</v>
      </c>
      <c r="G796" t="s">
        <v>57</v>
      </c>
      <c r="H796" s="5">
        <v>380000</v>
      </c>
      <c r="I796" s="5">
        <v>0</v>
      </c>
      <c r="J796" s="5">
        <v>0</v>
      </c>
      <c r="K796" s="5">
        <f>Table2[[#This Row],[Advance Amount]]-Table2[[#This Row],[Expense Amount]]-Table2[[#This Row],[Return Amount]]</f>
        <v>380000</v>
      </c>
      <c r="L796" s="5" t="str">
        <f>IF(Table2[[#This Row],[Outstanding]]=0,"Settled",IF(Table2[[#This Row],[Outstanding]]&gt;0,"Outstanding"))</f>
        <v>Outstanding</v>
      </c>
      <c r="M796" s="5" t="str">
        <f>IF(Table2[[#This Row],[Advance Amount]]=Table2[[#This Row],[Expense Amount]]+Table2[[#This Row],[Return Amount]]+Table2[[#This Row],[Outstanding]],"Ok","Check")</f>
        <v>Ok</v>
      </c>
      <c r="N796" s="11">
        <f>IF(Table2[[#This Row],[Status]]="Settled",0,$Q$2-Table2[[#This Row],[Date]])</f>
        <v>48</v>
      </c>
      <c r="O796" s="5" t="str">
        <f>IF(Table2[[#This Row],[Age Days]]&lt;=7,"Normal",IF(Table2[[#This Row],[Age Days]]&lt;=14,"Perlu Dipantau",IF(Table2[[#This Row],[Age Days]]&lt;=30,"Perlu Ditindaklanjuti","Overdue")))</f>
        <v>Overdue</v>
      </c>
    </row>
    <row r="797" spans="1:15" x14ac:dyDescent="0.3">
      <c r="A797" t="s">
        <v>881</v>
      </c>
      <c r="B797" s="3">
        <v>46217</v>
      </c>
      <c r="C797" t="s">
        <v>50</v>
      </c>
      <c r="D797" t="s">
        <v>51</v>
      </c>
      <c r="E797" t="s">
        <v>52</v>
      </c>
      <c r="F797" t="s">
        <v>20</v>
      </c>
      <c r="G797" t="s">
        <v>40</v>
      </c>
      <c r="H797" s="5">
        <v>675000</v>
      </c>
      <c r="I797" s="5">
        <v>650000</v>
      </c>
      <c r="J797" s="5">
        <v>25000</v>
      </c>
      <c r="K797" s="5">
        <f>Table2[[#This Row],[Advance Amount]]-Table2[[#This Row],[Expense Amount]]-Table2[[#This Row],[Return Amount]]</f>
        <v>0</v>
      </c>
      <c r="L797" s="5" t="str">
        <f>IF(Table2[[#This Row],[Outstanding]]=0,"Settled",IF(Table2[[#This Row],[Outstanding]]&gt;0,"Outstanding"))</f>
        <v>Settled</v>
      </c>
      <c r="M797" s="5" t="str">
        <f>IF(Table2[[#This Row],[Advance Amount]]=Table2[[#This Row],[Expense Amount]]+Table2[[#This Row],[Return Amount]]+Table2[[#This Row],[Outstanding]],"Ok","Check")</f>
        <v>Ok</v>
      </c>
      <c r="N797" s="11">
        <f>IF(Table2[[#This Row],[Status]]="Settled",0,$Q$2-Table2[[#This Row],[Date]])</f>
        <v>0</v>
      </c>
      <c r="O797" s="5" t="str">
        <f>IF(Table2[[#This Row],[Age Days]]&lt;=7,"Normal",IF(Table2[[#This Row],[Age Days]]&lt;=14,"Perlu Dipantau",IF(Table2[[#This Row],[Age Days]]&lt;=30,"Perlu Ditindaklanjuti","Overdue")))</f>
        <v>Normal</v>
      </c>
    </row>
    <row r="798" spans="1:15" x14ac:dyDescent="0.3">
      <c r="A798" t="s">
        <v>882</v>
      </c>
      <c r="B798" s="3">
        <v>46217</v>
      </c>
      <c r="C798" t="s">
        <v>66</v>
      </c>
      <c r="D798" t="s">
        <v>67</v>
      </c>
      <c r="E798" t="s">
        <v>13</v>
      </c>
      <c r="F798" t="s">
        <v>20</v>
      </c>
      <c r="G798" t="s">
        <v>40</v>
      </c>
      <c r="H798" s="5">
        <v>750000</v>
      </c>
      <c r="I798" s="5">
        <v>700000</v>
      </c>
      <c r="J798" s="5">
        <v>50000</v>
      </c>
      <c r="K798" s="5">
        <f>Table2[[#This Row],[Advance Amount]]-Table2[[#This Row],[Expense Amount]]-Table2[[#This Row],[Return Amount]]</f>
        <v>0</v>
      </c>
      <c r="L798" s="5" t="str">
        <f>IF(Table2[[#This Row],[Outstanding]]=0,"Settled",IF(Table2[[#This Row],[Outstanding]]&gt;0,"Outstanding"))</f>
        <v>Settled</v>
      </c>
      <c r="M798" s="5" t="str">
        <f>IF(Table2[[#This Row],[Advance Amount]]=Table2[[#This Row],[Expense Amount]]+Table2[[#This Row],[Return Amount]]+Table2[[#This Row],[Outstanding]],"Ok","Check")</f>
        <v>Ok</v>
      </c>
      <c r="N798" s="11">
        <f>IF(Table2[[#This Row],[Status]]="Settled",0,$Q$2-Table2[[#This Row],[Date]])</f>
        <v>0</v>
      </c>
      <c r="O798" s="5" t="str">
        <f>IF(Table2[[#This Row],[Age Days]]&lt;=7,"Normal",IF(Table2[[#This Row],[Age Days]]&lt;=14,"Perlu Dipantau",IF(Table2[[#This Row],[Age Days]]&lt;=30,"Perlu Ditindaklanjuti","Overdue")))</f>
        <v>Normal</v>
      </c>
    </row>
    <row r="799" spans="1:15" x14ac:dyDescent="0.3">
      <c r="A799" t="s">
        <v>883</v>
      </c>
      <c r="B799" s="3">
        <v>46218</v>
      </c>
      <c r="C799" t="s">
        <v>46</v>
      </c>
      <c r="D799" t="s">
        <v>47</v>
      </c>
      <c r="E799" t="s">
        <v>37</v>
      </c>
      <c r="F799" t="s">
        <v>20</v>
      </c>
      <c r="G799" t="s">
        <v>61</v>
      </c>
      <c r="H799" s="5">
        <v>300000</v>
      </c>
      <c r="I799" s="5">
        <v>250000</v>
      </c>
      <c r="J799" s="5">
        <v>50000</v>
      </c>
      <c r="K799" s="5">
        <f>Table2[[#This Row],[Advance Amount]]-Table2[[#This Row],[Expense Amount]]-Table2[[#This Row],[Return Amount]]</f>
        <v>0</v>
      </c>
      <c r="L799" s="5" t="str">
        <f>IF(Table2[[#This Row],[Outstanding]]=0,"Settled",IF(Table2[[#This Row],[Outstanding]]&gt;0,"Outstanding"))</f>
        <v>Settled</v>
      </c>
      <c r="M799" s="5" t="str">
        <f>IF(Table2[[#This Row],[Advance Amount]]=Table2[[#This Row],[Expense Amount]]+Table2[[#This Row],[Return Amount]]+Table2[[#This Row],[Outstanding]],"Ok","Check")</f>
        <v>Ok</v>
      </c>
      <c r="N799" s="11">
        <f>IF(Table2[[#This Row],[Status]]="Settled",0,$Q$2-Table2[[#This Row],[Date]])</f>
        <v>0</v>
      </c>
      <c r="O799" s="5" t="str">
        <f>IF(Table2[[#This Row],[Age Days]]&lt;=7,"Normal",IF(Table2[[#This Row],[Age Days]]&lt;=14,"Perlu Dipantau",IF(Table2[[#This Row],[Age Days]]&lt;=30,"Perlu Ditindaklanjuti","Overdue")))</f>
        <v>Normal</v>
      </c>
    </row>
    <row r="800" spans="1:15" x14ac:dyDescent="0.3">
      <c r="A800" t="s">
        <v>884</v>
      </c>
      <c r="B800" s="3">
        <v>46218</v>
      </c>
      <c r="C800" t="s">
        <v>32</v>
      </c>
      <c r="D800" t="s">
        <v>33</v>
      </c>
      <c r="E800" t="s">
        <v>27</v>
      </c>
      <c r="F800" t="s">
        <v>14</v>
      </c>
      <c r="G800" t="s">
        <v>34</v>
      </c>
      <c r="H800" s="5">
        <v>275000</v>
      </c>
      <c r="I800" s="5">
        <v>225000</v>
      </c>
      <c r="J800" s="5">
        <v>50000</v>
      </c>
      <c r="K800" s="5">
        <f>Table2[[#This Row],[Advance Amount]]-Table2[[#This Row],[Expense Amount]]-Table2[[#This Row],[Return Amount]]</f>
        <v>0</v>
      </c>
      <c r="L800" s="5" t="str">
        <f>IF(Table2[[#This Row],[Outstanding]]=0,"Settled",IF(Table2[[#This Row],[Outstanding]]&gt;0,"Outstanding"))</f>
        <v>Settled</v>
      </c>
      <c r="M800" s="5" t="str">
        <f>IF(Table2[[#This Row],[Advance Amount]]=Table2[[#This Row],[Expense Amount]]+Table2[[#This Row],[Return Amount]]+Table2[[#This Row],[Outstanding]],"Ok","Check")</f>
        <v>Ok</v>
      </c>
      <c r="N800" s="11">
        <f>IF(Table2[[#This Row],[Status]]="Settled",0,$Q$2-Table2[[#This Row],[Date]])</f>
        <v>0</v>
      </c>
      <c r="O800" s="5" t="str">
        <f>IF(Table2[[#This Row],[Age Days]]&lt;=7,"Normal",IF(Table2[[#This Row],[Age Days]]&lt;=14,"Perlu Dipantau",IF(Table2[[#This Row],[Age Days]]&lt;=30,"Perlu Ditindaklanjuti","Overdue")))</f>
        <v>Normal</v>
      </c>
    </row>
    <row r="801" spans="1:15" x14ac:dyDescent="0.3">
      <c r="A801" t="s">
        <v>885</v>
      </c>
      <c r="B801" s="3">
        <v>46218</v>
      </c>
      <c r="C801" t="s">
        <v>11</v>
      </c>
      <c r="D801" t="s">
        <v>12</v>
      </c>
      <c r="E801" t="s">
        <v>13</v>
      </c>
      <c r="F801" t="s">
        <v>20</v>
      </c>
      <c r="G801" t="s">
        <v>61</v>
      </c>
      <c r="H801" s="5">
        <v>425000</v>
      </c>
      <c r="I801" s="5">
        <v>325000</v>
      </c>
      <c r="J801" s="5">
        <v>100000</v>
      </c>
      <c r="K801" s="5">
        <f>Table2[[#This Row],[Advance Amount]]-Table2[[#This Row],[Expense Amount]]-Table2[[#This Row],[Return Amount]]</f>
        <v>0</v>
      </c>
      <c r="L801" s="5" t="str">
        <f>IF(Table2[[#This Row],[Outstanding]]=0,"Settled",IF(Table2[[#This Row],[Outstanding]]&gt;0,"Outstanding"))</f>
        <v>Settled</v>
      </c>
      <c r="M801" s="5" t="str">
        <f>IF(Table2[[#This Row],[Advance Amount]]=Table2[[#This Row],[Expense Amount]]+Table2[[#This Row],[Return Amount]]+Table2[[#This Row],[Outstanding]],"Ok","Check")</f>
        <v>Ok</v>
      </c>
      <c r="N801" s="11">
        <f>IF(Table2[[#This Row],[Status]]="Settled",0,$Q$2-Table2[[#This Row],[Date]])</f>
        <v>0</v>
      </c>
      <c r="O801" s="5" t="str">
        <f>IF(Table2[[#This Row],[Age Days]]&lt;=7,"Normal",IF(Table2[[#This Row],[Age Days]]&lt;=14,"Perlu Dipantau",IF(Table2[[#This Row],[Age Days]]&lt;=30,"Perlu Ditindaklanjuti","Overdue")))</f>
        <v>Normal</v>
      </c>
    </row>
    <row r="802" spans="1:15" x14ac:dyDescent="0.3">
      <c r="A802" t="s">
        <v>886</v>
      </c>
      <c r="B802" s="3">
        <v>46218</v>
      </c>
      <c r="C802" t="s">
        <v>66</v>
      </c>
      <c r="D802" t="s">
        <v>67</v>
      </c>
      <c r="E802" t="s">
        <v>13</v>
      </c>
      <c r="F802" t="s">
        <v>20</v>
      </c>
      <c r="G802" t="s">
        <v>31</v>
      </c>
      <c r="H802" s="5">
        <v>675000</v>
      </c>
      <c r="I802" s="5">
        <v>550000</v>
      </c>
      <c r="J802" s="5">
        <v>125000</v>
      </c>
      <c r="K802" s="5">
        <f>Table2[[#This Row],[Advance Amount]]-Table2[[#This Row],[Expense Amount]]-Table2[[#This Row],[Return Amount]]</f>
        <v>0</v>
      </c>
      <c r="L802" s="5" t="str">
        <f>IF(Table2[[#This Row],[Outstanding]]=0,"Settled",IF(Table2[[#This Row],[Outstanding]]&gt;0,"Outstanding"))</f>
        <v>Settled</v>
      </c>
      <c r="M802" s="5" t="str">
        <f>IF(Table2[[#This Row],[Advance Amount]]=Table2[[#This Row],[Expense Amount]]+Table2[[#This Row],[Return Amount]]+Table2[[#This Row],[Outstanding]],"Ok","Check")</f>
        <v>Ok</v>
      </c>
      <c r="N802" s="11">
        <f>IF(Table2[[#This Row],[Status]]="Settled",0,$Q$2-Table2[[#This Row],[Date]])</f>
        <v>0</v>
      </c>
      <c r="O802" s="5" t="str">
        <f>IF(Table2[[#This Row],[Age Days]]&lt;=7,"Normal",IF(Table2[[#This Row],[Age Days]]&lt;=14,"Perlu Dipantau",IF(Table2[[#This Row],[Age Days]]&lt;=30,"Perlu Ditindaklanjuti","Overdue")))</f>
        <v>Normal</v>
      </c>
    </row>
    <row r="803" spans="1:15" x14ac:dyDescent="0.3">
      <c r="A803" t="s">
        <v>887</v>
      </c>
      <c r="B803" s="3">
        <v>46218</v>
      </c>
      <c r="C803" t="s">
        <v>66</v>
      </c>
      <c r="D803" t="s">
        <v>67</v>
      </c>
      <c r="E803" t="s">
        <v>13</v>
      </c>
      <c r="F803" t="s">
        <v>20</v>
      </c>
      <c r="G803" t="s">
        <v>58</v>
      </c>
      <c r="H803" s="5">
        <v>225000</v>
      </c>
      <c r="I803" s="5">
        <v>200000</v>
      </c>
      <c r="J803" s="5">
        <v>25000</v>
      </c>
      <c r="K803" s="5">
        <f>Table2[[#This Row],[Advance Amount]]-Table2[[#This Row],[Expense Amount]]-Table2[[#This Row],[Return Amount]]</f>
        <v>0</v>
      </c>
      <c r="L803" s="5" t="str">
        <f>IF(Table2[[#This Row],[Outstanding]]=0,"Settled",IF(Table2[[#This Row],[Outstanding]]&gt;0,"Outstanding"))</f>
        <v>Settled</v>
      </c>
      <c r="M803" s="5" t="str">
        <f>IF(Table2[[#This Row],[Advance Amount]]=Table2[[#This Row],[Expense Amount]]+Table2[[#This Row],[Return Amount]]+Table2[[#This Row],[Outstanding]],"Ok","Check")</f>
        <v>Ok</v>
      </c>
      <c r="N803" s="11">
        <f>IF(Table2[[#This Row],[Status]]="Settled",0,$Q$2-Table2[[#This Row],[Date]])</f>
        <v>0</v>
      </c>
      <c r="O803" s="5" t="str">
        <f>IF(Table2[[#This Row],[Age Days]]&lt;=7,"Normal",IF(Table2[[#This Row],[Age Days]]&lt;=14,"Perlu Dipantau",IF(Table2[[#This Row],[Age Days]]&lt;=30,"Perlu Ditindaklanjuti","Overdue")))</f>
        <v>Normal</v>
      </c>
    </row>
    <row r="804" spans="1:15" x14ac:dyDescent="0.3">
      <c r="A804" t="s">
        <v>888</v>
      </c>
      <c r="B804" s="3">
        <v>46218</v>
      </c>
      <c r="C804" t="s">
        <v>22</v>
      </c>
      <c r="D804" t="s">
        <v>23</v>
      </c>
      <c r="E804" t="s">
        <v>24</v>
      </c>
      <c r="F804" t="s">
        <v>14</v>
      </c>
      <c r="G804" t="s">
        <v>57</v>
      </c>
      <c r="H804" s="5">
        <v>405000</v>
      </c>
      <c r="I804" s="5">
        <v>350000</v>
      </c>
      <c r="J804" s="5">
        <v>55000</v>
      </c>
      <c r="K804" s="5">
        <f>Table2[[#This Row],[Advance Amount]]-Table2[[#This Row],[Expense Amount]]-Table2[[#This Row],[Return Amount]]</f>
        <v>0</v>
      </c>
      <c r="L804" s="5" t="str">
        <f>IF(Table2[[#This Row],[Outstanding]]=0,"Settled",IF(Table2[[#This Row],[Outstanding]]&gt;0,"Outstanding"))</f>
        <v>Settled</v>
      </c>
      <c r="M804" s="5" t="str">
        <f>IF(Table2[[#This Row],[Advance Amount]]=Table2[[#This Row],[Expense Amount]]+Table2[[#This Row],[Return Amount]]+Table2[[#This Row],[Outstanding]],"Ok","Check")</f>
        <v>Ok</v>
      </c>
      <c r="N804" s="11">
        <f>IF(Table2[[#This Row],[Status]]="Settled",0,$Q$2-Table2[[#This Row],[Date]])</f>
        <v>0</v>
      </c>
      <c r="O804" s="5" t="str">
        <f>IF(Table2[[#This Row],[Age Days]]&lt;=7,"Normal",IF(Table2[[#This Row],[Age Days]]&lt;=14,"Perlu Dipantau",IF(Table2[[#This Row],[Age Days]]&lt;=30,"Perlu Ditindaklanjuti","Overdue")))</f>
        <v>Normal</v>
      </c>
    </row>
    <row r="805" spans="1:15" x14ac:dyDescent="0.3">
      <c r="A805" t="s">
        <v>889</v>
      </c>
      <c r="B805" s="3">
        <v>46219</v>
      </c>
      <c r="C805" t="s">
        <v>46</v>
      </c>
      <c r="D805" t="s">
        <v>47</v>
      </c>
      <c r="E805" t="s">
        <v>37</v>
      </c>
      <c r="F805" t="s">
        <v>14</v>
      </c>
      <c r="G805" t="s">
        <v>61</v>
      </c>
      <c r="H805" s="5">
        <v>375000</v>
      </c>
      <c r="I805" s="5">
        <v>0</v>
      </c>
      <c r="J805" s="5">
        <v>0</v>
      </c>
      <c r="K805" s="5">
        <f>Table2[[#This Row],[Advance Amount]]-Table2[[#This Row],[Expense Amount]]-Table2[[#This Row],[Return Amount]]</f>
        <v>375000</v>
      </c>
      <c r="L805" s="5" t="str">
        <f>IF(Table2[[#This Row],[Outstanding]]=0,"Settled",IF(Table2[[#This Row],[Outstanding]]&gt;0,"Outstanding"))</f>
        <v>Outstanding</v>
      </c>
      <c r="M805" s="5" t="str">
        <f>IF(Table2[[#This Row],[Advance Amount]]=Table2[[#This Row],[Expense Amount]]+Table2[[#This Row],[Return Amount]]+Table2[[#This Row],[Outstanding]],"Ok","Check")</f>
        <v>Ok</v>
      </c>
      <c r="N805" s="11">
        <f>IF(Table2[[#This Row],[Status]]="Settled",0,$Q$2-Table2[[#This Row],[Date]])</f>
        <v>46</v>
      </c>
      <c r="O805" s="5" t="str">
        <f>IF(Table2[[#This Row],[Age Days]]&lt;=7,"Normal",IF(Table2[[#This Row],[Age Days]]&lt;=14,"Perlu Dipantau",IF(Table2[[#This Row],[Age Days]]&lt;=30,"Perlu Ditindaklanjuti","Overdue")))</f>
        <v>Overdue</v>
      </c>
    </row>
    <row r="806" spans="1:15" x14ac:dyDescent="0.3">
      <c r="A806" t="s">
        <v>890</v>
      </c>
      <c r="B806" s="3">
        <v>46219</v>
      </c>
      <c r="C806" t="s">
        <v>55</v>
      </c>
      <c r="D806" t="s">
        <v>56</v>
      </c>
      <c r="E806" t="s">
        <v>24</v>
      </c>
      <c r="F806" t="s">
        <v>14</v>
      </c>
      <c r="G806" t="s">
        <v>31</v>
      </c>
      <c r="H806" s="5">
        <v>500000</v>
      </c>
      <c r="I806" s="5">
        <v>450000</v>
      </c>
      <c r="J806" s="5">
        <v>50000</v>
      </c>
      <c r="K806" s="5">
        <f>Table2[[#This Row],[Advance Amount]]-Table2[[#This Row],[Expense Amount]]-Table2[[#This Row],[Return Amount]]</f>
        <v>0</v>
      </c>
      <c r="L806" s="5" t="str">
        <f>IF(Table2[[#This Row],[Outstanding]]=0,"Settled",IF(Table2[[#This Row],[Outstanding]]&gt;0,"Outstanding"))</f>
        <v>Settled</v>
      </c>
      <c r="M806" s="5" t="str">
        <f>IF(Table2[[#This Row],[Advance Amount]]=Table2[[#This Row],[Expense Amount]]+Table2[[#This Row],[Return Amount]]+Table2[[#This Row],[Outstanding]],"Ok","Check")</f>
        <v>Ok</v>
      </c>
      <c r="N806" s="11">
        <f>IF(Table2[[#This Row],[Status]]="Settled",0,$Q$2-Table2[[#This Row],[Date]])</f>
        <v>0</v>
      </c>
      <c r="O806" s="5" t="str">
        <f>IF(Table2[[#This Row],[Age Days]]&lt;=7,"Normal",IF(Table2[[#This Row],[Age Days]]&lt;=14,"Perlu Dipantau",IF(Table2[[#This Row],[Age Days]]&lt;=30,"Perlu Ditindaklanjuti","Overdue")))</f>
        <v>Normal</v>
      </c>
    </row>
    <row r="807" spans="1:15" x14ac:dyDescent="0.3">
      <c r="A807" t="s">
        <v>891</v>
      </c>
      <c r="B807" s="3">
        <v>46219</v>
      </c>
      <c r="C807" t="s">
        <v>41</v>
      </c>
      <c r="D807" t="s">
        <v>42</v>
      </c>
      <c r="E807" t="s">
        <v>43</v>
      </c>
      <c r="F807" t="s">
        <v>14</v>
      </c>
      <c r="G807" t="s">
        <v>57</v>
      </c>
      <c r="H807" s="5">
        <v>405000</v>
      </c>
      <c r="I807" s="5">
        <v>400000</v>
      </c>
      <c r="J807" s="5">
        <v>5000</v>
      </c>
      <c r="K807" s="5">
        <f>Table2[[#This Row],[Advance Amount]]-Table2[[#This Row],[Expense Amount]]-Table2[[#This Row],[Return Amount]]</f>
        <v>0</v>
      </c>
      <c r="L807" s="5" t="str">
        <f>IF(Table2[[#This Row],[Outstanding]]=0,"Settled",IF(Table2[[#This Row],[Outstanding]]&gt;0,"Outstanding"))</f>
        <v>Settled</v>
      </c>
      <c r="M807" s="5" t="str">
        <f>IF(Table2[[#This Row],[Advance Amount]]=Table2[[#This Row],[Expense Amount]]+Table2[[#This Row],[Return Amount]]+Table2[[#This Row],[Outstanding]],"Ok","Check")</f>
        <v>Ok</v>
      </c>
      <c r="N807" s="11">
        <f>IF(Table2[[#This Row],[Status]]="Settled",0,$Q$2-Table2[[#This Row],[Date]])</f>
        <v>0</v>
      </c>
      <c r="O807" s="5" t="str">
        <f>IF(Table2[[#This Row],[Age Days]]&lt;=7,"Normal",IF(Table2[[#This Row],[Age Days]]&lt;=14,"Perlu Dipantau",IF(Table2[[#This Row],[Age Days]]&lt;=30,"Perlu Ditindaklanjuti","Overdue")))</f>
        <v>Normal</v>
      </c>
    </row>
    <row r="808" spans="1:15" x14ac:dyDescent="0.3">
      <c r="A808" t="s">
        <v>892</v>
      </c>
      <c r="B808" s="3">
        <v>46220</v>
      </c>
      <c r="C808" t="s">
        <v>55</v>
      </c>
      <c r="D808" t="s">
        <v>56</v>
      </c>
      <c r="E808" t="s">
        <v>24</v>
      </c>
      <c r="F808" t="s">
        <v>20</v>
      </c>
      <c r="G808" t="s">
        <v>58</v>
      </c>
      <c r="H808" s="5">
        <v>875000</v>
      </c>
      <c r="I808" s="5">
        <v>800000</v>
      </c>
      <c r="J808" s="5">
        <v>75000</v>
      </c>
      <c r="K808" s="5">
        <f>Table2[[#This Row],[Advance Amount]]-Table2[[#This Row],[Expense Amount]]-Table2[[#This Row],[Return Amount]]</f>
        <v>0</v>
      </c>
      <c r="L808" s="5" t="str">
        <f>IF(Table2[[#This Row],[Outstanding]]=0,"Settled",IF(Table2[[#This Row],[Outstanding]]&gt;0,"Outstanding"))</f>
        <v>Settled</v>
      </c>
      <c r="M808" s="5" t="str">
        <f>IF(Table2[[#This Row],[Advance Amount]]=Table2[[#This Row],[Expense Amount]]+Table2[[#This Row],[Return Amount]]+Table2[[#This Row],[Outstanding]],"Ok","Check")</f>
        <v>Ok</v>
      </c>
      <c r="N808" s="11">
        <f>IF(Table2[[#This Row],[Status]]="Settled",0,$Q$2-Table2[[#This Row],[Date]])</f>
        <v>0</v>
      </c>
      <c r="O808" s="5" t="str">
        <f>IF(Table2[[#This Row],[Age Days]]&lt;=7,"Normal",IF(Table2[[#This Row],[Age Days]]&lt;=14,"Perlu Dipantau",IF(Table2[[#This Row],[Age Days]]&lt;=30,"Perlu Ditindaklanjuti","Overdue")))</f>
        <v>Normal</v>
      </c>
    </row>
    <row r="809" spans="1:15" x14ac:dyDescent="0.3">
      <c r="A809" t="s">
        <v>893</v>
      </c>
      <c r="B809" s="3">
        <v>46220</v>
      </c>
      <c r="C809" t="s">
        <v>44</v>
      </c>
      <c r="D809" t="s">
        <v>45</v>
      </c>
      <c r="E809" t="s">
        <v>43</v>
      </c>
      <c r="F809" t="s">
        <v>20</v>
      </c>
      <c r="G809" t="s">
        <v>31</v>
      </c>
      <c r="H809" s="5">
        <v>350000</v>
      </c>
      <c r="I809" s="5">
        <v>250000</v>
      </c>
      <c r="J809" s="5">
        <v>100000</v>
      </c>
      <c r="K809" s="5">
        <f>Table2[[#This Row],[Advance Amount]]-Table2[[#This Row],[Expense Amount]]-Table2[[#This Row],[Return Amount]]</f>
        <v>0</v>
      </c>
      <c r="L809" s="5" t="str">
        <f>IF(Table2[[#This Row],[Outstanding]]=0,"Settled",IF(Table2[[#This Row],[Outstanding]]&gt;0,"Outstanding"))</f>
        <v>Settled</v>
      </c>
      <c r="M809" s="5" t="str">
        <f>IF(Table2[[#This Row],[Advance Amount]]=Table2[[#This Row],[Expense Amount]]+Table2[[#This Row],[Return Amount]]+Table2[[#This Row],[Outstanding]],"Ok","Check")</f>
        <v>Ok</v>
      </c>
      <c r="N809" s="11">
        <f>IF(Table2[[#This Row],[Status]]="Settled",0,$Q$2-Table2[[#This Row],[Date]])</f>
        <v>0</v>
      </c>
      <c r="O809" s="5" t="str">
        <f>IF(Table2[[#This Row],[Age Days]]&lt;=7,"Normal",IF(Table2[[#This Row],[Age Days]]&lt;=14,"Perlu Dipantau",IF(Table2[[#This Row],[Age Days]]&lt;=30,"Perlu Ditindaklanjuti","Overdue")))</f>
        <v>Normal</v>
      </c>
    </row>
    <row r="810" spans="1:15" x14ac:dyDescent="0.3">
      <c r="A810" t="s">
        <v>894</v>
      </c>
      <c r="B810" s="3">
        <v>46220</v>
      </c>
      <c r="C810" t="s">
        <v>66</v>
      </c>
      <c r="D810" t="s">
        <v>67</v>
      </c>
      <c r="E810" t="s">
        <v>13</v>
      </c>
      <c r="F810" t="s">
        <v>14</v>
      </c>
      <c r="G810" t="s">
        <v>57</v>
      </c>
      <c r="H810" s="5">
        <v>280000</v>
      </c>
      <c r="I810" s="5">
        <v>0</v>
      </c>
      <c r="J810" s="5">
        <v>0</v>
      </c>
      <c r="K810" s="5">
        <f>Table2[[#This Row],[Advance Amount]]-Table2[[#This Row],[Expense Amount]]-Table2[[#This Row],[Return Amount]]</f>
        <v>280000</v>
      </c>
      <c r="L810" s="5" t="str">
        <f>IF(Table2[[#This Row],[Outstanding]]=0,"Settled",IF(Table2[[#This Row],[Outstanding]]&gt;0,"Outstanding"))</f>
        <v>Outstanding</v>
      </c>
      <c r="M810" s="5" t="str">
        <f>IF(Table2[[#This Row],[Advance Amount]]=Table2[[#This Row],[Expense Amount]]+Table2[[#This Row],[Return Amount]]+Table2[[#This Row],[Outstanding]],"Ok","Check")</f>
        <v>Ok</v>
      </c>
      <c r="N810" s="11">
        <f>IF(Table2[[#This Row],[Status]]="Settled",0,$Q$2-Table2[[#This Row],[Date]])</f>
        <v>45</v>
      </c>
      <c r="O810" s="5" t="str">
        <f>IF(Table2[[#This Row],[Age Days]]&lt;=7,"Normal",IF(Table2[[#This Row],[Age Days]]&lt;=14,"Perlu Dipantau",IF(Table2[[#This Row],[Age Days]]&lt;=30,"Perlu Ditindaklanjuti","Overdue")))</f>
        <v>Overdue</v>
      </c>
    </row>
    <row r="811" spans="1:15" x14ac:dyDescent="0.3">
      <c r="A811" t="s">
        <v>895</v>
      </c>
      <c r="B811" s="3">
        <v>46220</v>
      </c>
      <c r="C811" t="s">
        <v>53</v>
      </c>
      <c r="D811" t="s">
        <v>54</v>
      </c>
      <c r="E811" t="s">
        <v>43</v>
      </c>
      <c r="F811" t="s">
        <v>14</v>
      </c>
      <c r="G811" t="s">
        <v>61</v>
      </c>
      <c r="H811" s="5">
        <v>100000</v>
      </c>
      <c r="I811" s="5">
        <v>100000</v>
      </c>
      <c r="J811" s="5">
        <v>0</v>
      </c>
      <c r="K811" s="5">
        <f>Table2[[#This Row],[Advance Amount]]-Table2[[#This Row],[Expense Amount]]-Table2[[#This Row],[Return Amount]]</f>
        <v>0</v>
      </c>
      <c r="L811" s="5" t="str">
        <f>IF(Table2[[#This Row],[Outstanding]]=0,"Settled",IF(Table2[[#This Row],[Outstanding]]&gt;0,"Outstanding"))</f>
        <v>Settled</v>
      </c>
      <c r="M811" s="5" t="str">
        <f>IF(Table2[[#This Row],[Advance Amount]]=Table2[[#This Row],[Expense Amount]]+Table2[[#This Row],[Return Amount]]+Table2[[#This Row],[Outstanding]],"Ok","Check")</f>
        <v>Ok</v>
      </c>
      <c r="N811" s="11">
        <f>IF(Table2[[#This Row],[Status]]="Settled",0,$Q$2-Table2[[#This Row],[Date]])</f>
        <v>0</v>
      </c>
      <c r="O811" s="5" t="str">
        <f>IF(Table2[[#This Row],[Age Days]]&lt;=7,"Normal",IF(Table2[[#This Row],[Age Days]]&lt;=14,"Perlu Dipantau",IF(Table2[[#This Row],[Age Days]]&lt;=30,"Perlu Ditindaklanjuti","Overdue")))</f>
        <v>Normal</v>
      </c>
    </row>
    <row r="812" spans="1:15" x14ac:dyDescent="0.3">
      <c r="A812" t="s">
        <v>896</v>
      </c>
      <c r="B812" s="3">
        <v>46220</v>
      </c>
      <c r="C812" t="s">
        <v>53</v>
      </c>
      <c r="D812" t="s">
        <v>54</v>
      </c>
      <c r="E812" t="s">
        <v>43</v>
      </c>
      <c r="F812" t="s">
        <v>20</v>
      </c>
      <c r="G812" t="s">
        <v>31</v>
      </c>
      <c r="H812" s="5">
        <v>1150000</v>
      </c>
      <c r="I812" s="5">
        <v>1100000</v>
      </c>
      <c r="J812" s="5">
        <v>50000</v>
      </c>
      <c r="K812" s="5">
        <f>Table2[[#This Row],[Advance Amount]]-Table2[[#This Row],[Expense Amount]]-Table2[[#This Row],[Return Amount]]</f>
        <v>0</v>
      </c>
      <c r="L812" s="5" t="str">
        <f>IF(Table2[[#This Row],[Outstanding]]=0,"Settled",IF(Table2[[#This Row],[Outstanding]]&gt;0,"Outstanding"))</f>
        <v>Settled</v>
      </c>
      <c r="M812" s="5" t="str">
        <f>IF(Table2[[#This Row],[Advance Amount]]=Table2[[#This Row],[Expense Amount]]+Table2[[#This Row],[Return Amount]]+Table2[[#This Row],[Outstanding]],"Ok","Check")</f>
        <v>Ok</v>
      </c>
      <c r="N812" s="11">
        <f>IF(Table2[[#This Row],[Status]]="Settled",0,$Q$2-Table2[[#This Row],[Date]])</f>
        <v>0</v>
      </c>
      <c r="O812" s="5" t="str">
        <f>IF(Table2[[#This Row],[Age Days]]&lt;=7,"Normal",IF(Table2[[#This Row],[Age Days]]&lt;=14,"Perlu Dipantau",IF(Table2[[#This Row],[Age Days]]&lt;=30,"Perlu Ditindaklanjuti","Overdue")))</f>
        <v>Normal</v>
      </c>
    </row>
    <row r="813" spans="1:15" x14ac:dyDescent="0.3">
      <c r="A813" t="s">
        <v>897</v>
      </c>
      <c r="B813" s="3">
        <v>46220</v>
      </c>
      <c r="C813" t="s">
        <v>53</v>
      </c>
      <c r="D813" t="s">
        <v>54</v>
      </c>
      <c r="E813" t="s">
        <v>43</v>
      </c>
      <c r="F813" t="s">
        <v>20</v>
      </c>
      <c r="G813" t="s">
        <v>15</v>
      </c>
      <c r="H813" s="5">
        <v>625000</v>
      </c>
      <c r="I813" s="5">
        <v>550000</v>
      </c>
      <c r="J813" s="5">
        <v>75000</v>
      </c>
      <c r="K813" s="5">
        <f>Table2[[#This Row],[Advance Amount]]-Table2[[#This Row],[Expense Amount]]-Table2[[#This Row],[Return Amount]]</f>
        <v>0</v>
      </c>
      <c r="L813" s="5" t="str">
        <f>IF(Table2[[#This Row],[Outstanding]]=0,"Settled",IF(Table2[[#This Row],[Outstanding]]&gt;0,"Outstanding"))</f>
        <v>Settled</v>
      </c>
      <c r="M813" s="5" t="str">
        <f>IF(Table2[[#This Row],[Advance Amount]]=Table2[[#This Row],[Expense Amount]]+Table2[[#This Row],[Return Amount]]+Table2[[#This Row],[Outstanding]],"Ok","Check")</f>
        <v>Ok</v>
      </c>
      <c r="N813" s="11">
        <f>IF(Table2[[#This Row],[Status]]="Settled",0,$Q$2-Table2[[#This Row],[Date]])</f>
        <v>0</v>
      </c>
      <c r="O813" s="5" t="str">
        <f>IF(Table2[[#This Row],[Age Days]]&lt;=7,"Normal",IF(Table2[[#This Row],[Age Days]]&lt;=14,"Perlu Dipantau",IF(Table2[[#This Row],[Age Days]]&lt;=30,"Perlu Ditindaklanjuti","Overdue")))</f>
        <v>Normal</v>
      </c>
    </row>
    <row r="814" spans="1:15" x14ac:dyDescent="0.3">
      <c r="A814" t="s">
        <v>898</v>
      </c>
      <c r="B814" s="3">
        <v>46220</v>
      </c>
      <c r="C814" t="s">
        <v>22</v>
      </c>
      <c r="D814" t="s">
        <v>23</v>
      </c>
      <c r="E814" t="s">
        <v>24</v>
      </c>
      <c r="F814" t="s">
        <v>14</v>
      </c>
      <c r="G814" t="s">
        <v>57</v>
      </c>
      <c r="H814" s="5">
        <v>455000</v>
      </c>
      <c r="I814" s="5">
        <v>350000</v>
      </c>
      <c r="J814" s="5">
        <v>105000</v>
      </c>
      <c r="K814" s="5">
        <f>Table2[[#This Row],[Advance Amount]]-Table2[[#This Row],[Expense Amount]]-Table2[[#This Row],[Return Amount]]</f>
        <v>0</v>
      </c>
      <c r="L814" s="5" t="str">
        <f>IF(Table2[[#This Row],[Outstanding]]=0,"Settled",IF(Table2[[#This Row],[Outstanding]]&gt;0,"Outstanding"))</f>
        <v>Settled</v>
      </c>
      <c r="M814" s="5" t="str">
        <f>IF(Table2[[#This Row],[Advance Amount]]=Table2[[#This Row],[Expense Amount]]+Table2[[#This Row],[Return Amount]]+Table2[[#This Row],[Outstanding]],"Ok","Check")</f>
        <v>Ok</v>
      </c>
      <c r="N814" s="11">
        <f>IF(Table2[[#This Row],[Status]]="Settled",0,$Q$2-Table2[[#This Row],[Date]])</f>
        <v>0</v>
      </c>
      <c r="O814" s="5" t="str">
        <f>IF(Table2[[#This Row],[Age Days]]&lt;=7,"Normal",IF(Table2[[#This Row],[Age Days]]&lt;=14,"Perlu Dipantau",IF(Table2[[#This Row],[Age Days]]&lt;=30,"Perlu Ditindaklanjuti","Overdue")))</f>
        <v>Normal</v>
      </c>
    </row>
    <row r="815" spans="1:15" x14ac:dyDescent="0.3">
      <c r="A815" t="s">
        <v>899</v>
      </c>
      <c r="B815" s="3">
        <v>46221</v>
      </c>
      <c r="C815" t="s">
        <v>55</v>
      </c>
      <c r="D815" t="s">
        <v>56</v>
      </c>
      <c r="E815" t="s">
        <v>24</v>
      </c>
      <c r="F815" t="s">
        <v>20</v>
      </c>
      <c r="G815" t="s">
        <v>58</v>
      </c>
      <c r="H815" s="5">
        <v>350000</v>
      </c>
      <c r="I815" s="5">
        <v>250000</v>
      </c>
      <c r="J815" s="5">
        <v>100000</v>
      </c>
      <c r="K815" s="5">
        <f>Table2[[#This Row],[Advance Amount]]-Table2[[#This Row],[Expense Amount]]-Table2[[#This Row],[Return Amount]]</f>
        <v>0</v>
      </c>
      <c r="L815" s="5" t="str">
        <f>IF(Table2[[#This Row],[Outstanding]]=0,"Settled",IF(Table2[[#This Row],[Outstanding]]&gt;0,"Outstanding"))</f>
        <v>Settled</v>
      </c>
      <c r="M815" s="5" t="str">
        <f>IF(Table2[[#This Row],[Advance Amount]]=Table2[[#This Row],[Expense Amount]]+Table2[[#This Row],[Return Amount]]+Table2[[#This Row],[Outstanding]],"Ok","Check")</f>
        <v>Ok</v>
      </c>
      <c r="N815" s="11">
        <f>IF(Table2[[#This Row],[Status]]="Settled",0,$Q$2-Table2[[#This Row],[Date]])</f>
        <v>0</v>
      </c>
      <c r="O815" s="5" t="str">
        <f>IF(Table2[[#This Row],[Age Days]]&lt;=7,"Normal",IF(Table2[[#This Row],[Age Days]]&lt;=14,"Perlu Dipantau",IF(Table2[[#This Row],[Age Days]]&lt;=30,"Perlu Ditindaklanjuti","Overdue")))</f>
        <v>Normal</v>
      </c>
    </row>
    <row r="816" spans="1:15" x14ac:dyDescent="0.3">
      <c r="A816" t="s">
        <v>900</v>
      </c>
      <c r="B816" s="3">
        <v>46221</v>
      </c>
      <c r="C816" t="s">
        <v>38</v>
      </c>
      <c r="D816" t="s">
        <v>39</v>
      </c>
      <c r="E816" t="s">
        <v>24</v>
      </c>
      <c r="F816" t="s">
        <v>14</v>
      </c>
      <c r="G816" t="s">
        <v>31</v>
      </c>
      <c r="H816" s="5">
        <v>1200000</v>
      </c>
      <c r="I816" s="5">
        <v>1100000</v>
      </c>
      <c r="J816" s="5">
        <v>100000</v>
      </c>
      <c r="K816" s="5">
        <f>Table2[[#This Row],[Advance Amount]]-Table2[[#This Row],[Expense Amount]]-Table2[[#This Row],[Return Amount]]</f>
        <v>0</v>
      </c>
      <c r="L816" s="5" t="str">
        <f>IF(Table2[[#This Row],[Outstanding]]=0,"Settled",IF(Table2[[#This Row],[Outstanding]]&gt;0,"Outstanding"))</f>
        <v>Settled</v>
      </c>
      <c r="M816" s="5" t="str">
        <f>IF(Table2[[#This Row],[Advance Amount]]=Table2[[#This Row],[Expense Amount]]+Table2[[#This Row],[Return Amount]]+Table2[[#This Row],[Outstanding]],"Ok","Check")</f>
        <v>Ok</v>
      </c>
      <c r="N816" s="11">
        <f>IF(Table2[[#This Row],[Status]]="Settled",0,$Q$2-Table2[[#This Row],[Date]])</f>
        <v>0</v>
      </c>
      <c r="O816" s="5" t="str">
        <f>IF(Table2[[#This Row],[Age Days]]&lt;=7,"Normal",IF(Table2[[#This Row],[Age Days]]&lt;=14,"Perlu Dipantau",IF(Table2[[#This Row],[Age Days]]&lt;=30,"Perlu Ditindaklanjuti","Overdue")))</f>
        <v>Normal</v>
      </c>
    </row>
    <row r="817" spans="1:15" x14ac:dyDescent="0.3">
      <c r="A817" t="s">
        <v>901</v>
      </c>
      <c r="B817" s="3">
        <v>46221</v>
      </c>
      <c r="C817" t="s">
        <v>17</v>
      </c>
      <c r="D817" t="s">
        <v>18</v>
      </c>
      <c r="E817" t="s">
        <v>19</v>
      </c>
      <c r="F817" t="s">
        <v>20</v>
      </c>
      <c r="G817" t="s">
        <v>31</v>
      </c>
      <c r="H817" s="5">
        <v>1275000</v>
      </c>
      <c r="I817" s="5">
        <v>1275000</v>
      </c>
      <c r="J817" s="5">
        <v>0</v>
      </c>
      <c r="K817" s="5">
        <f>Table2[[#This Row],[Advance Amount]]-Table2[[#This Row],[Expense Amount]]-Table2[[#This Row],[Return Amount]]</f>
        <v>0</v>
      </c>
      <c r="L817" s="5" t="str">
        <f>IF(Table2[[#This Row],[Outstanding]]=0,"Settled",IF(Table2[[#This Row],[Outstanding]]&gt;0,"Outstanding"))</f>
        <v>Settled</v>
      </c>
      <c r="M817" s="5" t="str">
        <f>IF(Table2[[#This Row],[Advance Amount]]=Table2[[#This Row],[Expense Amount]]+Table2[[#This Row],[Return Amount]]+Table2[[#This Row],[Outstanding]],"Ok","Check")</f>
        <v>Ok</v>
      </c>
      <c r="N817" s="11">
        <f>IF(Table2[[#This Row],[Status]]="Settled",0,$Q$2-Table2[[#This Row],[Date]])</f>
        <v>0</v>
      </c>
      <c r="O817" s="5" t="str">
        <f>IF(Table2[[#This Row],[Age Days]]&lt;=7,"Normal",IF(Table2[[#This Row],[Age Days]]&lt;=14,"Perlu Dipantau",IF(Table2[[#This Row],[Age Days]]&lt;=30,"Perlu Ditindaklanjuti","Overdue")))</f>
        <v>Normal</v>
      </c>
    </row>
    <row r="818" spans="1:15" x14ac:dyDescent="0.3">
      <c r="A818" t="s">
        <v>902</v>
      </c>
      <c r="B818" s="3">
        <v>46221</v>
      </c>
      <c r="C818" t="s">
        <v>50</v>
      </c>
      <c r="D818" t="s">
        <v>51</v>
      </c>
      <c r="E818" t="s">
        <v>52</v>
      </c>
      <c r="F818" t="s">
        <v>14</v>
      </c>
      <c r="G818" t="s">
        <v>57</v>
      </c>
      <c r="H818" s="5">
        <v>155000</v>
      </c>
      <c r="I818" s="5">
        <v>0</v>
      </c>
      <c r="J818" s="5">
        <v>0</v>
      </c>
      <c r="K818" s="5">
        <f>Table2[[#This Row],[Advance Amount]]-Table2[[#This Row],[Expense Amount]]-Table2[[#This Row],[Return Amount]]</f>
        <v>155000</v>
      </c>
      <c r="L818" s="5" t="str">
        <f>IF(Table2[[#This Row],[Outstanding]]=0,"Settled",IF(Table2[[#This Row],[Outstanding]]&gt;0,"Outstanding"))</f>
        <v>Outstanding</v>
      </c>
      <c r="M818" s="5" t="str">
        <f>IF(Table2[[#This Row],[Advance Amount]]=Table2[[#This Row],[Expense Amount]]+Table2[[#This Row],[Return Amount]]+Table2[[#This Row],[Outstanding]],"Ok","Check")</f>
        <v>Ok</v>
      </c>
      <c r="N818" s="11">
        <f>IF(Table2[[#This Row],[Status]]="Settled",0,$Q$2-Table2[[#This Row],[Date]])</f>
        <v>44</v>
      </c>
      <c r="O818" s="5" t="str">
        <f>IF(Table2[[#This Row],[Age Days]]&lt;=7,"Normal",IF(Table2[[#This Row],[Age Days]]&lt;=14,"Perlu Dipantau",IF(Table2[[#This Row],[Age Days]]&lt;=30,"Perlu Ditindaklanjuti","Overdue")))</f>
        <v>Overdue</v>
      </c>
    </row>
    <row r="819" spans="1:15" x14ac:dyDescent="0.3">
      <c r="A819" t="s">
        <v>903</v>
      </c>
      <c r="B819" s="3">
        <v>46221</v>
      </c>
      <c r="C819" t="s">
        <v>66</v>
      </c>
      <c r="D819" t="s">
        <v>67</v>
      </c>
      <c r="E819" t="s">
        <v>13</v>
      </c>
      <c r="F819" t="s">
        <v>20</v>
      </c>
      <c r="G819" t="s">
        <v>31</v>
      </c>
      <c r="H819" s="5">
        <v>325000</v>
      </c>
      <c r="I819" s="5">
        <v>225000</v>
      </c>
      <c r="J819" s="5">
        <v>100000</v>
      </c>
      <c r="K819" s="5">
        <f>Table2[[#This Row],[Advance Amount]]-Table2[[#This Row],[Expense Amount]]-Table2[[#This Row],[Return Amount]]</f>
        <v>0</v>
      </c>
      <c r="L819" s="5" t="str">
        <f>IF(Table2[[#This Row],[Outstanding]]=0,"Settled",IF(Table2[[#This Row],[Outstanding]]&gt;0,"Outstanding"))</f>
        <v>Settled</v>
      </c>
      <c r="M819" s="5" t="str">
        <f>IF(Table2[[#This Row],[Advance Amount]]=Table2[[#This Row],[Expense Amount]]+Table2[[#This Row],[Return Amount]]+Table2[[#This Row],[Outstanding]],"Ok","Check")</f>
        <v>Ok</v>
      </c>
      <c r="N819" s="11">
        <f>IF(Table2[[#This Row],[Status]]="Settled",0,$Q$2-Table2[[#This Row],[Date]])</f>
        <v>0</v>
      </c>
      <c r="O819" s="5" t="str">
        <f>IF(Table2[[#This Row],[Age Days]]&lt;=7,"Normal",IF(Table2[[#This Row],[Age Days]]&lt;=14,"Perlu Dipantau",IF(Table2[[#This Row],[Age Days]]&lt;=30,"Perlu Ditindaklanjuti","Overdue")))</f>
        <v>Normal</v>
      </c>
    </row>
    <row r="820" spans="1:15" x14ac:dyDescent="0.3">
      <c r="A820" t="s">
        <v>904</v>
      </c>
      <c r="B820" s="3">
        <v>46222</v>
      </c>
      <c r="C820" t="s">
        <v>29</v>
      </c>
      <c r="D820" t="s">
        <v>30</v>
      </c>
      <c r="E820" t="s">
        <v>13</v>
      </c>
      <c r="F820" t="s">
        <v>20</v>
      </c>
      <c r="G820" t="s">
        <v>15</v>
      </c>
      <c r="H820" s="5">
        <v>3625000</v>
      </c>
      <c r="I820" s="5">
        <v>3400000</v>
      </c>
      <c r="J820" s="5">
        <v>225000</v>
      </c>
      <c r="K820" s="5">
        <f>Table2[[#This Row],[Advance Amount]]-Table2[[#This Row],[Expense Amount]]-Table2[[#This Row],[Return Amount]]</f>
        <v>0</v>
      </c>
      <c r="L820" s="5" t="str">
        <f>IF(Table2[[#This Row],[Outstanding]]=0,"Settled",IF(Table2[[#This Row],[Outstanding]]&gt;0,"Outstanding"))</f>
        <v>Settled</v>
      </c>
      <c r="M820" s="5" t="str">
        <f>IF(Table2[[#This Row],[Advance Amount]]=Table2[[#This Row],[Expense Amount]]+Table2[[#This Row],[Return Amount]]+Table2[[#This Row],[Outstanding]],"Ok","Check")</f>
        <v>Ok</v>
      </c>
      <c r="N820" s="11">
        <f>IF(Table2[[#This Row],[Status]]="Settled",0,$Q$2-Table2[[#This Row],[Date]])</f>
        <v>0</v>
      </c>
      <c r="O820" s="5" t="str">
        <f>IF(Table2[[#This Row],[Age Days]]&lt;=7,"Normal",IF(Table2[[#This Row],[Age Days]]&lt;=14,"Perlu Dipantau",IF(Table2[[#This Row],[Age Days]]&lt;=30,"Perlu Ditindaklanjuti","Overdue")))</f>
        <v>Normal</v>
      </c>
    </row>
    <row r="821" spans="1:15" x14ac:dyDescent="0.3">
      <c r="A821" t="s">
        <v>905</v>
      </c>
      <c r="B821" s="3">
        <v>46222</v>
      </c>
      <c r="C821" t="s">
        <v>35</v>
      </c>
      <c r="D821" t="s">
        <v>36</v>
      </c>
      <c r="E821" t="s">
        <v>37</v>
      </c>
      <c r="F821" t="s">
        <v>14</v>
      </c>
      <c r="G821" t="s">
        <v>57</v>
      </c>
      <c r="H821" s="5">
        <v>180000</v>
      </c>
      <c r="I821" s="5">
        <v>175000</v>
      </c>
      <c r="J821" s="5">
        <v>5000</v>
      </c>
      <c r="K821" s="5">
        <f>Table2[[#This Row],[Advance Amount]]-Table2[[#This Row],[Expense Amount]]-Table2[[#This Row],[Return Amount]]</f>
        <v>0</v>
      </c>
      <c r="L821" s="5" t="str">
        <f>IF(Table2[[#This Row],[Outstanding]]=0,"Settled",IF(Table2[[#This Row],[Outstanding]]&gt;0,"Outstanding"))</f>
        <v>Settled</v>
      </c>
      <c r="M821" s="5" t="str">
        <f>IF(Table2[[#This Row],[Advance Amount]]=Table2[[#This Row],[Expense Amount]]+Table2[[#This Row],[Return Amount]]+Table2[[#This Row],[Outstanding]],"Ok","Check")</f>
        <v>Ok</v>
      </c>
      <c r="N821" s="11">
        <f>IF(Table2[[#This Row],[Status]]="Settled",0,$Q$2-Table2[[#This Row],[Date]])</f>
        <v>0</v>
      </c>
      <c r="O821" s="5" t="str">
        <f>IF(Table2[[#This Row],[Age Days]]&lt;=7,"Normal",IF(Table2[[#This Row],[Age Days]]&lt;=14,"Perlu Dipantau",IF(Table2[[#This Row],[Age Days]]&lt;=30,"Perlu Ditindaklanjuti","Overdue")))</f>
        <v>Normal</v>
      </c>
    </row>
    <row r="822" spans="1:15" x14ac:dyDescent="0.3">
      <c r="A822" t="s">
        <v>906</v>
      </c>
      <c r="B822" s="3">
        <v>46222</v>
      </c>
      <c r="C822" t="s">
        <v>38</v>
      </c>
      <c r="D822" t="s">
        <v>39</v>
      </c>
      <c r="E822" t="s">
        <v>24</v>
      </c>
      <c r="F822" t="s">
        <v>20</v>
      </c>
      <c r="G822" t="s">
        <v>58</v>
      </c>
      <c r="H822" s="5">
        <v>275000</v>
      </c>
      <c r="I822" s="5">
        <v>250000</v>
      </c>
      <c r="J822" s="5">
        <v>25000</v>
      </c>
      <c r="K822" s="5">
        <f>Table2[[#This Row],[Advance Amount]]-Table2[[#This Row],[Expense Amount]]-Table2[[#This Row],[Return Amount]]</f>
        <v>0</v>
      </c>
      <c r="L822" s="5" t="str">
        <f>IF(Table2[[#This Row],[Outstanding]]=0,"Settled",IF(Table2[[#This Row],[Outstanding]]&gt;0,"Outstanding"))</f>
        <v>Settled</v>
      </c>
      <c r="M822" s="5" t="str">
        <f>IF(Table2[[#This Row],[Advance Amount]]=Table2[[#This Row],[Expense Amount]]+Table2[[#This Row],[Return Amount]]+Table2[[#This Row],[Outstanding]],"Ok","Check")</f>
        <v>Ok</v>
      </c>
      <c r="N822" s="11">
        <f>IF(Table2[[#This Row],[Status]]="Settled",0,$Q$2-Table2[[#This Row],[Date]])</f>
        <v>0</v>
      </c>
      <c r="O822" s="5" t="str">
        <f>IF(Table2[[#This Row],[Age Days]]&lt;=7,"Normal",IF(Table2[[#This Row],[Age Days]]&lt;=14,"Perlu Dipantau",IF(Table2[[#This Row],[Age Days]]&lt;=30,"Perlu Ditindaklanjuti","Overdue")))</f>
        <v>Normal</v>
      </c>
    </row>
    <row r="823" spans="1:15" x14ac:dyDescent="0.3">
      <c r="A823" t="s">
        <v>907</v>
      </c>
      <c r="B823" s="3">
        <v>46222</v>
      </c>
      <c r="C823" t="s">
        <v>44</v>
      </c>
      <c r="D823" t="s">
        <v>45</v>
      </c>
      <c r="E823" t="s">
        <v>43</v>
      </c>
      <c r="F823" t="s">
        <v>14</v>
      </c>
      <c r="G823" t="s">
        <v>34</v>
      </c>
      <c r="H823" s="5">
        <v>175000</v>
      </c>
      <c r="I823" s="5">
        <v>150000</v>
      </c>
      <c r="J823" s="5">
        <v>25000</v>
      </c>
      <c r="K823" s="5">
        <f>Table2[[#This Row],[Advance Amount]]-Table2[[#This Row],[Expense Amount]]-Table2[[#This Row],[Return Amount]]</f>
        <v>0</v>
      </c>
      <c r="L823" s="5" t="str">
        <f>IF(Table2[[#This Row],[Outstanding]]=0,"Settled",IF(Table2[[#This Row],[Outstanding]]&gt;0,"Outstanding"))</f>
        <v>Settled</v>
      </c>
      <c r="M823" s="5" t="str">
        <f>IF(Table2[[#This Row],[Advance Amount]]=Table2[[#This Row],[Expense Amount]]+Table2[[#This Row],[Return Amount]]+Table2[[#This Row],[Outstanding]],"Ok","Check")</f>
        <v>Ok</v>
      </c>
      <c r="N823" s="11">
        <f>IF(Table2[[#This Row],[Status]]="Settled",0,$Q$2-Table2[[#This Row],[Date]])</f>
        <v>0</v>
      </c>
      <c r="O823" s="5" t="str">
        <f>IF(Table2[[#This Row],[Age Days]]&lt;=7,"Normal",IF(Table2[[#This Row],[Age Days]]&lt;=14,"Perlu Dipantau",IF(Table2[[#This Row],[Age Days]]&lt;=30,"Perlu Ditindaklanjuti","Overdue")))</f>
        <v>Normal</v>
      </c>
    </row>
    <row r="824" spans="1:15" x14ac:dyDescent="0.3">
      <c r="A824" t="s">
        <v>908</v>
      </c>
      <c r="B824" s="3">
        <v>46222</v>
      </c>
      <c r="C824" t="s">
        <v>66</v>
      </c>
      <c r="D824" t="s">
        <v>67</v>
      </c>
      <c r="E824" t="s">
        <v>13</v>
      </c>
      <c r="F824" t="s">
        <v>20</v>
      </c>
      <c r="G824" t="s">
        <v>34</v>
      </c>
      <c r="H824" s="5">
        <v>350000</v>
      </c>
      <c r="I824" s="5">
        <v>300000</v>
      </c>
      <c r="J824" s="5">
        <v>50000</v>
      </c>
      <c r="K824" s="5">
        <f>Table2[[#This Row],[Advance Amount]]-Table2[[#This Row],[Expense Amount]]-Table2[[#This Row],[Return Amount]]</f>
        <v>0</v>
      </c>
      <c r="L824" s="5" t="str">
        <f>IF(Table2[[#This Row],[Outstanding]]=0,"Settled",IF(Table2[[#This Row],[Outstanding]]&gt;0,"Outstanding"))</f>
        <v>Settled</v>
      </c>
      <c r="M824" s="5" t="str">
        <f>IF(Table2[[#This Row],[Advance Amount]]=Table2[[#This Row],[Expense Amount]]+Table2[[#This Row],[Return Amount]]+Table2[[#This Row],[Outstanding]],"Ok","Check")</f>
        <v>Ok</v>
      </c>
      <c r="N824" s="11">
        <f>IF(Table2[[#This Row],[Status]]="Settled",0,$Q$2-Table2[[#This Row],[Date]])</f>
        <v>0</v>
      </c>
      <c r="O824" s="5" t="str">
        <f>IF(Table2[[#This Row],[Age Days]]&lt;=7,"Normal",IF(Table2[[#This Row],[Age Days]]&lt;=14,"Perlu Dipantau",IF(Table2[[#This Row],[Age Days]]&lt;=30,"Perlu Ditindaklanjuti","Overdue")))</f>
        <v>Normal</v>
      </c>
    </row>
    <row r="825" spans="1:15" x14ac:dyDescent="0.3">
      <c r="A825" t="s">
        <v>909</v>
      </c>
      <c r="B825" s="3">
        <v>46223</v>
      </c>
      <c r="C825" t="s">
        <v>32</v>
      </c>
      <c r="D825" t="s">
        <v>33</v>
      </c>
      <c r="E825" t="s">
        <v>27</v>
      </c>
      <c r="F825" t="s">
        <v>20</v>
      </c>
      <c r="G825" t="s">
        <v>40</v>
      </c>
      <c r="H825" s="5">
        <v>100000</v>
      </c>
      <c r="I825" s="5">
        <v>100000</v>
      </c>
      <c r="J825" s="5">
        <v>0</v>
      </c>
      <c r="K825" s="5">
        <f>Table2[[#This Row],[Advance Amount]]-Table2[[#This Row],[Expense Amount]]-Table2[[#This Row],[Return Amount]]</f>
        <v>0</v>
      </c>
      <c r="L825" s="5" t="str">
        <f>IF(Table2[[#This Row],[Outstanding]]=0,"Settled",IF(Table2[[#This Row],[Outstanding]]&gt;0,"Outstanding"))</f>
        <v>Settled</v>
      </c>
      <c r="M825" s="5" t="str">
        <f>IF(Table2[[#This Row],[Advance Amount]]=Table2[[#This Row],[Expense Amount]]+Table2[[#This Row],[Return Amount]]+Table2[[#This Row],[Outstanding]],"Ok","Check")</f>
        <v>Ok</v>
      </c>
      <c r="N825" s="11">
        <f>IF(Table2[[#This Row],[Status]]="Settled",0,$Q$2-Table2[[#This Row],[Date]])</f>
        <v>0</v>
      </c>
      <c r="O825" s="5" t="str">
        <f>IF(Table2[[#This Row],[Age Days]]&lt;=7,"Normal",IF(Table2[[#This Row],[Age Days]]&lt;=14,"Perlu Dipantau",IF(Table2[[#This Row],[Age Days]]&lt;=30,"Perlu Ditindaklanjuti","Overdue")))</f>
        <v>Normal</v>
      </c>
    </row>
    <row r="826" spans="1:15" x14ac:dyDescent="0.3">
      <c r="A826" t="s">
        <v>910</v>
      </c>
      <c r="B826" s="3">
        <v>46223</v>
      </c>
      <c r="C826" t="s">
        <v>32</v>
      </c>
      <c r="D826" t="s">
        <v>33</v>
      </c>
      <c r="E826" t="s">
        <v>27</v>
      </c>
      <c r="F826" t="s">
        <v>20</v>
      </c>
      <c r="G826" t="s">
        <v>34</v>
      </c>
      <c r="H826" s="5">
        <v>250000</v>
      </c>
      <c r="I826" s="5">
        <v>225000</v>
      </c>
      <c r="J826" s="5">
        <v>25000</v>
      </c>
      <c r="K826" s="5">
        <f>Table2[[#This Row],[Advance Amount]]-Table2[[#This Row],[Expense Amount]]-Table2[[#This Row],[Return Amount]]</f>
        <v>0</v>
      </c>
      <c r="L826" s="5" t="str">
        <f>IF(Table2[[#This Row],[Outstanding]]=0,"Settled",IF(Table2[[#This Row],[Outstanding]]&gt;0,"Outstanding"))</f>
        <v>Settled</v>
      </c>
      <c r="M826" s="5" t="str">
        <f>IF(Table2[[#This Row],[Advance Amount]]=Table2[[#This Row],[Expense Amount]]+Table2[[#This Row],[Return Amount]]+Table2[[#This Row],[Outstanding]],"Ok","Check")</f>
        <v>Ok</v>
      </c>
      <c r="N826" s="11">
        <f>IF(Table2[[#This Row],[Status]]="Settled",0,$Q$2-Table2[[#This Row],[Date]])</f>
        <v>0</v>
      </c>
      <c r="O826" s="5" t="str">
        <f>IF(Table2[[#This Row],[Age Days]]&lt;=7,"Normal",IF(Table2[[#This Row],[Age Days]]&lt;=14,"Perlu Dipantau",IF(Table2[[#This Row],[Age Days]]&lt;=30,"Perlu Ditindaklanjuti","Overdue")))</f>
        <v>Normal</v>
      </c>
    </row>
    <row r="827" spans="1:15" x14ac:dyDescent="0.3">
      <c r="A827" t="s">
        <v>911</v>
      </c>
      <c r="B827" s="3">
        <v>46223</v>
      </c>
      <c r="C827" t="s">
        <v>55</v>
      </c>
      <c r="D827" t="s">
        <v>56</v>
      </c>
      <c r="E827" t="s">
        <v>24</v>
      </c>
      <c r="F827" t="s">
        <v>20</v>
      </c>
      <c r="G827" t="s">
        <v>15</v>
      </c>
      <c r="H827" s="5">
        <v>1175000</v>
      </c>
      <c r="I827" s="5">
        <v>0</v>
      </c>
      <c r="J827" s="5">
        <v>0</v>
      </c>
      <c r="K827" s="5">
        <f>Table2[[#This Row],[Advance Amount]]-Table2[[#This Row],[Expense Amount]]-Table2[[#This Row],[Return Amount]]</f>
        <v>1175000</v>
      </c>
      <c r="L827" s="5" t="str">
        <f>IF(Table2[[#This Row],[Outstanding]]=0,"Settled",IF(Table2[[#This Row],[Outstanding]]&gt;0,"Outstanding"))</f>
        <v>Outstanding</v>
      </c>
      <c r="M827" s="5" t="str">
        <f>IF(Table2[[#This Row],[Advance Amount]]=Table2[[#This Row],[Expense Amount]]+Table2[[#This Row],[Return Amount]]+Table2[[#This Row],[Outstanding]],"Ok","Check")</f>
        <v>Ok</v>
      </c>
      <c r="N827" s="11">
        <f>IF(Table2[[#This Row],[Status]]="Settled",0,$Q$2-Table2[[#This Row],[Date]])</f>
        <v>42</v>
      </c>
      <c r="O827" s="5" t="str">
        <f>IF(Table2[[#This Row],[Age Days]]&lt;=7,"Normal",IF(Table2[[#This Row],[Age Days]]&lt;=14,"Perlu Dipantau",IF(Table2[[#This Row],[Age Days]]&lt;=30,"Perlu Ditindaklanjuti","Overdue")))</f>
        <v>Overdue</v>
      </c>
    </row>
    <row r="828" spans="1:15" x14ac:dyDescent="0.3">
      <c r="A828" t="s">
        <v>912</v>
      </c>
      <c r="B828" s="3">
        <v>46223</v>
      </c>
      <c r="C828" t="s">
        <v>38</v>
      </c>
      <c r="D828" t="s">
        <v>39</v>
      </c>
      <c r="E828" t="s">
        <v>24</v>
      </c>
      <c r="F828" t="s">
        <v>14</v>
      </c>
      <c r="G828" t="s">
        <v>61</v>
      </c>
      <c r="H828" s="5">
        <v>175000</v>
      </c>
      <c r="I828" s="5">
        <v>0</v>
      </c>
      <c r="J828" s="5">
        <v>0</v>
      </c>
      <c r="K828" s="5">
        <f>Table2[[#This Row],[Advance Amount]]-Table2[[#This Row],[Expense Amount]]-Table2[[#This Row],[Return Amount]]</f>
        <v>175000</v>
      </c>
      <c r="L828" s="5" t="str">
        <f>IF(Table2[[#This Row],[Outstanding]]=0,"Settled",IF(Table2[[#This Row],[Outstanding]]&gt;0,"Outstanding"))</f>
        <v>Outstanding</v>
      </c>
      <c r="M828" s="5" t="str">
        <f>IF(Table2[[#This Row],[Advance Amount]]=Table2[[#This Row],[Expense Amount]]+Table2[[#This Row],[Return Amount]]+Table2[[#This Row],[Outstanding]],"Ok","Check")</f>
        <v>Ok</v>
      </c>
      <c r="N828" s="11">
        <f>IF(Table2[[#This Row],[Status]]="Settled",0,$Q$2-Table2[[#This Row],[Date]])</f>
        <v>42</v>
      </c>
      <c r="O828" s="5" t="str">
        <f>IF(Table2[[#This Row],[Age Days]]&lt;=7,"Normal",IF(Table2[[#This Row],[Age Days]]&lt;=14,"Perlu Dipantau",IF(Table2[[#This Row],[Age Days]]&lt;=30,"Perlu Ditindaklanjuti","Overdue")))</f>
        <v>Overdue</v>
      </c>
    </row>
    <row r="829" spans="1:15" x14ac:dyDescent="0.3">
      <c r="A829" t="s">
        <v>913</v>
      </c>
      <c r="B829" s="3">
        <v>46223</v>
      </c>
      <c r="C829" t="s">
        <v>17</v>
      </c>
      <c r="D829" t="s">
        <v>18</v>
      </c>
      <c r="E829" t="s">
        <v>19</v>
      </c>
      <c r="F829" t="s">
        <v>14</v>
      </c>
      <c r="G829" t="s">
        <v>40</v>
      </c>
      <c r="H829" s="5">
        <v>275000</v>
      </c>
      <c r="I829" s="5">
        <v>225000</v>
      </c>
      <c r="J829" s="5">
        <v>50000</v>
      </c>
      <c r="K829" s="5">
        <f>Table2[[#This Row],[Advance Amount]]-Table2[[#This Row],[Expense Amount]]-Table2[[#This Row],[Return Amount]]</f>
        <v>0</v>
      </c>
      <c r="L829" s="5" t="str">
        <f>IF(Table2[[#This Row],[Outstanding]]=0,"Settled",IF(Table2[[#This Row],[Outstanding]]&gt;0,"Outstanding"))</f>
        <v>Settled</v>
      </c>
      <c r="M829" s="5" t="str">
        <f>IF(Table2[[#This Row],[Advance Amount]]=Table2[[#This Row],[Expense Amount]]+Table2[[#This Row],[Return Amount]]+Table2[[#This Row],[Outstanding]],"Ok","Check")</f>
        <v>Ok</v>
      </c>
      <c r="N829" s="11">
        <f>IF(Table2[[#This Row],[Status]]="Settled",0,$Q$2-Table2[[#This Row],[Date]])</f>
        <v>0</v>
      </c>
      <c r="O829" s="5" t="str">
        <f>IF(Table2[[#This Row],[Age Days]]&lt;=7,"Normal",IF(Table2[[#This Row],[Age Days]]&lt;=14,"Perlu Dipantau",IF(Table2[[#This Row],[Age Days]]&lt;=30,"Perlu Ditindaklanjuti","Overdue")))</f>
        <v>Normal</v>
      </c>
    </row>
    <row r="830" spans="1:15" x14ac:dyDescent="0.3">
      <c r="A830" t="s">
        <v>914</v>
      </c>
      <c r="B830" s="3">
        <v>46224</v>
      </c>
      <c r="C830" t="s">
        <v>32</v>
      </c>
      <c r="D830" t="s">
        <v>33</v>
      </c>
      <c r="E830" t="s">
        <v>27</v>
      </c>
      <c r="F830" t="s">
        <v>20</v>
      </c>
      <c r="G830" t="s">
        <v>31</v>
      </c>
      <c r="H830" s="5">
        <v>375000</v>
      </c>
      <c r="I830" s="5">
        <v>0</v>
      </c>
      <c r="J830" s="5">
        <v>0</v>
      </c>
      <c r="K830" s="5">
        <f>Table2[[#This Row],[Advance Amount]]-Table2[[#This Row],[Expense Amount]]-Table2[[#This Row],[Return Amount]]</f>
        <v>375000</v>
      </c>
      <c r="L830" s="5" t="str">
        <f>IF(Table2[[#This Row],[Outstanding]]=0,"Settled",IF(Table2[[#This Row],[Outstanding]]&gt;0,"Outstanding"))</f>
        <v>Outstanding</v>
      </c>
      <c r="M830" s="5" t="str">
        <f>IF(Table2[[#This Row],[Advance Amount]]=Table2[[#This Row],[Expense Amount]]+Table2[[#This Row],[Return Amount]]+Table2[[#This Row],[Outstanding]],"Ok","Check")</f>
        <v>Ok</v>
      </c>
      <c r="N830" s="11">
        <f>IF(Table2[[#This Row],[Status]]="Settled",0,$Q$2-Table2[[#This Row],[Date]])</f>
        <v>41</v>
      </c>
      <c r="O830" s="5" t="str">
        <f>IF(Table2[[#This Row],[Age Days]]&lt;=7,"Normal",IF(Table2[[#This Row],[Age Days]]&lt;=14,"Perlu Dipantau",IF(Table2[[#This Row],[Age Days]]&lt;=30,"Perlu Ditindaklanjuti","Overdue")))</f>
        <v>Overdue</v>
      </c>
    </row>
    <row r="831" spans="1:15" x14ac:dyDescent="0.3">
      <c r="A831" t="s">
        <v>915</v>
      </c>
      <c r="B831" s="3">
        <v>46224</v>
      </c>
      <c r="C831" t="s">
        <v>48</v>
      </c>
      <c r="D831" t="s">
        <v>49</v>
      </c>
      <c r="E831" t="s">
        <v>19</v>
      </c>
      <c r="F831" t="s">
        <v>14</v>
      </c>
      <c r="G831" t="s">
        <v>31</v>
      </c>
      <c r="H831" s="5">
        <v>1375000</v>
      </c>
      <c r="I831" s="5">
        <v>1025000</v>
      </c>
      <c r="J831" s="5">
        <v>350000</v>
      </c>
      <c r="K831" s="5">
        <f>Table2[[#This Row],[Advance Amount]]-Table2[[#This Row],[Expense Amount]]-Table2[[#This Row],[Return Amount]]</f>
        <v>0</v>
      </c>
      <c r="L831" s="5" t="str">
        <f>IF(Table2[[#This Row],[Outstanding]]=0,"Settled",IF(Table2[[#This Row],[Outstanding]]&gt;0,"Outstanding"))</f>
        <v>Settled</v>
      </c>
      <c r="M831" s="5" t="str">
        <f>IF(Table2[[#This Row],[Advance Amount]]=Table2[[#This Row],[Expense Amount]]+Table2[[#This Row],[Return Amount]]+Table2[[#This Row],[Outstanding]],"Ok","Check")</f>
        <v>Ok</v>
      </c>
      <c r="N831" s="11">
        <f>IF(Table2[[#This Row],[Status]]="Settled",0,$Q$2-Table2[[#This Row],[Date]])</f>
        <v>0</v>
      </c>
      <c r="O831" s="5" t="str">
        <f>IF(Table2[[#This Row],[Age Days]]&lt;=7,"Normal",IF(Table2[[#This Row],[Age Days]]&lt;=14,"Perlu Dipantau",IF(Table2[[#This Row],[Age Days]]&lt;=30,"Perlu Ditindaklanjuti","Overdue")))</f>
        <v>Normal</v>
      </c>
    </row>
    <row r="832" spans="1:15" x14ac:dyDescent="0.3">
      <c r="A832" t="s">
        <v>916</v>
      </c>
      <c r="B832" s="3">
        <v>46224</v>
      </c>
      <c r="C832" t="s">
        <v>68</v>
      </c>
      <c r="D832" t="s">
        <v>69</v>
      </c>
      <c r="E832" t="s">
        <v>27</v>
      </c>
      <c r="F832" t="s">
        <v>20</v>
      </c>
      <c r="G832" t="s">
        <v>31</v>
      </c>
      <c r="H832" s="5">
        <v>525000</v>
      </c>
      <c r="I832" s="5">
        <v>400000</v>
      </c>
      <c r="J832" s="5">
        <v>125000</v>
      </c>
      <c r="K832" s="5">
        <f>Table2[[#This Row],[Advance Amount]]-Table2[[#This Row],[Expense Amount]]-Table2[[#This Row],[Return Amount]]</f>
        <v>0</v>
      </c>
      <c r="L832" s="5" t="str">
        <f>IF(Table2[[#This Row],[Outstanding]]=0,"Settled",IF(Table2[[#This Row],[Outstanding]]&gt;0,"Outstanding"))</f>
        <v>Settled</v>
      </c>
      <c r="M832" s="5" t="str">
        <f>IF(Table2[[#This Row],[Advance Amount]]=Table2[[#This Row],[Expense Amount]]+Table2[[#This Row],[Return Amount]]+Table2[[#This Row],[Outstanding]],"Ok","Check")</f>
        <v>Ok</v>
      </c>
      <c r="N832" s="11">
        <f>IF(Table2[[#This Row],[Status]]="Settled",0,$Q$2-Table2[[#This Row],[Date]])</f>
        <v>0</v>
      </c>
      <c r="O832" s="5" t="str">
        <f>IF(Table2[[#This Row],[Age Days]]&lt;=7,"Normal",IF(Table2[[#This Row],[Age Days]]&lt;=14,"Perlu Dipantau",IF(Table2[[#This Row],[Age Days]]&lt;=30,"Perlu Ditindaklanjuti","Overdue")))</f>
        <v>Normal</v>
      </c>
    </row>
    <row r="833" spans="1:15" x14ac:dyDescent="0.3">
      <c r="A833" t="s">
        <v>917</v>
      </c>
      <c r="B833" s="3">
        <v>46224</v>
      </c>
      <c r="C833" t="s">
        <v>44</v>
      </c>
      <c r="D833" t="s">
        <v>45</v>
      </c>
      <c r="E833" t="s">
        <v>43</v>
      </c>
      <c r="F833" t="s">
        <v>14</v>
      </c>
      <c r="G833" t="s">
        <v>31</v>
      </c>
      <c r="H833" s="5">
        <v>225000</v>
      </c>
      <c r="I833" s="5">
        <v>200000</v>
      </c>
      <c r="J833" s="5">
        <v>25000</v>
      </c>
      <c r="K833" s="5">
        <f>Table2[[#This Row],[Advance Amount]]-Table2[[#This Row],[Expense Amount]]-Table2[[#This Row],[Return Amount]]</f>
        <v>0</v>
      </c>
      <c r="L833" s="5" t="str">
        <f>IF(Table2[[#This Row],[Outstanding]]=0,"Settled",IF(Table2[[#This Row],[Outstanding]]&gt;0,"Outstanding"))</f>
        <v>Settled</v>
      </c>
      <c r="M833" s="5" t="str">
        <f>IF(Table2[[#This Row],[Advance Amount]]=Table2[[#This Row],[Expense Amount]]+Table2[[#This Row],[Return Amount]]+Table2[[#This Row],[Outstanding]],"Ok","Check")</f>
        <v>Ok</v>
      </c>
      <c r="N833" s="11">
        <f>IF(Table2[[#This Row],[Status]]="Settled",0,$Q$2-Table2[[#This Row],[Date]])</f>
        <v>0</v>
      </c>
      <c r="O833" s="5" t="str">
        <f>IF(Table2[[#This Row],[Age Days]]&lt;=7,"Normal",IF(Table2[[#This Row],[Age Days]]&lt;=14,"Perlu Dipantau",IF(Table2[[#This Row],[Age Days]]&lt;=30,"Perlu Ditindaklanjuti","Overdue")))</f>
        <v>Normal</v>
      </c>
    </row>
    <row r="834" spans="1:15" x14ac:dyDescent="0.3">
      <c r="A834" t="s">
        <v>918</v>
      </c>
      <c r="B834" s="3">
        <v>46224</v>
      </c>
      <c r="C834" t="s">
        <v>53</v>
      </c>
      <c r="D834" t="s">
        <v>54</v>
      </c>
      <c r="E834" t="s">
        <v>43</v>
      </c>
      <c r="F834" t="s">
        <v>20</v>
      </c>
      <c r="G834" t="s">
        <v>15</v>
      </c>
      <c r="H834" s="5">
        <v>800000</v>
      </c>
      <c r="I834" s="5">
        <v>775000</v>
      </c>
      <c r="J834" s="5">
        <v>25000</v>
      </c>
      <c r="K834" s="5">
        <f>Table2[[#This Row],[Advance Amount]]-Table2[[#This Row],[Expense Amount]]-Table2[[#This Row],[Return Amount]]</f>
        <v>0</v>
      </c>
      <c r="L834" s="5" t="str">
        <f>IF(Table2[[#This Row],[Outstanding]]=0,"Settled",IF(Table2[[#This Row],[Outstanding]]&gt;0,"Outstanding"))</f>
        <v>Settled</v>
      </c>
      <c r="M834" s="5" t="str">
        <f>IF(Table2[[#This Row],[Advance Amount]]=Table2[[#This Row],[Expense Amount]]+Table2[[#This Row],[Return Amount]]+Table2[[#This Row],[Outstanding]],"Ok","Check")</f>
        <v>Ok</v>
      </c>
      <c r="N834" s="11">
        <f>IF(Table2[[#This Row],[Status]]="Settled",0,$Q$2-Table2[[#This Row],[Date]])</f>
        <v>0</v>
      </c>
      <c r="O834" s="5" t="str">
        <f>IF(Table2[[#This Row],[Age Days]]&lt;=7,"Normal",IF(Table2[[#This Row],[Age Days]]&lt;=14,"Perlu Dipantau",IF(Table2[[#This Row],[Age Days]]&lt;=30,"Perlu Ditindaklanjuti","Overdue")))</f>
        <v>Normal</v>
      </c>
    </row>
    <row r="835" spans="1:15" x14ac:dyDescent="0.3">
      <c r="A835" t="s">
        <v>919</v>
      </c>
      <c r="B835" s="3">
        <v>46224</v>
      </c>
      <c r="C835" t="s">
        <v>22</v>
      </c>
      <c r="D835" t="s">
        <v>23</v>
      </c>
      <c r="E835" t="s">
        <v>24</v>
      </c>
      <c r="F835" t="s">
        <v>20</v>
      </c>
      <c r="G835" t="s">
        <v>58</v>
      </c>
      <c r="H835" s="5">
        <v>750000</v>
      </c>
      <c r="I835" s="5">
        <v>600000</v>
      </c>
      <c r="J835" s="5">
        <v>150000</v>
      </c>
      <c r="K835" s="5">
        <f>Table2[[#This Row],[Advance Amount]]-Table2[[#This Row],[Expense Amount]]-Table2[[#This Row],[Return Amount]]</f>
        <v>0</v>
      </c>
      <c r="L835" s="5" t="str">
        <f>IF(Table2[[#This Row],[Outstanding]]=0,"Settled",IF(Table2[[#This Row],[Outstanding]]&gt;0,"Outstanding"))</f>
        <v>Settled</v>
      </c>
      <c r="M835" s="5" t="str">
        <f>IF(Table2[[#This Row],[Advance Amount]]=Table2[[#This Row],[Expense Amount]]+Table2[[#This Row],[Return Amount]]+Table2[[#This Row],[Outstanding]],"Ok","Check")</f>
        <v>Ok</v>
      </c>
      <c r="N835" s="11">
        <f>IF(Table2[[#This Row],[Status]]="Settled",0,$Q$2-Table2[[#This Row],[Date]])</f>
        <v>0</v>
      </c>
      <c r="O835" s="5" t="str">
        <f>IF(Table2[[#This Row],[Age Days]]&lt;=7,"Normal",IF(Table2[[#This Row],[Age Days]]&lt;=14,"Perlu Dipantau",IF(Table2[[#This Row],[Age Days]]&lt;=30,"Perlu Ditindaklanjuti","Overdue")))</f>
        <v>Normal</v>
      </c>
    </row>
    <row r="836" spans="1:15" x14ac:dyDescent="0.3">
      <c r="A836" t="s">
        <v>920</v>
      </c>
      <c r="B836" s="3">
        <v>46225</v>
      </c>
      <c r="C836" t="s">
        <v>35</v>
      </c>
      <c r="D836" t="s">
        <v>36</v>
      </c>
      <c r="E836" t="s">
        <v>37</v>
      </c>
      <c r="F836" t="s">
        <v>20</v>
      </c>
      <c r="G836" t="s">
        <v>31</v>
      </c>
      <c r="H836" s="5">
        <v>775000</v>
      </c>
      <c r="I836" s="5">
        <v>575000</v>
      </c>
      <c r="J836" s="5">
        <v>200000</v>
      </c>
      <c r="K836" s="5">
        <f>Table2[[#This Row],[Advance Amount]]-Table2[[#This Row],[Expense Amount]]-Table2[[#This Row],[Return Amount]]</f>
        <v>0</v>
      </c>
      <c r="L836" s="5" t="str">
        <f>IF(Table2[[#This Row],[Outstanding]]=0,"Settled",IF(Table2[[#This Row],[Outstanding]]&gt;0,"Outstanding"))</f>
        <v>Settled</v>
      </c>
      <c r="M836" s="5" t="str">
        <f>IF(Table2[[#This Row],[Advance Amount]]=Table2[[#This Row],[Expense Amount]]+Table2[[#This Row],[Return Amount]]+Table2[[#This Row],[Outstanding]],"Ok","Check")</f>
        <v>Ok</v>
      </c>
      <c r="N836" s="11">
        <f>IF(Table2[[#This Row],[Status]]="Settled",0,$Q$2-Table2[[#This Row],[Date]])</f>
        <v>0</v>
      </c>
      <c r="O836" s="5" t="str">
        <f>IF(Table2[[#This Row],[Age Days]]&lt;=7,"Normal",IF(Table2[[#This Row],[Age Days]]&lt;=14,"Perlu Dipantau",IF(Table2[[#This Row],[Age Days]]&lt;=30,"Perlu Ditindaklanjuti","Overdue")))</f>
        <v>Normal</v>
      </c>
    </row>
    <row r="837" spans="1:15" x14ac:dyDescent="0.3">
      <c r="A837" t="s">
        <v>921</v>
      </c>
      <c r="B837" s="3">
        <v>46225</v>
      </c>
      <c r="C837" t="s">
        <v>38</v>
      </c>
      <c r="D837" t="s">
        <v>39</v>
      </c>
      <c r="E837" t="s">
        <v>24</v>
      </c>
      <c r="F837" t="s">
        <v>20</v>
      </c>
      <c r="G837" t="s">
        <v>34</v>
      </c>
      <c r="H837" s="5">
        <v>275000</v>
      </c>
      <c r="I837" s="5">
        <v>250000</v>
      </c>
      <c r="J837" s="5">
        <v>25000</v>
      </c>
      <c r="K837" s="5">
        <f>Table2[[#This Row],[Advance Amount]]-Table2[[#This Row],[Expense Amount]]-Table2[[#This Row],[Return Amount]]</f>
        <v>0</v>
      </c>
      <c r="L837" s="5" t="str">
        <f>IF(Table2[[#This Row],[Outstanding]]=0,"Settled",IF(Table2[[#This Row],[Outstanding]]&gt;0,"Outstanding"))</f>
        <v>Settled</v>
      </c>
      <c r="M837" s="5" t="str">
        <f>IF(Table2[[#This Row],[Advance Amount]]=Table2[[#This Row],[Expense Amount]]+Table2[[#This Row],[Return Amount]]+Table2[[#This Row],[Outstanding]],"Ok","Check")</f>
        <v>Ok</v>
      </c>
      <c r="N837" s="11">
        <f>IF(Table2[[#This Row],[Status]]="Settled",0,$Q$2-Table2[[#This Row],[Date]])</f>
        <v>0</v>
      </c>
      <c r="O837" s="5" t="str">
        <f>IF(Table2[[#This Row],[Age Days]]&lt;=7,"Normal",IF(Table2[[#This Row],[Age Days]]&lt;=14,"Perlu Dipantau",IF(Table2[[#This Row],[Age Days]]&lt;=30,"Perlu Ditindaklanjuti","Overdue")))</f>
        <v>Normal</v>
      </c>
    </row>
    <row r="838" spans="1:15" x14ac:dyDescent="0.3">
      <c r="A838" t="s">
        <v>922</v>
      </c>
      <c r="B838" s="3">
        <v>46225</v>
      </c>
      <c r="C838" t="s">
        <v>17</v>
      </c>
      <c r="D838" t="s">
        <v>18</v>
      </c>
      <c r="E838" t="s">
        <v>19</v>
      </c>
      <c r="F838" t="s">
        <v>20</v>
      </c>
      <c r="G838" t="s">
        <v>15</v>
      </c>
      <c r="H838" s="5">
        <v>725000</v>
      </c>
      <c r="I838" s="5">
        <v>525000</v>
      </c>
      <c r="J838" s="5">
        <v>200000</v>
      </c>
      <c r="K838" s="5">
        <f>Table2[[#This Row],[Advance Amount]]-Table2[[#This Row],[Expense Amount]]-Table2[[#This Row],[Return Amount]]</f>
        <v>0</v>
      </c>
      <c r="L838" s="5" t="str">
        <f>IF(Table2[[#This Row],[Outstanding]]=0,"Settled",IF(Table2[[#This Row],[Outstanding]]&gt;0,"Outstanding"))</f>
        <v>Settled</v>
      </c>
      <c r="M838" s="5" t="str">
        <f>IF(Table2[[#This Row],[Advance Amount]]=Table2[[#This Row],[Expense Amount]]+Table2[[#This Row],[Return Amount]]+Table2[[#This Row],[Outstanding]],"Ok","Check")</f>
        <v>Ok</v>
      </c>
      <c r="N838" s="11">
        <f>IF(Table2[[#This Row],[Status]]="Settled",0,$Q$2-Table2[[#This Row],[Date]])</f>
        <v>0</v>
      </c>
      <c r="O838" s="5" t="str">
        <f>IF(Table2[[#This Row],[Age Days]]&lt;=7,"Normal",IF(Table2[[#This Row],[Age Days]]&lt;=14,"Perlu Dipantau",IF(Table2[[#This Row],[Age Days]]&lt;=30,"Perlu Ditindaklanjuti","Overdue")))</f>
        <v>Normal</v>
      </c>
    </row>
    <row r="839" spans="1:15" x14ac:dyDescent="0.3">
      <c r="A839" t="s">
        <v>923</v>
      </c>
      <c r="B839" s="3">
        <v>46225</v>
      </c>
      <c r="C839" t="s">
        <v>17</v>
      </c>
      <c r="D839" t="s">
        <v>18</v>
      </c>
      <c r="E839" t="s">
        <v>19</v>
      </c>
      <c r="F839" t="s">
        <v>20</v>
      </c>
      <c r="G839" t="s">
        <v>61</v>
      </c>
      <c r="H839" s="5">
        <v>375000</v>
      </c>
      <c r="I839" s="5">
        <v>275000</v>
      </c>
      <c r="J839" s="5">
        <v>100000</v>
      </c>
      <c r="K839" s="5">
        <f>Table2[[#This Row],[Advance Amount]]-Table2[[#This Row],[Expense Amount]]-Table2[[#This Row],[Return Amount]]</f>
        <v>0</v>
      </c>
      <c r="L839" s="5" t="str">
        <f>IF(Table2[[#This Row],[Outstanding]]=0,"Settled",IF(Table2[[#This Row],[Outstanding]]&gt;0,"Outstanding"))</f>
        <v>Settled</v>
      </c>
      <c r="M839" s="5" t="str">
        <f>IF(Table2[[#This Row],[Advance Amount]]=Table2[[#This Row],[Expense Amount]]+Table2[[#This Row],[Return Amount]]+Table2[[#This Row],[Outstanding]],"Ok","Check")</f>
        <v>Ok</v>
      </c>
      <c r="N839" s="11">
        <f>IF(Table2[[#This Row],[Status]]="Settled",0,$Q$2-Table2[[#This Row],[Date]])</f>
        <v>0</v>
      </c>
      <c r="O839" s="5" t="str">
        <f>IF(Table2[[#This Row],[Age Days]]&lt;=7,"Normal",IF(Table2[[#This Row],[Age Days]]&lt;=14,"Perlu Dipantau",IF(Table2[[#This Row],[Age Days]]&lt;=30,"Perlu Ditindaklanjuti","Overdue")))</f>
        <v>Normal</v>
      </c>
    </row>
    <row r="840" spans="1:15" x14ac:dyDescent="0.3">
      <c r="A840" t="s">
        <v>924</v>
      </c>
      <c r="B840" s="3">
        <v>46225</v>
      </c>
      <c r="C840" t="s">
        <v>22</v>
      </c>
      <c r="D840" t="s">
        <v>23</v>
      </c>
      <c r="E840" t="s">
        <v>24</v>
      </c>
      <c r="F840" t="s">
        <v>20</v>
      </c>
      <c r="G840" t="s">
        <v>58</v>
      </c>
      <c r="H840" s="5">
        <v>850000</v>
      </c>
      <c r="I840" s="5">
        <v>775000</v>
      </c>
      <c r="J840" s="5">
        <v>75000</v>
      </c>
      <c r="K840" s="5">
        <f>Table2[[#This Row],[Advance Amount]]-Table2[[#This Row],[Expense Amount]]-Table2[[#This Row],[Return Amount]]</f>
        <v>0</v>
      </c>
      <c r="L840" s="5" t="str">
        <f>IF(Table2[[#This Row],[Outstanding]]=0,"Settled",IF(Table2[[#This Row],[Outstanding]]&gt;0,"Outstanding"))</f>
        <v>Settled</v>
      </c>
      <c r="M840" s="5" t="str">
        <f>IF(Table2[[#This Row],[Advance Amount]]=Table2[[#This Row],[Expense Amount]]+Table2[[#This Row],[Return Amount]]+Table2[[#This Row],[Outstanding]],"Ok","Check")</f>
        <v>Ok</v>
      </c>
      <c r="N840" s="11">
        <f>IF(Table2[[#This Row],[Status]]="Settled",0,$Q$2-Table2[[#This Row],[Date]])</f>
        <v>0</v>
      </c>
      <c r="O840" s="5" t="str">
        <f>IF(Table2[[#This Row],[Age Days]]&lt;=7,"Normal",IF(Table2[[#This Row],[Age Days]]&lt;=14,"Perlu Dipantau",IF(Table2[[#This Row],[Age Days]]&lt;=30,"Perlu Ditindaklanjuti","Overdue")))</f>
        <v>Normal</v>
      </c>
    </row>
    <row r="841" spans="1:15" x14ac:dyDescent="0.3">
      <c r="A841" t="s">
        <v>925</v>
      </c>
      <c r="B841" s="3">
        <v>46227</v>
      </c>
      <c r="C841" t="s">
        <v>38</v>
      </c>
      <c r="D841" t="s">
        <v>39</v>
      </c>
      <c r="E841" t="s">
        <v>24</v>
      </c>
      <c r="F841" t="s">
        <v>14</v>
      </c>
      <c r="G841" t="s">
        <v>40</v>
      </c>
      <c r="H841" s="5">
        <v>625000</v>
      </c>
      <c r="I841" s="5">
        <v>550000</v>
      </c>
      <c r="J841" s="5">
        <v>75000</v>
      </c>
      <c r="K841" s="5">
        <f>Table2[[#This Row],[Advance Amount]]-Table2[[#This Row],[Expense Amount]]-Table2[[#This Row],[Return Amount]]</f>
        <v>0</v>
      </c>
      <c r="L841" s="5" t="str">
        <f>IF(Table2[[#This Row],[Outstanding]]=0,"Settled",IF(Table2[[#This Row],[Outstanding]]&gt;0,"Outstanding"))</f>
        <v>Settled</v>
      </c>
      <c r="M841" s="5" t="str">
        <f>IF(Table2[[#This Row],[Advance Amount]]=Table2[[#This Row],[Expense Amount]]+Table2[[#This Row],[Return Amount]]+Table2[[#This Row],[Outstanding]],"Ok","Check")</f>
        <v>Ok</v>
      </c>
      <c r="N841" s="11">
        <f>IF(Table2[[#This Row],[Status]]="Settled",0,$Q$2-Table2[[#This Row],[Date]])</f>
        <v>0</v>
      </c>
      <c r="O841" s="5" t="str">
        <f>IF(Table2[[#This Row],[Age Days]]&lt;=7,"Normal",IF(Table2[[#This Row],[Age Days]]&lt;=14,"Perlu Dipantau",IF(Table2[[#This Row],[Age Days]]&lt;=30,"Perlu Ditindaklanjuti","Overdue")))</f>
        <v>Normal</v>
      </c>
    </row>
    <row r="842" spans="1:15" x14ac:dyDescent="0.3">
      <c r="A842" t="s">
        <v>926</v>
      </c>
      <c r="B842" s="3">
        <v>46227</v>
      </c>
      <c r="C842" t="s">
        <v>17</v>
      </c>
      <c r="D842" t="s">
        <v>18</v>
      </c>
      <c r="E842" t="s">
        <v>19</v>
      </c>
      <c r="F842" t="s">
        <v>20</v>
      </c>
      <c r="G842" t="s">
        <v>15</v>
      </c>
      <c r="H842" s="5">
        <v>1400000</v>
      </c>
      <c r="I842" s="5">
        <v>0</v>
      </c>
      <c r="J842" s="5">
        <v>0</v>
      </c>
      <c r="K842" s="5">
        <f>Table2[[#This Row],[Advance Amount]]-Table2[[#This Row],[Expense Amount]]-Table2[[#This Row],[Return Amount]]</f>
        <v>1400000</v>
      </c>
      <c r="L842" s="5" t="str">
        <f>IF(Table2[[#This Row],[Outstanding]]=0,"Settled",IF(Table2[[#This Row],[Outstanding]]&gt;0,"Outstanding"))</f>
        <v>Outstanding</v>
      </c>
      <c r="M842" s="5" t="str">
        <f>IF(Table2[[#This Row],[Advance Amount]]=Table2[[#This Row],[Expense Amount]]+Table2[[#This Row],[Return Amount]]+Table2[[#This Row],[Outstanding]],"Ok","Check")</f>
        <v>Ok</v>
      </c>
      <c r="N842" s="11">
        <f>IF(Table2[[#This Row],[Status]]="Settled",0,$Q$2-Table2[[#This Row],[Date]])</f>
        <v>38</v>
      </c>
      <c r="O842" s="5" t="str">
        <f>IF(Table2[[#This Row],[Age Days]]&lt;=7,"Normal",IF(Table2[[#This Row],[Age Days]]&lt;=14,"Perlu Dipantau",IF(Table2[[#This Row],[Age Days]]&lt;=30,"Perlu Ditindaklanjuti","Overdue")))</f>
        <v>Overdue</v>
      </c>
    </row>
    <row r="843" spans="1:15" x14ac:dyDescent="0.3">
      <c r="A843" t="s">
        <v>927</v>
      </c>
      <c r="B843" s="3">
        <v>46228</v>
      </c>
      <c r="C843" t="s">
        <v>11</v>
      </c>
      <c r="D843" t="s">
        <v>12</v>
      </c>
      <c r="E843" t="s">
        <v>13</v>
      </c>
      <c r="F843" t="s">
        <v>14</v>
      </c>
      <c r="G843" t="s">
        <v>58</v>
      </c>
      <c r="H843" s="5">
        <v>975000</v>
      </c>
      <c r="I843" s="5">
        <v>850000</v>
      </c>
      <c r="J843" s="5">
        <v>125000</v>
      </c>
      <c r="K843" s="5">
        <f>Table2[[#This Row],[Advance Amount]]-Table2[[#This Row],[Expense Amount]]-Table2[[#This Row],[Return Amount]]</f>
        <v>0</v>
      </c>
      <c r="L843" s="5" t="str">
        <f>IF(Table2[[#This Row],[Outstanding]]=0,"Settled",IF(Table2[[#This Row],[Outstanding]]&gt;0,"Outstanding"))</f>
        <v>Settled</v>
      </c>
      <c r="M843" s="5" t="str">
        <f>IF(Table2[[#This Row],[Advance Amount]]=Table2[[#This Row],[Expense Amount]]+Table2[[#This Row],[Return Amount]]+Table2[[#This Row],[Outstanding]],"Ok","Check")</f>
        <v>Ok</v>
      </c>
      <c r="N843" s="11">
        <f>IF(Table2[[#This Row],[Status]]="Settled",0,$Q$2-Table2[[#This Row],[Date]])</f>
        <v>0</v>
      </c>
      <c r="O843" s="5" t="str">
        <f>IF(Table2[[#This Row],[Age Days]]&lt;=7,"Normal",IF(Table2[[#This Row],[Age Days]]&lt;=14,"Perlu Dipantau",IF(Table2[[#This Row],[Age Days]]&lt;=30,"Perlu Ditindaklanjuti","Overdue")))</f>
        <v>Normal</v>
      </c>
    </row>
    <row r="844" spans="1:15" x14ac:dyDescent="0.3">
      <c r="A844" t="s">
        <v>928</v>
      </c>
      <c r="B844" s="3">
        <v>46229</v>
      </c>
      <c r="C844" t="s">
        <v>35</v>
      </c>
      <c r="D844" t="s">
        <v>36</v>
      </c>
      <c r="E844" t="s">
        <v>37</v>
      </c>
      <c r="F844" t="s">
        <v>14</v>
      </c>
      <c r="G844" t="s">
        <v>61</v>
      </c>
      <c r="H844" s="5">
        <v>100000</v>
      </c>
      <c r="I844" s="5">
        <v>0</v>
      </c>
      <c r="J844" s="5">
        <v>0</v>
      </c>
      <c r="K844" s="5">
        <f>Table2[[#This Row],[Advance Amount]]-Table2[[#This Row],[Expense Amount]]-Table2[[#This Row],[Return Amount]]</f>
        <v>100000</v>
      </c>
      <c r="L844" s="5" t="str">
        <f>IF(Table2[[#This Row],[Outstanding]]=0,"Settled",IF(Table2[[#This Row],[Outstanding]]&gt;0,"Outstanding"))</f>
        <v>Outstanding</v>
      </c>
      <c r="M844" s="5" t="str">
        <f>IF(Table2[[#This Row],[Advance Amount]]=Table2[[#This Row],[Expense Amount]]+Table2[[#This Row],[Return Amount]]+Table2[[#This Row],[Outstanding]],"Ok","Check")</f>
        <v>Ok</v>
      </c>
      <c r="N844" s="11">
        <f>IF(Table2[[#This Row],[Status]]="Settled",0,$Q$2-Table2[[#This Row],[Date]])</f>
        <v>36</v>
      </c>
      <c r="O844" s="5" t="str">
        <f>IF(Table2[[#This Row],[Age Days]]&lt;=7,"Normal",IF(Table2[[#This Row],[Age Days]]&lt;=14,"Perlu Dipantau",IF(Table2[[#This Row],[Age Days]]&lt;=30,"Perlu Ditindaklanjuti","Overdue")))</f>
        <v>Overdue</v>
      </c>
    </row>
    <row r="845" spans="1:15" x14ac:dyDescent="0.3">
      <c r="A845" t="s">
        <v>929</v>
      </c>
      <c r="B845" s="3">
        <v>46229</v>
      </c>
      <c r="C845" t="s">
        <v>44</v>
      </c>
      <c r="D845" t="s">
        <v>45</v>
      </c>
      <c r="E845" t="s">
        <v>43</v>
      </c>
      <c r="F845" t="s">
        <v>20</v>
      </c>
      <c r="G845" t="s">
        <v>61</v>
      </c>
      <c r="H845" s="5">
        <v>625000</v>
      </c>
      <c r="I845" s="5">
        <v>0</v>
      </c>
      <c r="J845" s="5">
        <v>0</v>
      </c>
      <c r="K845" s="5">
        <f>Table2[[#This Row],[Advance Amount]]-Table2[[#This Row],[Expense Amount]]-Table2[[#This Row],[Return Amount]]</f>
        <v>625000</v>
      </c>
      <c r="L845" s="5" t="str">
        <f>IF(Table2[[#This Row],[Outstanding]]=0,"Settled",IF(Table2[[#This Row],[Outstanding]]&gt;0,"Outstanding"))</f>
        <v>Outstanding</v>
      </c>
      <c r="M845" s="5" t="str">
        <f>IF(Table2[[#This Row],[Advance Amount]]=Table2[[#This Row],[Expense Amount]]+Table2[[#This Row],[Return Amount]]+Table2[[#This Row],[Outstanding]],"Ok","Check")</f>
        <v>Ok</v>
      </c>
      <c r="N845" s="11">
        <f>IF(Table2[[#This Row],[Status]]="Settled",0,$Q$2-Table2[[#This Row],[Date]])</f>
        <v>36</v>
      </c>
      <c r="O845" s="5" t="str">
        <f>IF(Table2[[#This Row],[Age Days]]&lt;=7,"Normal",IF(Table2[[#This Row],[Age Days]]&lt;=14,"Perlu Dipantau",IF(Table2[[#This Row],[Age Days]]&lt;=30,"Perlu Ditindaklanjuti","Overdue")))</f>
        <v>Overdue</v>
      </c>
    </row>
    <row r="846" spans="1:15" x14ac:dyDescent="0.3">
      <c r="A846" t="s">
        <v>930</v>
      </c>
      <c r="B846" s="3">
        <v>46229</v>
      </c>
      <c r="C846" t="s">
        <v>50</v>
      </c>
      <c r="D846" t="s">
        <v>51</v>
      </c>
      <c r="E846" t="s">
        <v>52</v>
      </c>
      <c r="F846" t="s">
        <v>14</v>
      </c>
      <c r="G846" t="s">
        <v>28</v>
      </c>
      <c r="H846" s="5">
        <v>355000</v>
      </c>
      <c r="I846" s="5">
        <v>325000</v>
      </c>
      <c r="J846" s="5">
        <v>30000</v>
      </c>
      <c r="K846" s="5">
        <f>Table2[[#This Row],[Advance Amount]]-Table2[[#This Row],[Expense Amount]]-Table2[[#This Row],[Return Amount]]</f>
        <v>0</v>
      </c>
      <c r="L846" s="5" t="str">
        <f>IF(Table2[[#This Row],[Outstanding]]=0,"Settled",IF(Table2[[#This Row],[Outstanding]]&gt;0,"Outstanding"))</f>
        <v>Settled</v>
      </c>
      <c r="M846" s="5" t="str">
        <f>IF(Table2[[#This Row],[Advance Amount]]=Table2[[#This Row],[Expense Amount]]+Table2[[#This Row],[Return Amount]]+Table2[[#This Row],[Outstanding]],"Ok","Check")</f>
        <v>Ok</v>
      </c>
      <c r="N846" s="11">
        <f>IF(Table2[[#This Row],[Status]]="Settled",0,$Q$2-Table2[[#This Row],[Date]])</f>
        <v>0</v>
      </c>
      <c r="O846" s="5" t="str">
        <f>IF(Table2[[#This Row],[Age Days]]&lt;=7,"Normal",IF(Table2[[#This Row],[Age Days]]&lt;=14,"Perlu Dipantau",IF(Table2[[#This Row],[Age Days]]&lt;=30,"Perlu Ditindaklanjuti","Overdue")))</f>
        <v>Normal</v>
      </c>
    </row>
    <row r="847" spans="1:15" x14ac:dyDescent="0.3">
      <c r="A847" t="s">
        <v>931</v>
      </c>
      <c r="B847" s="3">
        <v>46229</v>
      </c>
      <c r="C847" t="s">
        <v>22</v>
      </c>
      <c r="D847" t="s">
        <v>23</v>
      </c>
      <c r="E847" t="s">
        <v>24</v>
      </c>
      <c r="F847" t="s">
        <v>20</v>
      </c>
      <c r="G847" t="s">
        <v>31</v>
      </c>
      <c r="H847" s="5">
        <v>1300000</v>
      </c>
      <c r="I847" s="5">
        <v>0</v>
      </c>
      <c r="J847" s="5">
        <v>0</v>
      </c>
      <c r="K847" s="5">
        <f>Table2[[#This Row],[Advance Amount]]-Table2[[#This Row],[Expense Amount]]-Table2[[#This Row],[Return Amount]]</f>
        <v>1300000</v>
      </c>
      <c r="L847" s="5" t="str">
        <f>IF(Table2[[#This Row],[Outstanding]]=0,"Settled",IF(Table2[[#This Row],[Outstanding]]&gt;0,"Outstanding"))</f>
        <v>Outstanding</v>
      </c>
      <c r="M847" s="5" t="str">
        <f>IF(Table2[[#This Row],[Advance Amount]]=Table2[[#This Row],[Expense Amount]]+Table2[[#This Row],[Return Amount]]+Table2[[#This Row],[Outstanding]],"Ok","Check")</f>
        <v>Ok</v>
      </c>
      <c r="N847" s="11">
        <f>IF(Table2[[#This Row],[Status]]="Settled",0,$Q$2-Table2[[#This Row],[Date]])</f>
        <v>36</v>
      </c>
      <c r="O847" s="5" t="str">
        <f>IF(Table2[[#This Row],[Age Days]]&lt;=7,"Normal",IF(Table2[[#This Row],[Age Days]]&lt;=14,"Perlu Dipantau",IF(Table2[[#This Row],[Age Days]]&lt;=30,"Perlu Ditindaklanjuti","Overdue")))</f>
        <v>Overdue</v>
      </c>
    </row>
    <row r="848" spans="1:15" x14ac:dyDescent="0.3">
      <c r="A848" t="s">
        <v>932</v>
      </c>
      <c r="B848" s="3">
        <v>46229</v>
      </c>
      <c r="C848" t="s">
        <v>59</v>
      </c>
      <c r="D848" t="s">
        <v>60</v>
      </c>
      <c r="E848" t="s">
        <v>19</v>
      </c>
      <c r="F848" t="s">
        <v>20</v>
      </c>
      <c r="G848" t="s">
        <v>34</v>
      </c>
      <c r="H848" s="5">
        <v>600000</v>
      </c>
      <c r="I848" s="5">
        <v>475000</v>
      </c>
      <c r="J848" s="5">
        <v>125000</v>
      </c>
      <c r="K848" s="5">
        <f>Table2[[#This Row],[Advance Amount]]-Table2[[#This Row],[Expense Amount]]-Table2[[#This Row],[Return Amount]]</f>
        <v>0</v>
      </c>
      <c r="L848" s="5" t="str">
        <f>IF(Table2[[#This Row],[Outstanding]]=0,"Settled",IF(Table2[[#This Row],[Outstanding]]&gt;0,"Outstanding"))</f>
        <v>Settled</v>
      </c>
      <c r="M848" s="5" t="str">
        <f>IF(Table2[[#This Row],[Advance Amount]]=Table2[[#This Row],[Expense Amount]]+Table2[[#This Row],[Return Amount]]+Table2[[#This Row],[Outstanding]],"Ok","Check")</f>
        <v>Ok</v>
      </c>
      <c r="N848" s="11">
        <f>IF(Table2[[#This Row],[Status]]="Settled",0,$Q$2-Table2[[#This Row],[Date]])</f>
        <v>0</v>
      </c>
      <c r="O848" s="5" t="str">
        <f>IF(Table2[[#This Row],[Age Days]]&lt;=7,"Normal",IF(Table2[[#This Row],[Age Days]]&lt;=14,"Perlu Dipantau",IF(Table2[[#This Row],[Age Days]]&lt;=30,"Perlu Ditindaklanjuti","Overdue")))</f>
        <v>Normal</v>
      </c>
    </row>
    <row r="849" spans="1:15" x14ac:dyDescent="0.3">
      <c r="A849" t="s">
        <v>933</v>
      </c>
      <c r="B849" s="3">
        <v>46229</v>
      </c>
      <c r="C849" t="s">
        <v>25</v>
      </c>
      <c r="D849" t="s">
        <v>26</v>
      </c>
      <c r="E849" t="s">
        <v>27</v>
      </c>
      <c r="F849" t="s">
        <v>14</v>
      </c>
      <c r="G849" t="s">
        <v>15</v>
      </c>
      <c r="H849" s="5">
        <v>2450000</v>
      </c>
      <c r="I849" s="5">
        <v>2250000</v>
      </c>
      <c r="J849" s="5">
        <v>200000</v>
      </c>
      <c r="K849" s="5">
        <f>Table2[[#This Row],[Advance Amount]]-Table2[[#This Row],[Expense Amount]]-Table2[[#This Row],[Return Amount]]</f>
        <v>0</v>
      </c>
      <c r="L849" s="5" t="str">
        <f>IF(Table2[[#This Row],[Outstanding]]=0,"Settled",IF(Table2[[#This Row],[Outstanding]]&gt;0,"Outstanding"))</f>
        <v>Settled</v>
      </c>
      <c r="M849" s="5" t="str">
        <f>IF(Table2[[#This Row],[Advance Amount]]=Table2[[#This Row],[Expense Amount]]+Table2[[#This Row],[Return Amount]]+Table2[[#This Row],[Outstanding]],"Ok","Check")</f>
        <v>Ok</v>
      </c>
      <c r="N849" s="11">
        <f>IF(Table2[[#This Row],[Status]]="Settled",0,$Q$2-Table2[[#This Row],[Date]])</f>
        <v>0</v>
      </c>
      <c r="O849" s="5" t="str">
        <f>IF(Table2[[#This Row],[Age Days]]&lt;=7,"Normal",IF(Table2[[#This Row],[Age Days]]&lt;=14,"Perlu Dipantau",IF(Table2[[#This Row],[Age Days]]&lt;=30,"Perlu Ditindaklanjuti","Overdue")))</f>
        <v>Normal</v>
      </c>
    </row>
    <row r="850" spans="1:15" x14ac:dyDescent="0.3">
      <c r="A850" t="s">
        <v>934</v>
      </c>
      <c r="B850" s="3">
        <v>46230</v>
      </c>
      <c r="C850" t="s">
        <v>44</v>
      </c>
      <c r="D850" t="s">
        <v>45</v>
      </c>
      <c r="E850" t="s">
        <v>43</v>
      </c>
      <c r="F850" t="s">
        <v>14</v>
      </c>
      <c r="G850" t="s">
        <v>31</v>
      </c>
      <c r="H850" s="5">
        <v>875000</v>
      </c>
      <c r="I850" s="5">
        <v>675000</v>
      </c>
      <c r="J850" s="5">
        <v>200000</v>
      </c>
      <c r="K850" s="5">
        <f>Table2[[#This Row],[Advance Amount]]-Table2[[#This Row],[Expense Amount]]-Table2[[#This Row],[Return Amount]]</f>
        <v>0</v>
      </c>
      <c r="L850" s="5" t="str">
        <f>IF(Table2[[#This Row],[Outstanding]]=0,"Settled",IF(Table2[[#This Row],[Outstanding]]&gt;0,"Outstanding"))</f>
        <v>Settled</v>
      </c>
      <c r="M850" s="5" t="str">
        <f>IF(Table2[[#This Row],[Advance Amount]]=Table2[[#This Row],[Expense Amount]]+Table2[[#This Row],[Return Amount]]+Table2[[#This Row],[Outstanding]],"Ok","Check")</f>
        <v>Ok</v>
      </c>
      <c r="N850" s="11">
        <f>IF(Table2[[#This Row],[Status]]="Settled",0,$Q$2-Table2[[#This Row],[Date]])</f>
        <v>0</v>
      </c>
      <c r="O850" s="5" t="str">
        <f>IF(Table2[[#This Row],[Age Days]]&lt;=7,"Normal",IF(Table2[[#This Row],[Age Days]]&lt;=14,"Perlu Dipantau",IF(Table2[[#This Row],[Age Days]]&lt;=30,"Perlu Ditindaklanjuti","Overdue")))</f>
        <v>Normal</v>
      </c>
    </row>
    <row r="851" spans="1:15" x14ac:dyDescent="0.3">
      <c r="A851" t="s">
        <v>935</v>
      </c>
      <c r="B851" s="3">
        <v>46230</v>
      </c>
      <c r="C851" t="s">
        <v>50</v>
      </c>
      <c r="D851" t="s">
        <v>51</v>
      </c>
      <c r="E851" t="s">
        <v>52</v>
      </c>
      <c r="F851" t="s">
        <v>20</v>
      </c>
      <c r="G851" t="s">
        <v>28</v>
      </c>
      <c r="H851" s="5">
        <v>105000</v>
      </c>
      <c r="I851" s="5">
        <v>100000</v>
      </c>
      <c r="J851" s="5">
        <v>5000</v>
      </c>
      <c r="K851" s="5">
        <f>Table2[[#This Row],[Advance Amount]]-Table2[[#This Row],[Expense Amount]]-Table2[[#This Row],[Return Amount]]</f>
        <v>0</v>
      </c>
      <c r="L851" s="5" t="str">
        <f>IF(Table2[[#This Row],[Outstanding]]=0,"Settled",IF(Table2[[#This Row],[Outstanding]]&gt;0,"Outstanding"))</f>
        <v>Settled</v>
      </c>
      <c r="M851" s="5" t="str">
        <f>IF(Table2[[#This Row],[Advance Amount]]=Table2[[#This Row],[Expense Amount]]+Table2[[#This Row],[Return Amount]]+Table2[[#This Row],[Outstanding]],"Ok","Check")</f>
        <v>Ok</v>
      </c>
      <c r="N851" s="11">
        <f>IF(Table2[[#This Row],[Status]]="Settled",0,$Q$2-Table2[[#This Row],[Date]])</f>
        <v>0</v>
      </c>
      <c r="O851" s="5" t="str">
        <f>IF(Table2[[#This Row],[Age Days]]&lt;=7,"Normal",IF(Table2[[#This Row],[Age Days]]&lt;=14,"Perlu Dipantau",IF(Table2[[#This Row],[Age Days]]&lt;=30,"Perlu Ditindaklanjuti","Overdue")))</f>
        <v>Normal</v>
      </c>
    </row>
    <row r="852" spans="1:15" x14ac:dyDescent="0.3">
      <c r="A852" t="s">
        <v>936</v>
      </c>
      <c r="B852" s="3">
        <v>46230</v>
      </c>
      <c r="C852" t="s">
        <v>66</v>
      </c>
      <c r="D852" t="s">
        <v>67</v>
      </c>
      <c r="E852" t="s">
        <v>13</v>
      </c>
      <c r="F852" t="s">
        <v>14</v>
      </c>
      <c r="G852" t="s">
        <v>58</v>
      </c>
      <c r="H852" s="5">
        <v>325000</v>
      </c>
      <c r="I852" s="5">
        <v>275000</v>
      </c>
      <c r="J852" s="5">
        <v>50000</v>
      </c>
      <c r="K852" s="5">
        <f>Table2[[#This Row],[Advance Amount]]-Table2[[#This Row],[Expense Amount]]-Table2[[#This Row],[Return Amount]]</f>
        <v>0</v>
      </c>
      <c r="L852" s="5" t="str">
        <f>IF(Table2[[#This Row],[Outstanding]]=0,"Settled",IF(Table2[[#This Row],[Outstanding]]&gt;0,"Outstanding"))</f>
        <v>Settled</v>
      </c>
      <c r="M852" s="5" t="str">
        <f>IF(Table2[[#This Row],[Advance Amount]]=Table2[[#This Row],[Expense Amount]]+Table2[[#This Row],[Return Amount]]+Table2[[#This Row],[Outstanding]],"Ok","Check")</f>
        <v>Ok</v>
      </c>
      <c r="N852" s="11">
        <f>IF(Table2[[#This Row],[Status]]="Settled",0,$Q$2-Table2[[#This Row],[Date]])</f>
        <v>0</v>
      </c>
      <c r="O852" s="5" t="str">
        <f>IF(Table2[[#This Row],[Age Days]]&lt;=7,"Normal",IF(Table2[[#This Row],[Age Days]]&lt;=14,"Perlu Dipantau",IF(Table2[[#This Row],[Age Days]]&lt;=30,"Perlu Ditindaklanjuti","Overdue")))</f>
        <v>Normal</v>
      </c>
    </row>
    <row r="853" spans="1:15" x14ac:dyDescent="0.3">
      <c r="A853" t="s">
        <v>937</v>
      </c>
      <c r="B853" s="3">
        <v>46230</v>
      </c>
      <c r="C853" t="s">
        <v>22</v>
      </c>
      <c r="D853" t="s">
        <v>23</v>
      </c>
      <c r="E853" t="s">
        <v>24</v>
      </c>
      <c r="F853" t="s">
        <v>14</v>
      </c>
      <c r="G853" t="s">
        <v>57</v>
      </c>
      <c r="H853" s="5">
        <v>205000</v>
      </c>
      <c r="I853" s="5">
        <v>150000</v>
      </c>
      <c r="J853" s="5">
        <v>55000</v>
      </c>
      <c r="K853" s="5">
        <f>Table2[[#This Row],[Advance Amount]]-Table2[[#This Row],[Expense Amount]]-Table2[[#This Row],[Return Amount]]</f>
        <v>0</v>
      </c>
      <c r="L853" s="5" t="str">
        <f>IF(Table2[[#This Row],[Outstanding]]=0,"Settled",IF(Table2[[#This Row],[Outstanding]]&gt;0,"Outstanding"))</f>
        <v>Settled</v>
      </c>
      <c r="M853" s="5" t="str">
        <f>IF(Table2[[#This Row],[Advance Amount]]=Table2[[#This Row],[Expense Amount]]+Table2[[#This Row],[Return Amount]]+Table2[[#This Row],[Outstanding]],"Ok","Check")</f>
        <v>Ok</v>
      </c>
      <c r="N853" s="11">
        <f>IF(Table2[[#This Row],[Status]]="Settled",0,$Q$2-Table2[[#This Row],[Date]])</f>
        <v>0</v>
      </c>
      <c r="O853" s="5" t="str">
        <f>IF(Table2[[#This Row],[Age Days]]&lt;=7,"Normal",IF(Table2[[#This Row],[Age Days]]&lt;=14,"Perlu Dipantau",IF(Table2[[#This Row],[Age Days]]&lt;=30,"Perlu Ditindaklanjuti","Overdue")))</f>
        <v>Normal</v>
      </c>
    </row>
    <row r="854" spans="1:15" x14ac:dyDescent="0.3">
      <c r="A854" t="s">
        <v>938</v>
      </c>
      <c r="B854" s="3">
        <v>46230</v>
      </c>
      <c r="C854" t="s">
        <v>25</v>
      </c>
      <c r="D854" t="s">
        <v>26</v>
      </c>
      <c r="E854" t="s">
        <v>27</v>
      </c>
      <c r="F854" t="s">
        <v>14</v>
      </c>
      <c r="G854" t="s">
        <v>40</v>
      </c>
      <c r="H854" s="5">
        <v>625000</v>
      </c>
      <c r="I854" s="5">
        <v>550000</v>
      </c>
      <c r="J854" s="5">
        <v>75000</v>
      </c>
      <c r="K854" s="5">
        <f>Table2[[#This Row],[Advance Amount]]-Table2[[#This Row],[Expense Amount]]-Table2[[#This Row],[Return Amount]]</f>
        <v>0</v>
      </c>
      <c r="L854" s="5" t="str">
        <f>IF(Table2[[#This Row],[Outstanding]]=0,"Settled",IF(Table2[[#This Row],[Outstanding]]&gt;0,"Outstanding"))</f>
        <v>Settled</v>
      </c>
      <c r="M854" s="5" t="str">
        <f>IF(Table2[[#This Row],[Advance Amount]]=Table2[[#This Row],[Expense Amount]]+Table2[[#This Row],[Return Amount]]+Table2[[#This Row],[Outstanding]],"Ok","Check")</f>
        <v>Ok</v>
      </c>
      <c r="N854" s="11">
        <f>IF(Table2[[#This Row],[Status]]="Settled",0,$Q$2-Table2[[#This Row],[Date]])</f>
        <v>0</v>
      </c>
      <c r="O854" s="5" t="str">
        <f>IF(Table2[[#This Row],[Age Days]]&lt;=7,"Normal",IF(Table2[[#This Row],[Age Days]]&lt;=14,"Perlu Dipantau",IF(Table2[[#This Row],[Age Days]]&lt;=30,"Perlu Ditindaklanjuti","Overdue")))</f>
        <v>Normal</v>
      </c>
    </row>
    <row r="855" spans="1:15" x14ac:dyDescent="0.3">
      <c r="A855" t="s">
        <v>939</v>
      </c>
      <c r="B855" s="3">
        <v>46230</v>
      </c>
      <c r="C855" t="s">
        <v>25</v>
      </c>
      <c r="D855" t="s">
        <v>26</v>
      </c>
      <c r="E855" t="s">
        <v>27</v>
      </c>
      <c r="F855" t="s">
        <v>20</v>
      </c>
      <c r="G855" t="s">
        <v>15</v>
      </c>
      <c r="H855" s="5">
        <v>2300000</v>
      </c>
      <c r="I855" s="5">
        <v>2075000</v>
      </c>
      <c r="J855" s="5">
        <v>225000</v>
      </c>
      <c r="K855" s="5">
        <f>Table2[[#This Row],[Advance Amount]]-Table2[[#This Row],[Expense Amount]]-Table2[[#This Row],[Return Amount]]</f>
        <v>0</v>
      </c>
      <c r="L855" s="5" t="str">
        <f>IF(Table2[[#This Row],[Outstanding]]=0,"Settled",IF(Table2[[#This Row],[Outstanding]]&gt;0,"Outstanding"))</f>
        <v>Settled</v>
      </c>
      <c r="M855" s="5" t="str">
        <f>IF(Table2[[#This Row],[Advance Amount]]=Table2[[#This Row],[Expense Amount]]+Table2[[#This Row],[Return Amount]]+Table2[[#This Row],[Outstanding]],"Ok","Check")</f>
        <v>Ok</v>
      </c>
      <c r="N855" s="11">
        <f>IF(Table2[[#This Row],[Status]]="Settled",0,$Q$2-Table2[[#This Row],[Date]])</f>
        <v>0</v>
      </c>
      <c r="O855" s="5" t="str">
        <f>IF(Table2[[#This Row],[Age Days]]&lt;=7,"Normal",IF(Table2[[#This Row],[Age Days]]&lt;=14,"Perlu Dipantau",IF(Table2[[#This Row],[Age Days]]&lt;=30,"Perlu Ditindaklanjuti","Overdue")))</f>
        <v>Normal</v>
      </c>
    </row>
    <row r="856" spans="1:15" x14ac:dyDescent="0.3">
      <c r="A856" t="s">
        <v>940</v>
      </c>
      <c r="B856" s="3">
        <v>46231</v>
      </c>
      <c r="C856" t="s">
        <v>32</v>
      </c>
      <c r="D856" t="s">
        <v>33</v>
      </c>
      <c r="E856" t="s">
        <v>27</v>
      </c>
      <c r="F856" t="s">
        <v>20</v>
      </c>
      <c r="G856" t="s">
        <v>58</v>
      </c>
      <c r="H856" s="5">
        <v>1200000</v>
      </c>
      <c r="I856" s="5">
        <v>975000</v>
      </c>
      <c r="J856" s="5">
        <v>225000</v>
      </c>
      <c r="K856" s="5">
        <f>Table2[[#This Row],[Advance Amount]]-Table2[[#This Row],[Expense Amount]]-Table2[[#This Row],[Return Amount]]</f>
        <v>0</v>
      </c>
      <c r="L856" s="5" t="str">
        <f>IF(Table2[[#This Row],[Outstanding]]=0,"Settled",IF(Table2[[#This Row],[Outstanding]]&gt;0,"Outstanding"))</f>
        <v>Settled</v>
      </c>
      <c r="M856" s="5" t="str">
        <f>IF(Table2[[#This Row],[Advance Amount]]=Table2[[#This Row],[Expense Amount]]+Table2[[#This Row],[Return Amount]]+Table2[[#This Row],[Outstanding]],"Ok","Check")</f>
        <v>Ok</v>
      </c>
      <c r="N856" s="11">
        <f>IF(Table2[[#This Row],[Status]]="Settled",0,$Q$2-Table2[[#This Row],[Date]])</f>
        <v>0</v>
      </c>
      <c r="O856" s="5" t="str">
        <f>IF(Table2[[#This Row],[Age Days]]&lt;=7,"Normal",IF(Table2[[#This Row],[Age Days]]&lt;=14,"Perlu Dipantau",IF(Table2[[#This Row],[Age Days]]&lt;=30,"Perlu Ditindaklanjuti","Overdue")))</f>
        <v>Normal</v>
      </c>
    </row>
    <row r="857" spans="1:15" x14ac:dyDescent="0.3">
      <c r="A857" t="s">
        <v>941</v>
      </c>
      <c r="B857" s="3">
        <v>46231</v>
      </c>
      <c r="C857" t="s">
        <v>64</v>
      </c>
      <c r="D857" t="s">
        <v>65</v>
      </c>
      <c r="E857" t="s">
        <v>37</v>
      </c>
      <c r="F857" t="s">
        <v>14</v>
      </c>
      <c r="G857" t="s">
        <v>58</v>
      </c>
      <c r="H857" s="5">
        <v>325000</v>
      </c>
      <c r="I857" s="5">
        <v>250000</v>
      </c>
      <c r="J857" s="5">
        <v>75000</v>
      </c>
      <c r="K857" s="5">
        <f>Table2[[#This Row],[Advance Amount]]-Table2[[#This Row],[Expense Amount]]-Table2[[#This Row],[Return Amount]]</f>
        <v>0</v>
      </c>
      <c r="L857" s="5" t="str">
        <f>IF(Table2[[#This Row],[Outstanding]]=0,"Settled",IF(Table2[[#This Row],[Outstanding]]&gt;0,"Outstanding"))</f>
        <v>Settled</v>
      </c>
      <c r="M857" s="5" t="str">
        <f>IF(Table2[[#This Row],[Advance Amount]]=Table2[[#This Row],[Expense Amount]]+Table2[[#This Row],[Return Amount]]+Table2[[#This Row],[Outstanding]],"Ok","Check")</f>
        <v>Ok</v>
      </c>
      <c r="N857" s="11">
        <f>IF(Table2[[#This Row],[Status]]="Settled",0,$Q$2-Table2[[#This Row],[Date]])</f>
        <v>0</v>
      </c>
      <c r="O857" s="5" t="str">
        <f>IF(Table2[[#This Row],[Age Days]]&lt;=7,"Normal",IF(Table2[[#This Row],[Age Days]]&lt;=14,"Perlu Dipantau",IF(Table2[[#This Row],[Age Days]]&lt;=30,"Perlu Ditindaklanjuti","Overdue")))</f>
        <v>Normal</v>
      </c>
    </row>
    <row r="858" spans="1:15" x14ac:dyDescent="0.3">
      <c r="A858" t="s">
        <v>942</v>
      </c>
      <c r="B858" s="3">
        <v>46231</v>
      </c>
      <c r="C858" t="s">
        <v>25</v>
      </c>
      <c r="D858" t="s">
        <v>26</v>
      </c>
      <c r="E858" t="s">
        <v>27</v>
      </c>
      <c r="F858" t="s">
        <v>20</v>
      </c>
      <c r="G858" t="s">
        <v>57</v>
      </c>
      <c r="H858" s="5">
        <v>55000</v>
      </c>
      <c r="I858" s="5">
        <v>50000</v>
      </c>
      <c r="J858" s="5">
        <v>5000</v>
      </c>
      <c r="K858" s="5">
        <f>Table2[[#This Row],[Advance Amount]]-Table2[[#This Row],[Expense Amount]]-Table2[[#This Row],[Return Amount]]</f>
        <v>0</v>
      </c>
      <c r="L858" s="5" t="str">
        <f>IF(Table2[[#This Row],[Outstanding]]=0,"Settled",IF(Table2[[#This Row],[Outstanding]]&gt;0,"Outstanding"))</f>
        <v>Settled</v>
      </c>
      <c r="M858" s="5" t="str">
        <f>IF(Table2[[#This Row],[Advance Amount]]=Table2[[#This Row],[Expense Amount]]+Table2[[#This Row],[Return Amount]]+Table2[[#This Row],[Outstanding]],"Ok","Check")</f>
        <v>Ok</v>
      </c>
      <c r="N858" s="11">
        <f>IF(Table2[[#This Row],[Status]]="Settled",0,$Q$2-Table2[[#This Row],[Date]])</f>
        <v>0</v>
      </c>
      <c r="O858" s="5" t="str">
        <f>IF(Table2[[#This Row],[Age Days]]&lt;=7,"Normal",IF(Table2[[#This Row],[Age Days]]&lt;=14,"Perlu Dipantau",IF(Table2[[#This Row],[Age Days]]&lt;=30,"Perlu Ditindaklanjuti","Overdue")))</f>
        <v>Normal</v>
      </c>
    </row>
    <row r="859" spans="1:15" x14ac:dyDescent="0.3">
      <c r="A859" t="s">
        <v>943</v>
      </c>
      <c r="B859" s="3">
        <v>46232</v>
      </c>
      <c r="C859" t="s">
        <v>41</v>
      </c>
      <c r="D859" t="s">
        <v>42</v>
      </c>
      <c r="E859" t="s">
        <v>43</v>
      </c>
      <c r="F859" t="s">
        <v>14</v>
      </c>
      <c r="G859" t="s">
        <v>57</v>
      </c>
      <c r="H859" s="5">
        <v>355000</v>
      </c>
      <c r="I859" s="5">
        <v>325000</v>
      </c>
      <c r="J859" s="5">
        <v>30000</v>
      </c>
      <c r="K859" s="5">
        <f>Table2[[#This Row],[Advance Amount]]-Table2[[#This Row],[Expense Amount]]-Table2[[#This Row],[Return Amount]]</f>
        <v>0</v>
      </c>
      <c r="L859" s="5" t="str">
        <f>IF(Table2[[#This Row],[Outstanding]]=0,"Settled",IF(Table2[[#This Row],[Outstanding]]&gt;0,"Outstanding"))</f>
        <v>Settled</v>
      </c>
      <c r="M859" s="5" t="str">
        <f>IF(Table2[[#This Row],[Advance Amount]]=Table2[[#This Row],[Expense Amount]]+Table2[[#This Row],[Return Amount]]+Table2[[#This Row],[Outstanding]],"Ok","Check")</f>
        <v>Ok</v>
      </c>
      <c r="N859" s="11">
        <f>IF(Table2[[#This Row],[Status]]="Settled",0,$Q$2-Table2[[#This Row],[Date]])</f>
        <v>0</v>
      </c>
      <c r="O859" s="5" t="str">
        <f>IF(Table2[[#This Row],[Age Days]]&lt;=7,"Normal",IF(Table2[[#This Row],[Age Days]]&lt;=14,"Perlu Dipantau",IF(Table2[[#This Row],[Age Days]]&lt;=30,"Perlu Ditindaklanjuti","Overdue")))</f>
        <v>Normal</v>
      </c>
    </row>
    <row r="860" spans="1:15" x14ac:dyDescent="0.3">
      <c r="A860" t="s">
        <v>944</v>
      </c>
      <c r="B860" s="3">
        <v>46232</v>
      </c>
      <c r="C860" t="s">
        <v>50</v>
      </c>
      <c r="D860" t="s">
        <v>51</v>
      </c>
      <c r="E860" t="s">
        <v>52</v>
      </c>
      <c r="F860" t="s">
        <v>20</v>
      </c>
      <c r="G860" t="s">
        <v>28</v>
      </c>
      <c r="H860" s="5">
        <v>255000</v>
      </c>
      <c r="I860" s="5">
        <v>0</v>
      </c>
      <c r="J860" s="5">
        <v>0</v>
      </c>
      <c r="K860" s="5">
        <f>Table2[[#This Row],[Advance Amount]]-Table2[[#This Row],[Expense Amount]]-Table2[[#This Row],[Return Amount]]</f>
        <v>255000</v>
      </c>
      <c r="L860" s="5" t="str">
        <f>IF(Table2[[#This Row],[Outstanding]]=0,"Settled",IF(Table2[[#This Row],[Outstanding]]&gt;0,"Outstanding"))</f>
        <v>Outstanding</v>
      </c>
      <c r="M860" s="5" t="str">
        <f>IF(Table2[[#This Row],[Advance Amount]]=Table2[[#This Row],[Expense Amount]]+Table2[[#This Row],[Return Amount]]+Table2[[#This Row],[Outstanding]],"Ok","Check")</f>
        <v>Ok</v>
      </c>
      <c r="N860" s="11">
        <f>IF(Table2[[#This Row],[Status]]="Settled",0,$Q$2-Table2[[#This Row],[Date]])</f>
        <v>33</v>
      </c>
      <c r="O860" s="5" t="str">
        <f>IF(Table2[[#This Row],[Age Days]]&lt;=7,"Normal",IF(Table2[[#This Row],[Age Days]]&lt;=14,"Perlu Dipantau",IF(Table2[[#This Row],[Age Days]]&lt;=30,"Perlu Ditindaklanjuti","Overdue")))</f>
        <v>Overdue</v>
      </c>
    </row>
    <row r="861" spans="1:15" x14ac:dyDescent="0.3">
      <c r="A861" t="s">
        <v>945</v>
      </c>
      <c r="B861" s="3">
        <v>46232</v>
      </c>
      <c r="C861" t="s">
        <v>22</v>
      </c>
      <c r="D861" t="s">
        <v>23</v>
      </c>
      <c r="E861" t="s">
        <v>24</v>
      </c>
      <c r="F861" t="s">
        <v>20</v>
      </c>
      <c r="G861" t="s">
        <v>15</v>
      </c>
      <c r="H861" s="5">
        <v>3325000</v>
      </c>
      <c r="I861" s="5">
        <v>3300000</v>
      </c>
      <c r="J861" s="5">
        <v>25000</v>
      </c>
      <c r="K861" s="5">
        <f>Table2[[#This Row],[Advance Amount]]-Table2[[#This Row],[Expense Amount]]-Table2[[#This Row],[Return Amount]]</f>
        <v>0</v>
      </c>
      <c r="L861" s="5" t="str">
        <f>IF(Table2[[#This Row],[Outstanding]]=0,"Settled",IF(Table2[[#This Row],[Outstanding]]&gt;0,"Outstanding"))</f>
        <v>Settled</v>
      </c>
      <c r="M861" s="5" t="str">
        <f>IF(Table2[[#This Row],[Advance Amount]]=Table2[[#This Row],[Expense Amount]]+Table2[[#This Row],[Return Amount]]+Table2[[#This Row],[Outstanding]],"Ok","Check")</f>
        <v>Ok</v>
      </c>
      <c r="N861" s="11">
        <f>IF(Table2[[#This Row],[Status]]="Settled",0,$Q$2-Table2[[#This Row],[Date]])</f>
        <v>0</v>
      </c>
      <c r="O861" s="5" t="str">
        <f>IF(Table2[[#This Row],[Age Days]]&lt;=7,"Normal",IF(Table2[[#This Row],[Age Days]]&lt;=14,"Perlu Dipantau",IF(Table2[[#This Row],[Age Days]]&lt;=30,"Perlu Ditindaklanjuti","Overdue")))</f>
        <v>Normal</v>
      </c>
    </row>
    <row r="862" spans="1:15" x14ac:dyDescent="0.3">
      <c r="A862" t="s">
        <v>946</v>
      </c>
      <c r="B862" s="3">
        <v>46232</v>
      </c>
      <c r="C862" t="s">
        <v>59</v>
      </c>
      <c r="D862" t="s">
        <v>60</v>
      </c>
      <c r="E862" t="s">
        <v>19</v>
      </c>
      <c r="F862" t="s">
        <v>14</v>
      </c>
      <c r="G862" t="s">
        <v>31</v>
      </c>
      <c r="H862" s="5">
        <v>1175000</v>
      </c>
      <c r="I862" s="5">
        <v>0</v>
      </c>
      <c r="J862" s="5">
        <v>0</v>
      </c>
      <c r="K862" s="5">
        <f>Table2[[#This Row],[Advance Amount]]-Table2[[#This Row],[Expense Amount]]-Table2[[#This Row],[Return Amount]]</f>
        <v>1175000</v>
      </c>
      <c r="L862" s="5" t="str">
        <f>IF(Table2[[#This Row],[Outstanding]]=0,"Settled",IF(Table2[[#This Row],[Outstanding]]&gt;0,"Outstanding"))</f>
        <v>Outstanding</v>
      </c>
      <c r="M862" s="5" t="str">
        <f>IF(Table2[[#This Row],[Advance Amount]]=Table2[[#This Row],[Expense Amount]]+Table2[[#This Row],[Return Amount]]+Table2[[#This Row],[Outstanding]],"Ok","Check")</f>
        <v>Ok</v>
      </c>
      <c r="N862" s="11">
        <f>IF(Table2[[#This Row],[Status]]="Settled",0,$Q$2-Table2[[#This Row],[Date]])</f>
        <v>33</v>
      </c>
      <c r="O862" s="5" t="str">
        <f>IF(Table2[[#This Row],[Age Days]]&lt;=7,"Normal",IF(Table2[[#This Row],[Age Days]]&lt;=14,"Perlu Dipantau",IF(Table2[[#This Row],[Age Days]]&lt;=30,"Perlu Ditindaklanjuti","Overdue")))</f>
        <v>Overdue</v>
      </c>
    </row>
    <row r="863" spans="1:15" x14ac:dyDescent="0.3">
      <c r="A863" t="s">
        <v>947</v>
      </c>
      <c r="B863" s="3">
        <v>46233</v>
      </c>
      <c r="C863" t="s">
        <v>32</v>
      </c>
      <c r="D863" t="s">
        <v>33</v>
      </c>
      <c r="E863" t="s">
        <v>27</v>
      </c>
      <c r="F863" t="s">
        <v>20</v>
      </c>
      <c r="G863" t="s">
        <v>61</v>
      </c>
      <c r="H863" s="5">
        <v>575000</v>
      </c>
      <c r="I863" s="5">
        <v>500000</v>
      </c>
      <c r="J863" s="5">
        <v>75000</v>
      </c>
      <c r="K863" s="5">
        <f>Table2[[#This Row],[Advance Amount]]-Table2[[#This Row],[Expense Amount]]-Table2[[#This Row],[Return Amount]]</f>
        <v>0</v>
      </c>
      <c r="L863" s="5" t="str">
        <f>IF(Table2[[#This Row],[Outstanding]]=0,"Settled",IF(Table2[[#This Row],[Outstanding]]&gt;0,"Outstanding"))</f>
        <v>Settled</v>
      </c>
      <c r="M863" s="5" t="str">
        <f>IF(Table2[[#This Row],[Advance Amount]]=Table2[[#This Row],[Expense Amount]]+Table2[[#This Row],[Return Amount]]+Table2[[#This Row],[Outstanding]],"Ok","Check")</f>
        <v>Ok</v>
      </c>
      <c r="N863" s="11">
        <f>IF(Table2[[#This Row],[Status]]="Settled",0,$Q$2-Table2[[#This Row],[Date]])</f>
        <v>0</v>
      </c>
      <c r="O863" s="5" t="str">
        <f>IF(Table2[[#This Row],[Age Days]]&lt;=7,"Normal",IF(Table2[[#This Row],[Age Days]]&lt;=14,"Perlu Dipantau",IF(Table2[[#This Row],[Age Days]]&lt;=30,"Perlu Ditindaklanjuti","Overdue")))</f>
        <v>Normal</v>
      </c>
    </row>
    <row r="864" spans="1:15" x14ac:dyDescent="0.3">
      <c r="A864" t="s">
        <v>948</v>
      </c>
      <c r="B864" s="3">
        <v>46233</v>
      </c>
      <c r="C864" t="s">
        <v>35</v>
      </c>
      <c r="D864" t="s">
        <v>36</v>
      </c>
      <c r="E864" t="s">
        <v>37</v>
      </c>
      <c r="F864" t="s">
        <v>20</v>
      </c>
      <c r="G864" t="s">
        <v>40</v>
      </c>
      <c r="H864" s="5">
        <v>700000</v>
      </c>
      <c r="I864" s="5">
        <v>675000</v>
      </c>
      <c r="J864" s="5">
        <v>25000</v>
      </c>
      <c r="K864" s="5">
        <f>Table2[[#This Row],[Advance Amount]]-Table2[[#This Row],[Expense Amount]]-Table2[[#This Row],[Return Amount]]</f>
        <v>0</v>
      </c>
      <c r="L864" s="5" t="str">
        <f>IF(Table2[[#This Row],[Outstanding]]=0,"Settled",IF(Table2[[#This Row],[Outstanding]]&gt;0,"Outstanding"))</f>
        <v>Settled</v>
      </c>
      <c r="M864" s="5" t="str">
        <f>IF(Table2[[#This Row],[Advance Amount]]=Table2[[#This Row],[Expense Amount]]+Table2[[#This Row],[Return Amount]]+Table2[[#This Row],[Outstanding]],"Ok","Check")</f>
        <v>Ok</v>
      </c>
      <c r="N864" s="11">
        <f>IF(Table2[[#This Row],[Status]]="Settled",0,$Q$2-Table2[[#This Row],[Date]])</f>
        <v>0</v>
      </c>
      <c r="O864" s="5" t="str">
        <f>IF(Table2[[#This Row],[Age Days]]&lt;=7,"Normal",IF(Table2[[#This Row],[Age Days]]&lt;=14,"Perlu Dipantau",IF(Table2[[#This Row],[Age Days]]&lt;=30,"Perlu Ditindaklanjuti","Overdue")))</f>
        <v>Normal</v>
      </c>
    </row>
    <row r="865" spans="1:15" x14ac:dyDescent="0.3">
      <c r="A865" t="s">
        <v>949</v>
      </c>
      <c r="B865" s="3">
        <v>46233</v>
      </c>
      <c r="C865" t="s">
        <v>35</v>
      </c>
      <c r="D865" t="s">
        <v>36</v>
      </c>
      <c r="E865" t="s">
        <v>37</v>
      </c>
      <c r="F865" t="s">
        <v>14</v>
      </c>
      <c r="G865" t="s">
        <v>40</v>
      </c>
      <c r="H865" s="5">
        <v>250000</v>
      </c>
      <c r="I865" s="5">
        <v>250000</v>
      </c>
      <c r="J865" s="5">
        <v>0</v>
      </c>
      <c r="K865" s="5">
        <f>Table2[[#This Row],[Advance Amount]]-Table2[[#This Row],[Expense Amount]]-Table2[[#This Row],[Return Amount]]</f>
        <v>0</v>
      </c>
      <c r="L865" s="5" t="str">
        <f>IF(Table2[[#This Row],[Outstanding]]=0,"Settled",IF(Table2[[#This Row],[Outstanding]]&gt;0,"Outstanding"))</f>
        <v>Settled</v>
      </c>
      <c r="M865" s="5" t="str">
        <f>IF(Table2[[#This Row],[Advance Amount]]=Table2[[#This Row],[Expense Amount]]+Table2[[#This Row],[Return Amount]]+Table2[[#This Row],[Outstanding]],"Ok","Check")</f>
        <v>Ok</v>
      </c>
      <c r="N865" s="11">
        <f>IF(Table2[[#This Row],[Status]]="Settled",0,$Q$2-Table2[[#This Row],[Date]])</f>
        <v>0</v>
      </c>
      <c r="O865" s="5" t="str">
        <f>IF(Table2[[#This Row],[Age Days]]&lt;=7,"Normal",IF(Table2[[#This Row],[Age Days]]&lt;=14,"Perlu Dipantau",IF(Table2[[#This Row],[Age Days]]&lt;=30,"Perlu Ditindaklanjuti","Overdue")))</f>
        <v>Normal</v>
      </c>
    </row>
    <row r="866" spans="1:15" x14ac:dyDescent="0.3">
      <c r="A866" t="s">
        <v>950</v>
      </c>
      <c r="B866" s="3">
        <v>46233</v>
      </c>
      <c r="C866" t="s">
        <v>22</v>
      </c>
      <c r="D866" t="s">
        <v>23</v>
      </c>
      <c r="E866" t="s">
        <v>24</v>
      </c>
      <c r="F866" t="s">
        <v>14</v>
      </c>
      <c r="G866" t="s">
        <v>57</v>
      </c>
      <c r="H866" s="5">
        <v>455000</v>
      </c>
      <c r="I866" s="5">
        <v>350000</v>
      </c>
      <c r="J866" s="5">
        <v>105000</v>
      </c>
      <c r="K866" s="5">
        <f>Table2[[#This Row],[Advance Amount]]-Table2[[#This Row],[Expense Amount]]-Table2[[#This Row],[Return Amount]]</f>
        <v>0</v>
      </c>
      <c r="L866" s="5" t="str">
        <f>IF(Table2[[#This Row],[Outstanding]]=0,"Settled",IF(Table2[[#This Row],[Outstanding]]&gt;0,"Outstanding"))</f>
        <v>Settled</v>
      </c>
      <c r="M866" s="5" t="str">
        <f>IF(Table2[[#This Row],[Advance Amount]]=Table2[[#This Row],[Expense Amount]]+Table2[[#This Row],[Return Amount]]+Table2[[#This Row],[Outstanding]],"Ok","Check")</f>
        <v>Ok</v>
      </c>
      <c r="N866" s="11">
        <f>IF(Table2[[#This Row],[Status]]="Settled",0,$Q$2-Table2[[#This Row],[Date]])</f>
        <v>0</v>
      </c>
      <c r="O866" s="5" t="str">
        <f>IF(Table2[[#This Row],[Age Days]]&lt;=7,"Normal",IF(Table2[[#This Row],[Age Days]]&lt;=14,"Perlu Dipantau",IF(Table2[[#This Row],[Age Days]]&lt;=30,"Perlu Ditindaklanjuti","Overdue")))</f>
        <v>Normal</v>
      </c>
    </row>
    <row r="867" spans="1:15" x14ac:dyDescent="0.3">
      <c r="A867" t="s">
        <v>951</v>
      </c>
      <c r="B867" s="3">
        <v>46233</v>
      </c>
      <c r="C867" t="s">
        <v>22</v>
      </c>
      <c r="D867" t="s">
        <v>23</v>
      </c>
      <c r="E867" t="s">
        <v>24</v>
      </c>
      <c r="F867" t="s">
        <v>20</v>
      </c>
      <c r="G867" t="s">
        <v>40</v>
      </c>
      <c r="H867" s="5">
        <v>350000</v>
      </c>
      <c r="I867" s="5">
        <v>275000</v>
      </c>
      <c r="J867" s="5">
        <v>75000</v>
      </c>
      <c r="K867" s="5">
        <f>Table2[[#This Row],[Advance Amount]]-Table2[[#This Row],[Expense Amount]]-Table2[[#This Row],[Return Amount]]</f>
        <v>0</v>
      </c>
      <c r="L867" s="5" t="str">
        <f>IF(Table2[[#This Row],[Outstanding]]=0,"Settled",IF(Table2[[#This Row],[Outstanding]]&gt;0,"Outstanding"))</f>
        <v>Settled</v>
      </c>
      <c r="M867" s="5" t="str">
        <f>IF(Table2[[#This Row],[Advance Amount]]=Table2[[#This Row],[Expense Amount]]+Table2[[#This Row],[Return Amount]]+Table2[[#This Row],[Outstanding]],"Ok","Check")</f>
        <v>Ok</v>
      </c>
      <c r="N867" s="11">
        <f>IF(Table2[[#This Row],[Status]]="Settled",0,$Q$2-Table2[[#This Row],[Date]])</f>
        <v>0</v>
      </c>
      <c r="O867" s="5" t="str">
        <f>IF(Table2[[#This Row],[Age Days]]&lt;=7,"Normal",IF(Table2[[#This Row],[Age Days]]&lt;=14,"Perlu Dipantau",IF(Table2[[#This Row],[Age Days]]&lt;=30,"Perlu Ditindaklanjuti","Overdue")))</f>
        <v>Normal</v>
      </c>
    </row>
    <row r="868" spans="1:15" x14ac:dyDescent="0.3">
      <c r="A868" t="s">
        <v>952</v>
      </c>
      <c r="B868" s="3">
        <v>46234</v>
      </c>
      <c r="C868" t="s">
        <v>55</v>
      </c>
      <c r="D868" t="s">
        <v>56</v>
      </c>
      <c r="E868" t="s">
        <v>24</v>
      </c>
      <c r="F868" t="s">
        <v>14</v>
      </c>
      <c r="G868" t="s">
        <v>57</v>
      </c>
      <c r="H868" s="5">
        <v>80000</v>
      </c>
      <c r="I868" s="5">
        <v>75000</v>
      </c>
      <c r="J868" s="5">
        <v>5000</v>
      </c>
      <c r="K868" s="5">
        <f>Table2[[#This Row],[Advance Amount]]-Table2[[#This Row],[Expense Amount]]-Table2[[#This Row],[Return Amount]]</f>
        <v>0</v>
      </c>
      <c r="L868" s="5" t="str">
        <f>IF(Table2[[#This Row],[Outstanding]]=0,"Settled",IF(Table2[[#This Row],[Outstanding]]&gt;0,"Outstanding"))</f>
        <v>Settled</v>
      </c>
      <c r="M868" s="5" t="str">
        <f>IF(Table2[[#This Row],[Advance Amount]]=Table2[[#This Row],[Expense Amount]]+Table2[[#This Row],[Return Amount]]+Table2[[#This Row],[Outstanding]],"Ok","Check")</f>
        <v>Ok</v>
      </c>
      <c r="N868" s="11">
        <f>IF(Table2[[#This Row],[Status]]="Settled",0,$Q$2-Table2[[#This Row],[Date]])</f>
        <v>0</v>
      </c>
      <c r="O868" s="5" t="str">
        <f>IF(Table2[[#This Row],[Age Days]]&lt;=7,"Normal",IF(Table2[[#This Row],[Age Days]]&lt;=14,"Perlu Dipantau",IF(Table2[[#This Row],[Age Days]]&lt;=30,"Perlu Ditindaklanjuti","Overdue")))</f>
        <v>Normal</v>
      </c>
    </row>
    <row r="869" spans="1:15" x14ac:dyDescent="0.3">
      <c r="A869" t="s">
        <v>953</v>
      </c>
      <c r="B869" s="3">
        <v>46234</v>
      </c>
      <c r="C869" t="s">
        <v>38</v>
      </c>
      <c r="D869" t="s">
        <v>39</v>
      </c>
      <c r="E869" t="s">
        <v>24</v>
      </c>
      <c r="F869" t="s">
        <v>20</v>
      </c>
      <c r="G869" t="s">
        <v>57</v>
      </c>
      <c r="H869" s="5">
        <v>155000</v>
      </c>
      <c r="I869" s="5">
        <v>150000</v>
      </c>
      <c r="J869" s="5">
        <v>5000</v>
      </c>
      <c r="K869" s="5">
        <f>Table2[[#This Row],[Advance Amount]]-Table2[[#This Row],[Expense Amount]]-Table2[[#This Row],[Return Amount]]</f>
        <v>0</v>
      </c>
      <c r="L869" s="5" t="str">
        <f>IF(Table2[[#This Row],[Outstanding]]=0,"Settled",IF(Table2[[#This Row],[Outstanding]]&gt;0,"Outstanding"))</f>
        <v>Settled</v>
      </c>
      <c r="M869" s="5" t="str">
        <f>IF(Table2[[#This Row],[Advance Amount]]=Table2[[#This Row],[Expense Amount]]+Table2[[#This Row],[Return Amount]]+Table2[[#This Row],[Outstanding]],"Ok","Check")</f>
        <v>Ok</v>
      </c>
      <c r="N869" s="11">
        <f>IF(Table2[[#This Row],[Status]]="Settled",0,$Q$2-Table2[[#This Row],[Date]])</f>
        <v>0</v>
      </c>
      <c r="O869" s="5" t="str">
        <f>IF(Table2[[#This Row],[Age Days]]&lt;=7,"Normal",IF(Table2[[#This Row],[Age Days]]&lt;=14,"Perlu Dipantau",IF(Table2[[#This Row],[Age Days]]&lt;=30,"Perlu Ditindaklanjuti","Overdue")))</f>
        <v>Normal</v>
      </c>
    </row>
    <row r="870" spans="1:15" x14ac:dyDescent="0.3">
      <c r="A870" t="s">
        <v>954</v>
      </c>
      <c r="B870" s="3">
        <v>46234</v>
      </c>
      <c r="C870" t="s">
        <v>17</v>
      </c>
      <c r="D870" t="s">
        <v>18</v>
      </c>
      <c r="E870" t="s">
        <v>19</v>
      </c>
      <c r="F870" t="s">
        <v>20</v>
      </c>
      <c r="G870" t="s">
        <v>57</v>
      </c>
      <c r="H870" s="5">
        <v>155000</v>
      </c>
      <c r="I870" s="5">
        <v>125000</v>
      </c>
      <c r="J870" s="5">
        <v>30000</v>
      </c>
      <c r="K870" s="5">
        <f>Table2[[#This Row],[Advance Amount]]-Table2[[#This Row],[Expense Amount]]-Table2[[#This Row],[Return Amount]]</f>
        <v>0</v>
      </c>
      <c r="L870" s="5" t="str">
        <f>IF(Table2[[#This Row],[Outstanding]]=0,"Settled",IF(Table2[[#This Row],[Outstanding]]&gt;0,"Outstanding"))</f>
        <v>Settled</v>
      </c>
      <c r="M870" s="5" t="str">
        <f>IF(Table2[[#This Row],[Advance Amount]]=Table2[[#This Row],[Expense Amount]]+Table2[[#This Row],[Return Amount]]+Table2[[#This Row],[Outstanding]],"Ok","Check")</f>
        <v>Ok</v>
      </c>
      <c r="N870" s="11">
        <f>IF(Table2[[#This Row],[Status]]="Settled",0,$Q$2-Table2[[#This Row],[Date]])</f>
        <v>0</v>
      </c>
      <c r="O870" s="5" t="str">
        <f>IF(Table2[[#This Row],[Age Days]]&lt;=7,"Normal",IF(Table2[[#This Row],[Age Days]]&lt;=14,"Perlu Dipantau",IF(Table2[[#This Row],[Age Days]]&lt;=30,"Perlu Ditindaklanjuti","Overdue")))</f>
        <v>Normal</v>
      </c>
    </row>
    <row r="871" spans="1:15" x14ac:dyDescent="0.3">
      <c r="A871" t="s">
        <v>955</v>
      </c>
      <c r="B871" s="3">
        <v>46234</v>
      </c>
      <c r="C871" t="s">
        <v>22</v>
      </c>
      <c r="D871" t="s">
        <v>23</v>
      </c>
      <c r="E871" t="s">
        <v>24</v>
      </c>
      <c r="F871" t="s">
        <v>20</v>
      </c>
      <c r="G871" t="s">
        <v>40</v>
      </c>
      <c r="H871" s="5">
        <v>250000</v>
      </c>
      <c r="I871" s="5">
        <v>225000</v>
      </c>
      <c r="J871" s="5">
        <v>25000</v>
      </c>
      <c r="K871" s="5">
        <f>Table2[[#This Row],[Advance Amount]]-Table2[[#This Row],[Expense Amount]]-Table2[[#This Row],[Return Amount]]</f>
        <v>0</v>
      </c>
      <c r="L871" s="5" t="str">
        <f>IF(Table2[[#This Row],[Outstanding]]=0,"Settled",IF(Table2[[#This Row],[Outstanding]]&gt;0,"Outstanding"))</f>
        <v>Settled</v>
      </c>
      <c r="M871" s="5" t="str">
        <f>IF(Table2[[#This Row],[Advance Amount]]=Table2[[#This Row],[Expense Amount]]+Table2[[#This Row],[Return Amount]]+Table2[[#This Row],[Outstanding]],"Ok","Check")</f>
        <v>Ok</v>
      </c>
      <c r="N871" s="11">
        <f>IF(Table2[[#This Row],[Status]]="Settled",0,$Q$2-Table2[[#This Row],[Date]])</f>
        <v>0</v>
      </c>
      <c r="O871" s="5" t="str">
        <f>IF(Table2[[#This Row],[Age Days]]&lt;=7,"Normal",IF(Table2[[#This Row],[Age Days]]&lt;=14,"Perlu Dipantau",IF(Table2[[#This Row],[Age Days]]&lt;=30,"Perlu Ditindaklanjuti","Overdue")))</f>
        <v>Normal</v>
      </c>
    </row>
    <row r="872" spans="1:15" x14ac:dyDescent="0.3">
      <c r="A872" t="s">
        <v>956</v>
      </c>
      <c r="B872" s="3">
        <v>46234</v>
      </c>
      <c r="C872" t="s">
        <v>59</v>
      </c>
      <c r="D872" t="s">
        <v>60</v>
      </c>
      <c r="E872" t="s">
        <v>19</v>
      </c>
      <c r="F872" t="s">
        <v>20</v>
      </c>
      <c r="G872" t="s">
        <v>15</v>
      </c>
      <c r="H872" s="5">
        <v>1550000</v>
      </c>
      <c r="I872" s="5">
        <v>1425000</v>
      </c>
      <c r="J872" s="5">
        <v>125000</v>
      </c>
      <c r="K872" s="5">
        <f>Table2[[#This Row],[Advance Amount]]-Table2[[#This Row],[Expense Amount]]-Table2[[#This Row],[Return Amount]]</f>
        <v>0</v>
      </c>
      <c r="L872" s="5" t="str">
        <f>IF(Table2[[#This Row],[Outstanding]]=0,"Settled",IF(Table2[[#This Row],[Outstanding]]&gt;0,"Outstanding"))</f>
        <v>Settled</v>
      </c>
      <c r="M872" s="5" t="str">
        <f>IF(Table2[[#This Row],[Advance Amount]]=Table2[[#This Row],[Expense Amount]]+Table2[[#This Row],[Return Amount]]+Table2[[#This Row],[Outstanding]],"Ok","Check")</f>
        <v>Ok</v>
      </c>
      <c r="N872" s="11">
        <f>IF(Table2[[#This Row],[Status]]="Settled",0,$Q$2-Table2[[#This Row],[Date]])</f>
        <v>0</v>
      </c>
      <c r="O872" s="5" t="str">
        <f>IF(Table2[[#This Row],[Age Days]]&lt;=7,"Normal",IF(Table2[[#This Row],[Age Days]]&lt;=14,"Perlu Dipantau",IF(Table2[[#This Row],[Age Days]]&lt;=30,"Perlu Ditindaklanjuti","Overdue")))</f>
        <v>Normal</v>
      </c>
    </row>
    <row r="873" spans="1:15" x14ac:dyDescent="0.3">
      <c r="A873" t="s">
        <v>957</v>
      </c>
      <c r="B873" s="3">
        <v>46235</v>
      </c>
      <c r="C873" t="s">
        <v>38</v>
      </c>
      <c r="D873" t="s">
        <v>39</v>
      </c>
      <c r="E873" t="s">
        <v>24</v>
      </c>
      <c r="F873" t="s">
        <v>20</v>
      </c>
      <c r="G873" t="s">
        <v>40</v>
      </c>
      <c r="H873" s="5">
        <v>400000</v>
      </c>
      <c r="I873" s="5">
        <v>375000</v>
      </c>
      <c r="J873" s="5">
        <v>25000</v>
      </c>
      <c r="K873" s="5">
        <f>Table2[[#This Row],[Advance Amount]]-Table2[[#This Row],[Expense Amount]]-Table2[[#This Row],[Return Amount]]</f>
        <v>0</v>
      </c>
      <c r="L873" s="5" t="str">
        <f>IF(Table2[[#This Row],[Outstanding]]=0,"Settled",IF(Table2[[#This Row],[Outstanding]]&gt;0,"Outstanding"))</f>
        <v>Settled</v>
      </c>
      <c r="M873" s="5" t="str">
        <f>IF(Table2[[#This Row],[Advance Amount]]=Table2[[#This Row],[Expense Amount]]+Table2[[#This Row],[Return Amount]]+Table2[[#This Row],[Outstanding]],"Ok","Check")</f>
        <v>Ok</v>
      </c>
      <c r="N873" s="11">
        <f>IF(Table2[[#This Row],[Status]]="Settled",0,$Q$2-Table2[[#This Row],[Date]])</f>
        <v>0</v>
      </c>
      <c r="O873" s="5" t="str">
        <f>IF(Table2[[#This Row],[Age Days]]&lt;=7,"Normal",IF(Table2[[#This Row],[Age Days]]&lt;=14,"Perlu Dipantau",IF(Table2[[#This Row],[Age Days]]&lt;=30,"Perlu Ditindaklanjuti","Overdue")))</f>
        <v>Normal</v>
      </c>
    </row>
    <row r="874" spans="1:15" x14ac:dyDescent="0.3">
      <c r="A874" t="s">
        <v>958</v>
      </c>
      <c r="B874" s="3">
        <v>46235</v>
      </c>
      <c r="C874" t="s">
        <v>17</v>
      </c>
      <c r="D874" t="s">
        <v>18</v>
      </c>
      <c r="E874" t="s">
        <v>19</v>
      </c>
      <c r="F874" t="s">
        <v>14</v>
      </c>
      <c r="G874" t="s">
        <v>58</v>
      </c>
      <c r="H874" s="5">
        <v>275000</v>
      </c>
      <c r="I874" s="5">
        <v>225000</v>
      </c>
      <c r="J874" s="5">
        <v>50000</v>
      </c>
      <c r="K874" s="5">
        <f>Table2[[#This Row],[Advance Amount]]-Table2[[#This Row],[Expense Amount]]-Table2[[#This Row],[Return Amount]]</f>
        <v>0</v>
      </c>
      <c r="L874" s="5" t="str">
        <f>IF(Table2[[#This Row],[Outstanding]]=0,"Settled",IF(Table2[[#This Row],[Outstanding]]&gt;0,"Outstanding"))</f>
        <v>Settled</v>
      </c>
      <c r="M874" s="5" t="str">
        <f>IF(Table2[[#This Row],[Advance Amount]]=Table2[[#This Row],[Expense Amount]]+Table2[[#This Row],[Return Amount]]+Table2[[#This Row],[Outstanding]],"Ok","Check")</f>
        <v>Ok</v>
      </c>
      <c r="N874" s="11">
        <f>IF(Table2[[#This Row],[Status]]="Settled",0,$Q$2-Table2[[#This Row],[Date]])</f>
        <v>0</v>
      </c>
      <c r="O874" s="5" t="str">
        <f>IF(Table2[[#This Row],[Age Days]]&lt;=7,"Normal",IF(Table2[[#This Row],[Age Days]]&lt;=14,"Perlu Dipantau",IF(Table2[[#This Row],[Age Days]]&lt;=30,"Perlu Ditindaklanjuti","Overdue")))</f>
        <v>Normal</v>
      </c>
    </row>
    <row r="875" spans="1:15" x14ac:dyDescent="0.3">
      <c r="A875" t="s">
        <v>959</v>
      </c>
      <c r="B875" s="3">
        <v>46235</v>
      </c>
      <c r="C875" t="s">
        <v>50</v>
      </c>
      <c r="D875" t="s">
        <v>51</v>
      </c>
      <c r="E875" t="s">
        <v>52</v>
      </c>
      <c r="F875" t="s">
        <v>14</v>
      </c>
      <c r="G875" t="s">
        <v>15</v>
      </c>
      <c r="H875" s="5">
        <v>2550000</v>
      </c>
      <c r="I875" s="5">
        <v>2425000</v>
      </c>
      <c r="J875" s="5">
        <v>125000</v>
      </c>
      <c r="K875" s="5">
        <f>Table2[[#This Row],[Advance Amount]]-Table2[[#This Row],[Expense Amount]]-Table2[[#This Row],[Return Amount]]</f>
        <v>0</v>
      </c>
      <c r="L875" s="5" t="str">
        <f>IF(Table2[[#This Row],[Outstanding]]=0,"Settled",IF(Table2[[#This Row],[Outstanding]]&gt;0,"Outstanding"))</f>
        <v>Settled</v>
      </c>
      <c r="M875" s="5" t="str">
        <f>IF(Table2[[#This Row],[Advance Amount]]=Table2[[#This Row],[Expense Amount]]+Table2[[#This Row],[Return Amount]]+Table2[[#This Row],[Outstanding]],"Ok","Check")</f>
        <v>Ok</v>
      </c>
      <c r="N875" s="11">
        <f>IF(Table2[[#This Row],[Status]]="Settled",0,$Q$2-Table2[[#This Row],[Date]])</f>
        <v>0</v>
      </c>
      <c r="O875" s="5" t="str">
        <f>IF(Table2[[#This Row],[Age Days]]&lt;=7,"Normal",IF(Table2[[#This Row],[Age Days]]&lt;=14,"Perlu Dipantau",IF(Table2[[#This Row],[Age Days]]&lt;=30,"Perlu Ditindaklanjuti","Overdue")))</f>
        <v>Normal</v>
      </c>
    </row>
    <row r="876" spans="1:15" x14ac:dyDescent="0.3">
      <c r="A876" t="s">
        <v>960</v>
      </c>
      <c r="B876" s="3">
        <v>46235</v>
      </c>
      <c r="C876" t="s">
        <v>53</v>
      </c>
      <c r="D876" t="s">
        <v>54</v>
      </c>
      <c r="E876" t="s">
        <v>43</v>
      </c>
      <c r="F876" t="s">
        <v>20</v>
      </c>
      <c r="G876" t="s">
        <v>34</v>
      </c>
      <c r="H876" s="5">
        <v>50000</v>
      </c>
      <c r="I876" s="5">
        <v>50000</v>
      </c>
      <c r="J876" s="5">
        <v>0</v>
      </c>
      <c r="K876" s="5">
        <f>Table2[[#This Row],[Advance Amount]]-Table2[[#This Row],[Expense Amount]]-Table2[[#This Row],[Return Amount]]</f>
        <v>0</v>
      </c>
      <c r="L876" s="5" t="str">
        <f>IF(Table2[[#This Row],[Outstanding]]=0,"Settled",IF(Table2[[#This Row],[Outstanding]]&gt;0,"Outstanding"))</f>
        <v>Settled</v>
      </c>
      <c r="M876" s="5" t="str">
        <f>IF(Table2[[#This Row],[Advance Amount]]=Table2[[#This Row],[Expense Amount]]+Table2[[#This Row],[Return Amount]]+Table2[[#This Row],[Outstanding]],"Ok","Check")</f>
        <v>Ok</v>
      </c>
      <c r="N876" s="11">
        <f>IF(Table2[[#This Row],[Status]]="Settled",0,$Q$2-Table2[[#This Row],[Date]])</f>
        <v>0</v>
      </c>
      <c r="O876" s="5" t="str">
        <f>IF(Table2[[#This Row],[Age Days]]&lt;=7,"Normal",IF(Table2[[#This Row],[Age Days]]&lt;=14,"Perlu Dipantau",IF(Table2[[#This Row],[Age Days]]&lt;=30,"Perlu Ditindaklanjuti","Overdue")))</f>
        <v>Normal</v>
      </c>
    </row>
    <row r="877" spans="1:15" x14ac:dyDescent="0.3">
      <c r="A877" t="s">
        <v>961</v>
      </c>
      <c r="B877" s="3">
        <v>46236</v>
      </c>
      <c r="C877" t="s">
        <v>48</v>
      </c>
      <c r="D877" t="s">
        <v>49</v>
      </c>
      <c r="E877" t="s">
        <v>19</v>
      </c>
      <c r="F877" t="s">
        <v>14</v>
      </c>
      <c r="G877" t="s">
        <v>31</v>
      </c>
      <c r="H877" s="5">
        <v>1400000</v>
      </c>
      <c r="I877" s="5">
        <v>1175000</v>
      </c>
      <c r="J877" s="5">
        <v>225000</v>
      </c>
      <c r="K877" s="5">
        <f>Table2[[#This Row],[Advance Amount]]-Table2[[#This Row],[Expense Amount]]-Table2[[#This Row],[Return Amount]]</f>
        <v>0</v>
      </c>
      <c r="L877" s="5" t="str">
        <f>IF(Table2[[#This Row],[Outstanding]]=0,"Settled",IF(Table2[[#This Row],[Outstanding]]&gt;0,"Outstanding"))</f>
        <v>Settled</v>
      </c>
      <c r="M877" s="5" t="str">
        <f>IF(Table2[[#This Row],[Advance Amount]]=Table2[[#This Row],[Expense Amount]]+Table2[[#This Row],[Return Amount]]+Table2[[#This Row],[Outstanding]],"Ok","Check")</f>
        <v>Ok</v>
      </c>
      <c r="N877" s="11">
        <f>IF(Table2[[#This Row],[Status]]="Settled",0,$Q$2-Table2[[#This Row],[Date]])</f>
        <v>0</v>
      </c>
      <c r="O877" s="5" t="str">
        <f>IF(Table2[[#This Row],[Age Days]]&lt;=7,"Normal",IF(Table2[[#This Row],[Age Days]]&lt;=14,"Perlu Dipantau",IF(Table2[[#This Row],[Age Days]]&lt;=30,"Perlu Ditindaklanjuti","Overdue")))</f>
        <v>Normal</v>
      </c>
    </row>
    <row r="878" spans="1:15" x14ac:dyDescent="0.3">
      <c r="A878" t="s">
        <v>962</v>
      </c>
      <c r="B878" s="3">
        <v>46236</v>
      </c>
      <c r="C878" t="s">
        <v>62</v>
      </c>
      <c r="D878" t="s">
        <v>63</v>
      </c>
      <c r="E878" t="s">
        <v>52</v>
      </c>
      <c r="F878" t="s">
        <v>20</v>
      </c>
      <c r="G878" t="s">
        <v>57</v>
      </c>
      <c r="H878" s="5">
        <v>405000</v>
      </c>
      <c r="I878" s="5">
        <v>0</v>
      </c>
      <c r="J878" s="5">
        <v>0</v>
      </c>
      <c r="K878" s="5">
        <f>Table2[[#This Row],[Advance Amount]]-Table2[[#This Row],[Expense Amount]]-Table2[[#This Row],[Return Amount]]</f>
        <v>405000</v>
      </c>
      <c r="L878" s="5" t="str">
        <f>IF(Table2[[#This Row],[Outstanding]]=0,"Settled",IF(Table2[[#This Row],[Outstanding]]&gt;0,"Outstanding"))</f>
        <v>Outstanding</v>
      </c>
      <c r="M878" s="5" t="str">
        <f>IF(Table2[[#This Row],[Advance Amount]]=Table2[[#This Row],[Expense Amount]]+Table2[[#This Row],[Return Amount]]+Table2[[#This Row],[Outstanding]],"Ok","Check")</f>
        <v>Ok</v>
      </c>
      <c r="N878" s="11">
        <f>IF(Table2[[#This Row],[Status]]="Settled",0,$Q$2-Table2[[#This Row],[Date]])</f>
        <v>29</v>
      </c>
      <c r="O878" s="5" t="str">
        <f>IF(Table2[[#This Row],[Age Days]]&lt;=7,"Normal",IF(Table2[[#This Row],[Age Days]]&lt;=14,"Perlu Dipantau",IF(Table2[[#This Row],[Age Days]]&lt;=30,"Perlu Ditindaklanjuti","Overdue")))</f>
        <v>Perlu Ditindaklanjuti</v>
      </c>
    </row>
    <row r="879" spans="1:15" x14ac:dyDescent="0.3">
      <c r="A879" t="s">
        <v>963</v>
      </c>
      <c r="B879" s="3">
        <v>46236</v>
      </c>
      <c r="C879" t="s">
        <v>35</v>
      </c>
      <c r="D879" t="s">
        <v>36</v>
      </c>
      <c r="E879" t="s">
        <v>37</v>
      </c>
      <c r="F879" t="s">
        <v>20</v>
      </c>
      <c r="G879" t="s">
        <v>31</v>
      </c>
      <c r="H879" s="5">
        <v>650000</v>
      </c>
      <c r="I879" s="5">
        <v>600000</v>
      </c>
      <c r="J879" s="5">
        <v>50000</v>
      </c>
      <c r="K879" s="5">
        <f>Table2[[#This Row],[Advance Amount]]-Table2[[#This Row],[Expense Amount]]-Table2[[#This Row],[Return Amount]]</f>
        <v>0</v>
      </c>
      <c r="L879" s="5" t="str">
        <f>IF(Table2[[#This Row],[Outstanding]]=0,"Settled",IF(Table2[[#This Row],[Outstanding]]&gt;0,"Outstanding"))</f>
        <v>Settled</v>
      </c>
      <c r="M879" s="5" t="str">
        <f>IF(Table2[[#This Row],[Advance Amount]]=Table2[[#This Row],[Expense Amount]]+Table2[[#This Row],[Return Amount]]+Table2[[#This Row],[Outstanding]],"Ok","Check")</f>
        <v>Ok</v>
      </c>
      <c r="N879" s="11">
        <f>IF(Table2[[#This Row],[Status]]="Settled",0,$Q$2-Table2[[#This Row],[Date]])</f>
        <v>0</v>
      </c>
      <c r="O879" s="5" t="str">
        <f>IF(Table2[[#This Row],[Age Days]]&lt;=7,"Normal",IF(Table2[[#This Row],[Age Days]]&lt;=14,"Perlu Dipantau",IF(Table2[[#This Row],[Age Days]]&lt;=30,"Perlu Ditindaklanjuti","Overdue")))</f>
        <v>Normal</v>
      </c>
    </row>
    <row r="880" spans="1:15" x14ac:dyDescent="0.3">
      <c r="A880" t="s">
        <v>964</v>
      </c>
      <c r="B880" s="3">
        <v>46236</v>
      </c>
      <c r="C880" t="s">
        <v>17</v>
      </c>
      <c r="D880" t="s">
        <v>18</v>
      </c>
      <c r="E880" t="s">
        <v>19</v>
      </c>
      <c r="F880" t="s">
        <v>14</v>
      </c>
      <c r="G880" t="s">
        <v>15</v>
      </c>
      <c r="H880" s="5">
        <v>1000000</v>
      </c>
      <c r="I880" s="5">
        <v>850000</v>
      </c>
      <c r="J880" s="5">
        <v>150000</v>
      </c>
      <c r="K880" s="5">
        <f>Table2[[#This Row],[Advance Amount]]-Table2[[#This Row],[Expense Amount]]-Table2[[#This Row],[Return Amount]]</f>
        <v>0</v>
      </c>
      <c r="L880" s="5" t="str">
        <f>IF(Table2[[#This Row],[Outstanding]]=0,"Settled",IF(Table2[[#This Row],[Outstanding]]&gt;0,"Outstanding"))</f>
        <v>Settled</v>
      </c>
      <c r="M880" s="5" t="str">
        <f>IF(Table2[[#This Row],[Advance Amount]]=Table2[[#This Row],[Expense Amount]]+Table2[[#This Row],[Return Amount]]+Table2[[#This Row],[Outstanding]],"Ok","Check")</f>
        <v>Ok</v>
      </c>
      <c r="N880" s="11">
        <f>IF(Table2[[#This Row],[Status]]="Settled",0,$Q$2-Table2[[#This Row],[Date]])</f>
        <v>0</v>
      </c>
      <c r="O880" s="5" t="str">
        <f>IF(Table2[[#This Row],[Age Days]]&lt;=7,"Normal",IF(Table2[[#This Row],[Age Days]]&lt;=14,"Perlu Dipantau",IF(Table2[[#This Row],[Age Days]]&lt;=30,"Perlu Ditindaklanjuti","Overdue")))</f>
        <v>Normal</v>
      </c>
    </row>
    <row r="881" spans="1:15" x14ac:dyDescent="0.3">
      <c r="A881" t="s">
        <v>965</v>
      </c>
      <c r="B881" s="3">
        <v>46236</v>
      </c>
      <c r="C881" t="s">
        <v>64</v>
      </c>
      <c r="D881" t="s">
        <v>65</v>
      </c>
      <c r="E881" t="s">
        <v>37</v>
      </c>
      <c r="F881" t="s">
        <v>20</v>
      </c>
      <c r="G881" t="s">
        <v>58</v>
      </c>
      <c r="H881" s="5">
        <v>275000</v>
      </c>
      <c r="I881" s="5">
        <v>225000</v>
      </c>
      <c r="J881" s="5">
        <v>50000</v>
      </c>
      <c r="K881" s="5">
        <f>Table2[[#This Row],[Advance Amount]]-Table2[[#This Row],[Expense Amount]]-Table2[[#This Row],[Return Amount]]</f>
        <v>0</v>
      </c>
      <c r="L881" s="5" t="str">
        <f>IF(Table2[[#This Row],[Outstanding]]=0,"Settled",IF(Table2[[#This Row],[Outstanding]]&gt;0,"Outstanding"))</f>
        <v>Settled</v>
      </c>
      <c r="M881" s="5" t="str">
        <f>IF(Table2[[#This Row],[Advance Amount]]=Table2[[#This Row],[Expense Amount]]+Table2[[#This Row],[Return Amount]]+Table2[[#This Row],[Outstanding]],"Ok","Check")</f>
        <v>Ok</v>
      </c>
      <c r="N881" s="11">
        <f>IF(Table2[[#This Row],[Status]]="Settled",0,$Q$2-Table2[[#This Row],[Date]])</f>
        <v>0</v>
      </c>
      <c r="O881" s="5" t="str">
        <f>IF(Table2[[#This Row],[Age Days]]&lt;=7,"Normal",IF(Table2[[#This Row],[Age Days]]&lt;=14,"Perlu Dipantau",IF(Table2[[#This Row],[Age Days]]&lt;=30,"Perlu Ditindaklanjuti","Overdue")))</f>
        <v>Normal</v>
      </c>
    </row>
    <row r="882" spans="1:15" x14ac:dyDescent="0.3">
      <c r="A882" t="s">
        <v>966</v>
      </c>
      <c r="B882" s="3">
        <v>46236</v>
      </c>
      <c r="C882" t="s">
        <v>64</v>
      </c>
      <c r="D882" t="s">
        <v>65</v>
      </c>
      <c r="E882" t="s">
        <v>37</v>
      </c>
      <c r="F882" t="s">
        <v>14</v>
      </c>
      <c r="G882" t="s">
        <v>58</v>
      </c>
      <c r="H882" s="5">
        <v>1075000</v>
      </c>
      <c r="I882" s="5">
        <v>950000</v>
      </c>
      <c r="J882" s="5">
        <v>125000</v>
      </c>
      <c r="K882" s="5">
        <f>Table2[[#This Row],[Advance Amount]]-Table2[[#This Row],[Expense Amount]]-Table2[[#This Row],[Return Amount]]</f>
        <v>0</v>
      </c>
      <c r="L882" s="5" t="str">
        <f>IF(Table2[[#This Row],[Outstanding]]=0,"Settled",IF(Table2[[#This Row],[Outstanding]]&gt;0,"Outstanding"))</f>
        <v>Settled</v>
      </c>
      <c r="M882" s="5" t="str">
        <f>IF(Table2[[#This Row],[Advance Amount]]=Table2[[#This Row],[Expense Amount]]+Table2[[#This Row],[Return Amount]]+Table2[[#This Row],[Outstanding]],"Ok","Check")</f>
        <v>Ok</v>
      </c>
      <c r="N882" s="11">
        <f>IF(Table2[[#This Row],[Status]]="Settled",0,$Q$2-Table2[[#This Row],[Date]])</f>
        <v>0</v>
      </c>
      <c r="O882" s="5" t="str">
        <f>IF(Table2[[#This Row],[Age Days]]&lt;=7,"Normal",IF(Table2[[#This Row],[Age Days]]&lt;=14,"Perlu Dipantau",IF(Table2[[#This Row],[Age Days]]&lt;=30,"Perlu Ditindaklanjuti","Overdue")))</f>
        <v>Normal</v>
      </c>
    </row>
    <row r="883" spans="1:15" x14ac:dyDescent="0.3">
      <c r="A883" t="s">
        <v>967</v>
      </c>
      <c r="B883" s="3">
        <v>46237</v>
      </c>
      <c r="C883" t="s">
        <v>62</v>
      </c>
      <c r="D883" t="s">
        <v>63</v>
      </c>
      <c r="E883" t="s">
        <v>52</v>
      </c>
      <c r="F883" t="s">
        <v>14</v>
      </c>
      <c r="G883" t="s">
        <v>57</v>
      </c>
      <c r="H883" s="5">
        <v>55000</v>
      </c>
      <c r="I883" s="5">
        <v>50000</v>
      </c>
      <c r="J883" s="5">
        <v>5000</v>
      </c>
      <c r="K883" s="5">
        <f>Table2[[#This Row],[Advance Amount]]-Table2[[#This Row],[Expense Amount]]-Table2[[#This Row],[Return Amount]]</f>
        <v>0</v>
      </c>
      <c r="L883" s="5" t="str">
        <f>IF(Table2[[#This Row],[Outstanding]]=0,"Settled",IF(Table2[[#This Row],[Outstanding]]&gt;0,"Outstanding"))</f>
        <v>Settled</v>
      </c>
      <c r="M883" s="5" t="str">
        <f>IF(Table2[[#This Row],[Advance Amount]]=Table2[[#This Row],[Expense Amount]]+Table2[[#This Row],[Return Amount]]+Table2[[#This Row],[Outstanding]],"Ok","Check")</f>
        <v>Ok</v>
      </c>
      <c r="N883" s="11">
        <f>IF(Table2[[#This Row],[Status]]="Settled",0,$Q$2-Table2[[#This Row],[Date]])</f>
        <v>0</v>
      </c>
      <c r="O883" s="5" t="str">
        <f>IF(Table2[[#This Row],[Age Days]]&lt;=7,"Normal",IF(Table2[[#This Row],[Age Days]]&lt;=14,"Perlu Dipantau",IF(Table2[[#This Row],[Age Days]]&lt;=30,"Perlu Ditindaklanjuti","Overdue")))</f>
        <v>Normal</v>
      </c>
    </row>
    <row r="884" spans="1:15" x14ac:dyDescent="0.3">
      <c r="A884" t="s">
        <v>968</v>
      </c>
      <c r="B884" s="3">
        <v>46237</v>
      </c>
      <c r="C884" t="s">
        <v>35</v>
      </c>
      <c r="D884" t="s">
        <v>36</v>
      </c>
      <c r="E884" t="s">
        <v>37</v>
      </c>
      <c r="F884" t="s">
        <v>14</v>
      </c>
      <c r="G884" t="s">
        <v>40</v>
      </c>
      <c r="H884" s="5">
        <v>150000</v>
      </c>
      <c r="I884" s="5">
        <v>150000</v>
      </c>
      <c r="J884" s="5">
        <v>0</v>
      </c>
      <c r="K884" s="5">
        <f>Table2[[#This Row],[Advance Amount]]-Table2[[#This Row],[Expense Amount]]-Table2[[#This Row],[Return Amount]]</f>
        <v>0</v>
      </c>
      <c r="L884" s="5" t="str">
        <f>IF(Table2[[#This Row],[Outstanding]]=0,"Settled",IF(Table2[[#This Row],[Outstanding]]&gt;0,"Outstanding"))</f>
        <v>Settled</v>
      </c>
      <c r="M884" s="5" t="str">
        <f>IF(Table2[[#This Row],[Advance Amount]]=Table2[[#This Row],[Expense Amount]]+Table2[[#This Row],[Return Amount]]+Table2[[#This Row],[Outstanding]],"Ok","Check")</f>
        <v>Ok</v>
      </c>
      <c r="N884" s="11">
        <f>IF(Table2[[#This Row],[Status]]="Settled",0,$Q$2-Table2[[#This Row],[Date]])</f>
        <v>0</v>
      </c>
      <c r="O884" s="5" t="str">
        <f>IF(Table2[[#This Row],[Age Days]]&lt;=7,"Normal",IF(Table2[[#This Row],[Age Days]]&lt;=14,"Perlu Dipantau",IF(Table2[[#This Row],[Age Days]]&lt;=30,"Perlu Ditindaklanjuti","Overdue")))</f>
        <v>Normal</v>
      </c>
    </row>
    <row r="885" spans="1:15" x14ac:dyDescent="0.3">
      <c r="A885" t="s">
        <v>969</v>
      </c>
      <c r="B885" s="3">
        <v>46237</v>
      </c>
      <c r="C885" t="s">
        <v>50</v>
      </c>
      <c r="D885" t="s">
        <v>51</v>
      </c>
      <c r="E885" t="s">
        <v>52</v>
      </c>
      <c r="F885" t="s">
        <v>14</v>
      </c>
      <c r="G885" t="s">
        <v>61</v>
      </c>
      <c r="H885" s="5">
        <v>550000</v>
      </c>
      <c r="I885" s="5">
        <v>525000</v>
      </c>
      <c r="J885" s="5">
        <v>25000</v>
      </c>
      <c r="K885" s="5">
        <f>Table2[[#This Row],[Advance Amount]]-Table2[[#This Row],[Expense Amount]]-Table2[[#This Row],[Return Amount]]</f>
        <v>0</v>
      </c>
      <c r="L885" s="5" t="str">
        <f>IF(Table2[[#This Row],[Outstanding]]=0,"Settled",IF(Table2[[#This Row],[Outstanding]]&gt;0,"Outstanding"))</f>
        <v>Settled</v>
      </c>
      <c r="M885" s="5" t="str">
        <f>IF(Table2[[#This Row],[Advance Amount]]=Table2[[#This Row],[Expense Amount]]+Table2[[#This Row],[Return Amount]]+Table2[[#This Row],[Outstanding]],"Ok","Check")</f>
        <v>Ok</v>
      </c>
      <c r="N885" s="11">
        <f>IF(Table2[[#This Row],[Status]]="Settled",0,$Q$2-Table2[[#This Row],[Date]])</f>
        <v>0</v>
      </c>
      <c r="O885" s="5" t="str">
        <f>IF(Table2[[#This Row],[Age Days]]&lt;=7,"Normal",IF(Table2[[#This Row],[Age Days]]&lt;=14,"Perlu Dipantau",IF(Table2[[#This Row],[Age Days]]&lt;=30,"Perlu Ditindaklanjuti","Overdue")))</f>
        <v>Normal</v>
      </c>
    </row>
    <row r="886" spans="1:15" x14ac:dyDescent="0.3">
      <c r="A886" t="s">
        <v>970</v>
      </c>
      <c r="B886" s="3">
        <v>46238</v>
      </c>
      <c r="C886" t="s">
        <v>48</v>
      </c>
      <c r="D886" t="s">
        <v>49</v>
      </c>
      <c r="E886" t="s">
        <v>19</v>
      </c>
      <c r="F886" t="s">
        <v>14</v>
      </c>
      <c r="G886" t="s">
        <v>15</v>
      </c>
      <c r="H886" s="5">
        <v>1800000</v>
      </c>
      <c r="I886" s="5">
        <v>1675000</v>
      </c>
      <c r="J886" s="5">
        <v>125000</v>
      </c>
      <c r="K886" s="5">
        <f>Table2[[#This Row],[Advance Amount]]-Table2[[#This Row],[Expense Amount]]-Table2[[#This Row],[Return Amount]]</f>
        <v>0</v>
      </c>
      <c r="L886" s="5" t="str">
        <f>IF(Table2[[#This Row],[Outstanding]]=0,"Settled",IF(Table2[[#This Row],[Outstanding]]&gt;0,"Outstanding"))</f>
        <v>Settled</v>
      </c>
      <c r="M886" s="5" t="str">
        <f>IF(Table2[[#This Row],[Advance Amount]]=Table2[[#This Row],[Expense Amount]]+Table2[[#This Row],[Return Amount]]+Table2[[#This Row],[Outstanding]],"Ok","Check")</f>
        <v>Ok</v>
      </c>
      <c r="N886" s="11">
        <f>IF(Table2[[#This Row],[Status]]="Settled",0,$Q$2-Table2[[#This Row],[Date]])</f>
        <v>0</v>
      </c>
      <c r="O886" s="5" t="str">
        <f>IF(Table2[[#This Row],[Age Days]]&lt;=7,"Normal",IF(Table2[[#This Row],[Age Days]]&lt;=14,"Perlu Dipantau",IF(Table2[[#This Row],[Age Days]]&lt;=30,"Perlu Ditindaklanjuti","Overdue")))</f>
        <v>Normal</v>
      </c>
    </row>
    <row r="887" spans="1:15" x14ac:dyDescent="0.3">
      <c r="A887" t="s">
        <v>971</v>
      </c>
      <c r="B887" s="3">
        <v>46238</v>
      </c>
      <c r="C887" t="s">
        <v>41</v>
      </c>
      <c r="D887" t="s">
        <v>42</v>
      </c>
      <c r="E887" t="s">
        <v>43</v>
      </c>
      <c r="F887" t="s">
        <v>20</v>
      </c>
      <c r="G887" t="s">
        <v>57</v>
      </c>
      <c r="H887" s="5">
        <v>455000</v>
      </c>
      <c r="I887" s="5">
        <v>375000</v>
      </c>
      <c r="J887" s="5">
        <v>80000</v>
      </c>
      <c r="K887" s="5">
        <f>Table2[[#This Row],[Advance Amount]]-Table2[[#This Row],[Expense Amount]]-Table2[[#This Row],[Return Amount]]</f>
        <v>0</v>
      </c>
      <c r="L887" s="5" t="str">
        <f>IF(Table2[[#This Row],[Outstanding]]=0,"Settled",IF(Table2[[#This Row],[Outstanding]]&gt;0,"Outstanding"))</f>
        <v>Settled</v>
      </c>
      <c r="M887" s="5" t="str">
        <f>IF(Table2[[#This Row],[Advance Amount]]=Table2[[#This Row],[Expense Amount]]+Table2[[#This Row],[Return Amount]]+Table2[[#This Row],[Outstanding]],"Ok","Check")</f>
        <v>Ok</v>
      </c>
      <c r="N887" s="11">
        <f>IF(Table2[[#This Row],[Status]]="Settled",0,$Q$2-Table2[[#This Row],[Date]])</f>
        <v>0</v>
      </c>
      <c r="O887" s="5" t="str">
        <f>IF(Table2[[#This Row],[Age Days]]&lt;=7,"Normal",IF(Table2[[#This Row],[Age Days]]&lt;=14,"Perlu Dipantau",IF(Table2[[#This Row],[Age Days]]&lt;=30,"Perlu Ditindaklanjuti","Overdue")))</f>
        <v>Normal</v>
      </c>
    </row>
    <row r="888" spans="1:15" x14ac:dyDescent="0.3">
      <c r="A888" t="s">
        <v>972</v>
      </c>
      <c r="B888" s="3">
        <v>46238</v>
      </c>
      <c r="C888" t="s">
        <v>50</v>
      </c>
      <c r="D888" t="s">
        <v>51</v>
      </c>
      <c r="E888" t="s">
        <v>52</v>
      </c>
      <c r="F888" t="s">
        <v>20</v>
      </c>
      <c r="G888" t="s">
        <v>28</v>
      </c>
      <c r="H888" s="5">
        <v>480000</v>
      </c>
      <c r="I888" s="5">
        <v>0</v>
      </c>
      <c r="J888" s="5">
        <v>0</v>
      </c>
      <c r="K888" s="5">
        <f>Table2[[#This Row],[Advance Amount]]-Table2[[#This Row],[Expense Amount]]-Table2[[#This Row],[Return Amount]]</f>
        <v>480000</v>
      </c>
      <c r="L888" s="5" t="str">
        <f>IF(Table2[[#This Row],[Outstanding]]=0,"Settled",IF(Table2[[#This Row],[Outstanding]]&gt;0,"Outstanding"))</f>
        <v>Outstanding</v>
      </c>
      <c r="M888" s="5" t="str">
        <f>IF(Table2[[#This Row],[Advance Amount]]=Table2[[#This Row],[Expense Amount]]+Table2[[#This Row],[Return Amount]]+Table2[[#This Row],[Outstanding]],"Ok","Check")</f>
        <v>Ok</v>
      </c>
      <c r="N888" s="11">
        <f>IF(Table2[[#This Row],[Status]]="Settled",0,$Q$2-Table2[[#This Row],[Date]])</f>
        <v>27</v>
      </c>
      <c r="O888" s="5" t="str">
        <f>IF(Table2[[#This Row],[Age Days]]&lt;=7,"Normal",IF(Table2[[#This Row],[Age Days]]&lt;=14,"Perlu Dipantau",IF(Table2[[#This Row],[Age Days]]&lt;=30,"Perlu Ditindaklanjuti","Overdue")))</f>
        <v>Perlu Ditindaklanjuti</v>
      </c>
    </row>
    <row r="889" spans="1:15" x14ac:dyDescent="0.3">
      <c r="A889" t="s">
        <v>973</v>
      </c>
      <c r="B889" s="3">
        <v>46238</v>
      </c>
      <c r="C889" t="s">
        <v>22</v>
      </c>
      <c r="D889" t="s">
        <v>23</v>
      </c>
      <c r="E889" t="s">
        <v>24</v>
      </c>
      <c r="F889" t="s">
        <v>14</v>
      </c>
      <c r="G889" t="s">
        <v>34</v>
      </c>
      <c r="H889" s="5">
        <v>225000</v>
      </c>
      <c r="I889" s="5">
        <v>175000</v>
      </c>
      <c r="J889" s="5">
        <v>50000</v>
      </c>
      <c r="K889" s="5">
        <f>Table2[[#This Row],[Advance Amount]]-Table2[[#This Row],[Expense Amount]]-Table2[[#This Row],[Return Amount]]</f>
        <v>0</v>
      </c>
      <c r="L889" s="5" t="str">
        <f>IF(Table2[[#This Row],[Outstanding]]=0,"Settled",IF(Table2[[#This Row],[Outstanding]]&gt;0,"Outstanding"))</f>
        <v>Settled</v>
      </c>
      <c r="M889" s="5" t="str">
        <f>IF(Table2[[#This Row],[Advance Amount]]=Table2[[#This Row],[Expense Amount]]+Table2[[#This Row],[Return Amount]]+Table2[[#This Row],[Outstanding]],"Ok","Check")</f>
        <v>Ok</v>
      </c>
      <c r="N889" s="11">
        <f>IF(Table2[[#This Row],[Status]]="Settled",0,$Q$2-Table2[[#This Row],[Date]])</f>
        <v>0</v>
      </c>
      <c r="O889" s="5" t="str">
        <f>IF(Table2[[#This Row],[Age Days]]&lt;=7,"Normal",IF(Table2[[#This Row],[Age Days]]&lt;=14,"Perlu Dipantau",IF(Table2[[#This Row],[Age Days]]&lt;=30,"Perlu Ditindaklanjuti","Overdue")))</f>
        <v>Normal</v>
      </c>
    </row>
    <row r="890" spans="1:15" x14ac:dyDescent="0.3">
      <c r="A890" t="s">
        <v>974</v>
      </c>
      <c r="B890" s="3">
        <v>46239</v>
      </c>
      <c r="C890" t="s">
        <v>48</v>
      </c>
      <c r="D890" t="s">
        <v>49</v>
      </c>
      <c r="E890" t="s">
        <v>19</v>
      </c>
      <c r="F890" t="s">
        <v>20</v>
      </c>
      <c r="G890" t="s">
        <v>34</v>
      </c>
      <c r="H890" s="5">
        <v>600000</v>
      </c>
      <c r="I890" s="5">
        <v>450000</v>
      </c>
      <c r="J890" s="5">
        <v>150000</v>
      </c>
      <c r="K890" s="5">
        <f>Table2[[#This Row],[Advance Amount]]-Table2[[#This Row],[Expense Amount]]-Table2[[#This Row],[Return Amount]]</f>
        <v>0</v>
      </c>
      <c r="L890" s="5" t="str">
        <f>IF(Table2[[#This Row],[Outstanding]]=0,"Settled",IF(Table2[[#This Row],[Outstanding]]&gt;0,"Outstanding"))</f>
        <v>Settled</v>
      </c>
      <c r="M890" s="5" t="str">
        <f>IF(Table2[[#This Row],[Advance Amount]]=Table2[[#This Row],[Expense Amount]]+Table2[[#This Row],[Return Amount]]+Table2[[#This Row],[Outstanding]],"Ok","Check")</f>
        <v>Ok</v>
      </c>
      <c r="N890" s="11">
        <f>IF(Table2[[#This Row],[Status]]="Settled",0,$Q$2-Table2[[#This Row],[Date]])</f>
        <v>0</v>
      </c>
      <c r="O890" s="5" t="str">
        <f>IF(Table2[[#This Row],[Age Days]]&lt;=7,"Normal",IF(Table2[[#This Row],[Age Days]]&lt;=14,"Perlu Dipantau",IF(Table2[[#This Row],[Age Days]]&lt;=30,"Perlu Ditindaklanjuti","Overdue")))</f>
        <v>Normal</v>
      </c>
    </row>
    <row r="891" spans="1:15" x14ac:dyDescent="0.3">
      <c r="A891" t="s">
        <v>975</v>
      </c>
      <c r="B891" s="3">
        <v>46239</v>
      </c>
      <c r="C891" t="s">
        <v>44</v>
      </c>
      <c r="D891" t="s">
        <v>45</v>
      </c>
      <c r="E891" t="s">
        <v>43</v>
      </c>
      <c r="F891" t="s">
        <v>14</v>
      </c>
      <c r="G891" t="s">
        <v>15</v>
      </c>
      <c r="H891" s="5">
        <v>1300000</v>
      </c>
      <c r="I891" s="5">
        <v>975000</v>
      </c>
      <c r="J891" s="5">
        <v>325000</v>
      </c>
      <c r="K891" s="5">
        <f>Table2[[#This Row],[Advance Amount]]-Table2[[#This Row],[Expense Amount]]-Table2[[#This Row],[Return Amount]]</f>
        <v>0</v>
      </c>
      <c r="L891" s="5" t="str">
        <f>IF(Table2[[#This Row],[Outstanding]]=0,"Settled",IF(Table2[[#This Row],[Outstanding]]&gt;0,"Outstanding"))</f>
        <v>Settled</v>
      </c>
      <c r="M891" s="5" t="str">
        <f>IF(Table2[[#This Row],[Advance Amount]]=Table2[[#This Row],[Expense Amount]]+Table2[[#This Row],[Return Amount]]+Table2[[#This Row],[Outstanding]],"Ok","Check")</f>
        <v>Ok</v>
      </c>
      <c r="N891" s="11">
        <f>IF(Table2[[#This Row],[Status]]="Settled",0,$Q$2-Table2[[#This Row],[Date]])</f>
        <v>0</v>
      </c>
      <c r="O891" s="5" t="str">
        <f>IF(Table2[[#This Row],[Age Days]]&lt;=7,"Normal",IF(Table2[[#This Row],[Age Days]]&lt;=14,"Perlu Dipantau",IF(Table2[[#This Row],[Age Days]]&lt;=30,"Perlu Ditindaklanjuti","Overdue")))</f>
        <v>Normal</v>
      </c>
    </row>
    <row r="892" spans="1:15" x14ac:dyDescent="0.3">
      <c r="A892" t="s">
        <v>976</v>
      </c>
      <c r="B892" s="3">
        <v>46239</v>
      </c>
      <c r="C892" t="s">
        <v>22</v>
      </c>
      <c r="D892" t="s">
        <v>23</v>
      </c>
      <c r="E892" t="s">
        <v>24</v>
      </c>
      <c r="F892" t="s">
        <v>14</v>
      </c>
      <c r="G892" t="s">
        <v>61</v>
      </c>
      <c r="H892" s="5">
        <v>175000</v>
      </c>
      <c r="I892" s="5">
        <v>0</v>
      </c>
      <c r="J892" s="5">
        <v>0</v>
      </c>
      <c r="K892" s="5">
        <f>Table2[[#This Row],[Advance Amount]]-Table2[[#This Row],[Expense Amount]]-Table2[[#This Row],[Return Amount]]</f>
        <v>175000</v>
      </c>
      <c r="L892" s="5" t="str">
        <f>IF(Table2[[#This Row],[Outstanding]]=0,"Settled",IF(Table2[[#This Row],[Outstanding]]&gt;0,"Outstanding"))</f>
        <v>Outstanding</v>
      </c>
      <c r="M892" s="5" t="str">
        <f>IF(Table2[[#This Row],[Advance Amount]]=Table2[[#This Row],[Expense Amount]]+Table2[[#This Row],[Return Amount]]+Table2[[#This Row],[Outstanding]],"Ok","Check")</f>
        <v>Ok</v>
      </c>
      <c r="N892" s="11">
        <f>IF(Table2[[#This Row],[Status]]="Settled",0,$Q$2-Table2[[#This Row],[Date]])</f>
        <v>26</v>
      </c>
      <c r="O892" s="5" t="str">
        <f>IF(Table2[[#This Row],[Age Days]]&lt;=7,"Normal",IF(Table2[[#This Row],[Age Days]]&lt;=14,"Perlu Dipantau",IF(Table2[[#This Row],[Age Days]]&lt;=30,"Perlu Ditindaklanjuti","Overdue")))</f>
        <v>Perlu Ditindaklanjuti</v>
      </c>
    </row>
    <row r="893" spans="1:15" x14ac:dyDescent="0.3">
      <c r="A893" t="s">
        <v>977</v>
      </c>
      <c r="B893" s="3">
        <v>46240</v>
      </c>
      <c r="C893" t="s">
        <v>44</v>
      </c>
      <c r="D893" t="s">
        <v>45</v>
      </c>
      <c r="E893" t="s">
        <v>43</v>
      </c>
      <c r="F893" t="s">
        <v>20</v>
      </c>
      <c r="G893" t="s">
        <v>28</v>
      </c>
      <c r="H893" s="5">
        <v>255000</v>
      </c>
      <c r="I893" s="5">
        <v>250000</v>
      </c>
      <c r="J893" s="5">
        <v>5000</v>
      </c>
      <c r="K893" s="5">
        <f>Table2[[#This Row],[Advance Amount]]-Table2[[#This Row],[Expense Amount]]-Table2[[#This Row],[Return Amount]]</f>
        <v>0</v>
      </c>
      <c r="L893" s="5" t="str">
        <f>IF(Table2[[#This Row],[Outstanding]]=0,"Settled",IF(Table2[[#This Row],[Outstanding]]&gt;0,"Outstanding"))</f>
        <v>Settled</v>
      </c>
      <c r="M893" s="5" t="str">
        <f>IF(Table2[[#This Row],[Advance Amount]]=Table2[[#This Row],[Expense Amount]]+Table2[[#This Row],[Return Amount]]+Table2[[#This Row],[Outstanding]],"Ok","Check")</f>
        <v>Ok</v>
      </c>
      <c r="N893" s="11">
        <f>IF(Table2[[#This Row],[Status]]="Settled",0,$Q$2-Table2[[#This Row],[Date]])</f>
        <v>0</v>
      </c>
      <c r="O893" s="5" t="str">
        <f>IF(Table2[[#This Row],[Age Days]]&lt;=7,"Normal",IF(Table2[[#This Row],[Age Days]]&lt;=14,"Perlu Dipantau",IF(Table2[[#This Row],[Age Days]]&lt;=30,"Perlu Ditindaklanjuti","Overdue")))</f>
        <v>Normal</v>
      </c>
    </row>
    <row r="894" spans="1:15" x14ac:dyDescent="0.3">
      <c r="A894" t="s">
        <v>978</v>
      </c>
      <c r="B894" s="3">
        <v>46241</v>
      </c>
      <c r="C894" t="s">
        <v>55</v>
      </c>
      <c r="D894" t="s">
        <v>56</v>
      </c>
      <c r="E894" t="s">
        <v>24</v>
      </c>
      <c r="F894" t="s">
        <v>20</v>
      </c>
      <c r="G894" t="s">
        <v>34</v>
      </c>
      <c r="H894" s="5">
        <v>575000</v>
      </c>
      <c r="I894" s="5">
        <v>450000</v>
      </c>
      <c r="J894" s="5">
        <v>125000</v>
      </c>
      <c r="K894" s="5">
        <f>Table2[[#This Row],[Advance Amount]]-Table2[[#This Row],[Expense Amount]]-Table2[[#This Row],[Return Amount]]</f>
        <v>0</v>
      </c>
      <c r="L894" s="5" t="str">
        <f>IF(Table2[[#This Row],[Outstanding]]=0,"Settled",IF(Table2[[#This Row],[Outstanding]]&gt;0,"Outstanding"))</f>
        <v>Settled</v>
      </c>
      <c r="M894" s="5" t="str">
        <f>IF(Table2[[#This Row],[Advance Amount]]=Table2[[#This Row],[Expense Amount]]+Table2[[#This Row],[Return Amount]]+Table2[[#This Row],[Outstanding]],"Ok","Check")</f>
        <v>Ok</v>
      </c>
      <c r="N894" s="11">
        <f>IF(Table2[[#This Row],[Status]]="Settled",0,$Q$2-Table2[[#This Row],[Date]])</f>
        <v>0</v>
      </c>
      <c r="O894" s="5" t="str">
        <f>IF(Table2[[#This Row],[Age Days]]&lt;=7,"Normal",IF(Table2[[#This Row],[Age Days]]&lt;=14,"Perlu Dipantau",IF(Table2[[#This Row],[Age Days]]&lt;=30,"Perlu Ditindaklanjuti","Overdue")))</f>
        <v>Normal</v>
      </c>
    </row>
    <row r="895" spans="1:15" x14ac:dyDescent="0.3">
      <c r="A895" t="s">
        <v>979</v>
      </c>
      <c r="B895" s="3">
        <v>46241</v>
      </c>
      <c r="C895" t="s">
        <v>53</v>
      </c>
      <c r="D895" t="s">
        <v>54</v>
      </c>
      <c r="E895" t="s">
        <v>43</v>
      </c>
      <c r="F895" t="s">
        <v>14</v>
      </c>
      <c r="G895" t="s">
        <v>34</v>
      </c>
      <c r="H895" s="5">
        <v>175000</v>
      </c>
      <c r="I895" s="5">
        <v>0</v>
      </c>
      <c r="J895" s="5">
        <v>0</v>
      </c>
      <c r="K895" s="5">
        <f>Table2[[#This Row],[Advance Amount]]-Table2[[#This Row],[Expense Amount]]-Table2[[#This Row],[Return Amount]]</f>
        <v>175000</v>
      </c>
      <c r="L895" s="5" t="str">
        <f>IF(Table2[[#This Row],[Outstanding]]=0,"Settled",IF(Table2[[#This Row],[Outstanding]]&gt;0,"Outstanding"))</f>
        <v>Outstanding</v>
      </c>
      <c r="M895" s="5" t="str">
        <f>IF(Table2[[#This Row],[Advance Amount]]=Table2[[#This Row],[Expense Amount]]+Table2[[#This Row],[Return Amount]]+Table2[[#This Row],[Outstanding]],"Ok","Check")</f>
        <v>Ok</v>
      </c>
      <c r="N895" s="11">
        <f>IF(Table2[[#This Row],[Status]]="Settled",0,$Q$2-Table2[[#This Row],[Date]])</f>
        <v>24</v>
      </c>
      <c r="O895" s="5" t="str">
        <f>IF(Table2[[#This Row],[Age Days]]&lt;=7,"Normal",IF(Table2[[#This Row],[Age Days]]&lt;=14,"Perlu Dipantau",IF(Table2[[#This Row],[Age Days]]&lt;=30,"Perlu Ditindaklanjuti","Overdue")))</f>
        <v>Perlu Ditindaklanjuti</v>
      </c>
    </row>
    <row r="896" spans="1:15" x14ac:dyDescent="0.3">
      <c r="A896" t="s">
        <v>980</v>
      </c>
      <c r="B896" s="3">
        <v>46242</v>
      </c>
      <c r="C896" t="s">
        <v>66</v>
      </c>
      <c r="D896" t="s">
        <v>67</v>
      </c>
      <c r="E896" t="s">
        <v>13</v>
      </c>
      <c r="F896" t="s">
        <v>20</v>
      </c>
      <c r="G896" t="s">
        <v>28</v>
      </c>
      <c r="H896" s="5">
        <v>80000</v>
      </c>
      <c r="I896" s="5">
        <v>75000</v>
      </c>
      <c r="J896" s="5">
        <v>5000</v>
      </c>
      <c r="K896" s="5">
        <f>Table2[[#This Row],[Advance Amount]]-Table2[[#This Row],[Expense Amount]]-Table2[[#This Row],[Return Amount]]</f>
        <v>0</v>
      </c>
      <c r="L896" s="5" t="str">
        <f>IF(Table2[[#This Row],[Outstanding]]=0,"Settled",IF(Table2[[#This Row],[Outstanding]]&gt;0,"Outstanding"))</f>
        <v>Settled</v>
      </c>
      <c r="M896" s="5" t="str">
        <f>IF(Table2[[#This Row],[Advance Amount]]=Table2[[#This Row],[Expense Amount]]+Table2[[#This Row],[Return Amount]]+Table2[[#This Row],[Outstanding]],"Ok","Check")</f>
        <v>Ok</v>
      </c>
      <c r="N896" s="11">
        <f>IF(Table2[[#This Row],[Status]]="Settled",0,$Q$2-Table2[[#This Row],[Date]])</f>
        <v>0</v>
      </c>
      <c r="O896" s="5" t="str">
        <f>IF(Table2[[#This Row],[Age Days]]&lt;=7,"Normal",IF(Table2[[#This Row],[Age Days]]&lt;=14,"Perlu Dipantau",IF(Table2[[#This Row],[Age Days]]&lt;=30,"Perlu Ditindaklanjuti","Overdue")))</f>
        <v>Normal</v>
      </c>
    </row>
    <row r="897" spans="1:15" x14ac:dyDescent="0.3">
      <c r="A897" t="s">
        <v>981</v>
      </c>
      <c r="B897" s="3">
        <v>46243</v>
      </c>
      <c r="C897" t="s">
        <v>41</v>
      </c>
      <c r="D897" t="s">
        <v>42</v>
      </c>
      <c r="E897" t="s">
        <v>43</v>
      </c>
      <c r="F897" t="s">
        <v>14</v>
      </c>
      <c r="G897" t="s">
        <v>31</v>
      </c>
      <c r="H897" s="5">
        <v>1175000</v>
      </c>
      <c r="I897" s="5">
        <v>0</v>
      </c>
      <c r="J897" s="5">
        <v>0</v>
      </c>
      <c r="K897" s="5">
        <f>Table2[[#This Row],[Advance Amount]]-Table2[[#This Row],[Expense Amount]]-Table2[[#This Row],[Return Amount]]</f>
        <v>1175000</v>
      </c>
      <c r="L897" s="5" t="str">
        <f>IF(Table2[[#This Row],[Outstanding]]=0,"Settled",IF(Table2[[#This Row],[Outstanding]]&gt;0,"Outstanding"))</f>
        <v>Outstanding</v>
      </c>
      <c r="M897" s="5" t="str">
        <f>IF(Table2[[#This Row],[Advance Amount]]=Table2[[#This Row],[Expense Amount]]+Table2[[#This Row],[Return Amount]]+Table2[[#This Row],[Outstanding]],"Ok","Check")</f>
        <v>Ok</v>
      </c>
      <c r="N897" s="11">
        <f>IF(Table2[[#This Row],[Status]]="Settled",0,$Q$2-Table2[[#This Row],[Date]])</f>
        <v>22</v>
      </c>
      <c r="O897" s="5" t="str">
        <f>IF(Table2[[#This Row],[Age Days]]&lt;=7,"Normal",IF(Table2[[#This Row],[Age Days]]&lt;=14,"Perlu Dipantau",IF(Table2[[#This Row],[Age Days]]&lt;=30,"Perlu Ditindaklanjuti","Overdue")))</f>
        <v>Perlu Ditindaklanjuti</v>
      </c>
    </row>
    <row r="898" spans="1:15" x14ac:dyDescent="0.3">
      <c r="A898" t="s">
        <v>982</v>
      </c>
      <c r="B898" s="3">
        <v>46243</v>
      </c>
      <c r="C898" t="s">
        <v>35</v>
      </c>
      <c r="D898" t="s">
        <v>36</v>
      </c>
      <c r="E898" t="s">
        <v>37</v>
      </c>
      <c r="F898" t="s">
        <v>20</v>
      </c>
      <c r="G898" t="s">
        <v>31</v>
      </c>
      <c r="H898" s="5">
        <v>500000</v>
      </c>
      <c r="I898" s="5">
        <v>0</v>
      </c>
      <c r="J898" s="5">
        <v>0</v>
      </c>
      <c r="K898" s="5">
        <f>Table2[[#This Row],[Advance Amount]]-Table2[[#This Row],[Expense Amount]]-Table2[[#This Row],[Return Amount]]</f>
        <v>500000</v>
      </c>
      <c r="L898" s="5" t="str">
        <f>IF(Table2[[#This Row],[Outstanding]]=0,"Settled",IF(Table2[[#This Row],[Outstanding]]&gt;0,"Outstanding"))</f>
        <v>Outstanding</v>
      </c>
      <c r="M898" s="5" t="str">
        <f>IF(Table2[[#This Row],[Advance Amount]]=Table2[[#This Row],[Expense Amount]]+Table2[[#This Row],[Return Amount]]+Table2[[#This Row],[Outstanding]],"Ok","Check")</f>
        <v>Ok</v>
      </c>
      <c r="N898" s="11">
        <f>IF(Table2[[#This Row],[Status]]="Settled",0,$Q$2-Table2[[#This Row],[Date]])</f>
        <v>22</v>
      </c>
      <c r="O898" s="5" t="str">
        <f>IF(Table2[[#This Row],[Age Days]]&lt;=7,"Normal",IF(Table2[[#This Row],[Age Days]]&lt;=14,"Perlu Dipantau",IF(Table2[[#This Row],[Age Days]]&lt;=30,"Perlu Ditindaklanjuti","Overdue")))</f>
        <v>Perlu Ditindaklanjuti</v>
      </c>
    </row>
    <row r="899" spans="1:15" x14ac:dyDescent="0.3">
      <c r="A899" t="s">
        <v>983</v>
      </c>
      <c r="B899" s="3">
        <v>46244</v>
      </c>
      <c r="C899" t="s">
        <v>55</v>
      </c>
      <c r="D899" t="s">
        <v>56</v>
      </c>
      <c r="E899" t="s">
        <v>24</v>
      </c>
      <c r="F899" t="s">
        <v>14</v>
      </c>
      <c r="G899" t="s">
        <v>28</v>
      </c>
      <c r="H899" s="5">
        <v>405000</v>
      </c>
      <c r="I899" s="5">
        <v>300000</v>
      </c>
      <c r="J899" s="5">
        <v>105000</v>
      </c>
      <c r="K899" s="5">
        <f>Table2[[#This Row],[Advance Amount]]-Table2[[#This Row],[Expense Amount]]-Table2[[#This Row],[Return Amount]]</f>
        <v>0</v>
      </c>
      <c r="L899" s="5" t="str">
        <f>IF(Table2[[#This Row],[Outstanding]]=0,"Settled",IF(Table2[[#This Row],[Outstanding]]&gt;0,"Outstanding"))</f>
        <v>Settled</v>
      </c>
      <c r="M899" s="5" t="str">
        <f>IF(Table2[[#This Row],[Advance Amount]]=Table2[[#This Row],[Expense Amount]]+Table2[[#This Row],[Return Amount]]+Table2[[#This Row],[Outstanding]],"Ok","Check")</f>
        <v>Ok</v>
      </c>
      <c r="N899" s="11">
        <f>IF(Table2[[#This Row],[Status]]="Settled",0,$Q$2-Table2[[#This Row],[Date]])</f>
        <v>0</v>
      </c>
      <c r="O899" s="5" t="str">
        <f>IF(Table2[[#This Row],[Age Days]]&lt;=7,"Normal",IF(Table2[[#This Row],[Age Days]]&lt;=14,"Perlu Dipantau",IF(Table2[[#This Row],[Age Days]]&lt;=30,"Perlu Ditindaklanjuti","Overdue")))</f>
        <v>Normal</v>
      </c>
    </row>
    <row r="900" spans="1:15" x14ac:dyDescent="0.3">
      <c r="A900" t="s">
        <v>984</v>
      </c>
      <c r="B900" s="3">
        <v>46244</v>
      </c>
      <c r="C900" t="s">
        <v>11</v>
      </c>
      <c r="D900" t="s">
        <v>12</v>
      </c>
      <c r="E900" t="s">
        <v>13</v>
      </c>
      <c r="F900" t="s">
        <v>20</v>
      </c>
      <c r="G900" t="s">
        <v>61</v>
      </c>
      <c r="H900" s="5">
        <v>675000</v>
      </c>
      <c r="I900" s="5">
        <v>600000</v>
      </c>
      <c r="J900" s="5">
        <v>75000</v>
      </c>
      <c r="K900" s="5">
        <f>Table2[[#This Row],[Advance Amount]]-Table2[[#This Row],[Expense Amount]]-Table2[[#This Row],[Return Amount]]</f>
        <v>0</v>
      </c>
      <c r="L900" s="5" t="str">
        <f>IF(Table2[[#This Row],[Outstanding]]=0,"Settled",IF(Table2[[#This Row],[Outstanding]]&gt;0,"Outstanding"))</f>
        <v>Settled</v>
      </c>
      <c r="M900" s="5" t="str">
        <f>IF(Table2[[#This Row],[Advance Amount]]=Table2[[#This Row],[Expense Amount]]+Table2[[#This Row],[Return Amount]]+Table2[[#This Row],[Outstanding]],"Ok","Check")</f>
        <v>Ok</v>
      </c>
      <c r="N900" s="11">
        <f>IF(Table2[[#This Row],[Status]]="Settled",0,$Q$2-Table2[[#This Row],[Date]])</f>
        <v>0</v>
      </c>
      <c r="O900" s="5" t="str">
        <f>IF(Table2[[#This Row],[Age Days]]&lt;=7,"Normal",IF(Table2[[#This Row],[Age Days]]&lt;=14,"Perlu Dipantau",IF(Table2[[#This Row],[Age Days]]&lt;=30,"Perlu Ditindaklanjuti","Overdue")))</f>
        <v>Normal</v>
      </c>
    </row>
    <row r="901" spans="1:15" x14ac:dyDescent="0.3">
      <c r="A901" t="s">
        <v>985</v>
      </c>
      <c r="B901" s="3">
        <v>46244</v>
      </c>
      <c r="C901" t="s">
        <v>22</v>
      </c>
      <c r="D901" t="s">
        <v>23</v>
      </c>
      <c r="E901" t="s">
        <v>24</v>
      </c>
      <c r="F901" t="s">
        <v>20</v>
      </c>
      <c r="G901" t="s">
        <v>34</v>
      </c>
      <c r="H901" s="5">
        <v>575000</v>
      </c>
      <c r="I901" s="5">
        <v>0</v>
      </c>
      <c r="J901" s="5">
        <v>0</v>
      </c>
      <c r="K901" s="5">
        <f>Table2[[#This Row],[Advance Amount]]-Table2[[#This Row],[Expense Amount]]-Table2[[#This Row],[Return Amount]]</f>
        <v>575000</v>
      </c>
      <c r="L901" s="5" t="str">
        <f>IF(Table2[[#This Row],[Outstanding]]=0,"Settled",IF(Table2[[#This Row],[Outstanding]]&gt;0,"Outstanding"))</f>
        <v>Outstanding</v>
      </c>
      <c r="M901" s="5" t="str">
        <f>IF(Table2[[#This Row],[Advance Amount]]=Table2[[#This Row],[Expense Amount]]+Table2[[#This Row],[Return Amount]]+Table2[[#This Row],[Outstanding]],"Ok","Check")</f>
        <v>Ok</v>
      </c>
      <c r="N901" s="11">
        <f>IF(Table2[[#This Row],[Status]]="Settled",0,$Q$2-Table2[[#This Row],[Date]])</f>
        <v>21</v>
      </c>
      <c r="O901" s="5" t="str">
        <f>IF(Table2[[#This Row],[Age Days]]&lt;=7,"Normal",IF(Table2[[#This Row],[Age Days]]&lt;=14,"Perlu Dipantau",IF(Table2[[#This Row],[Age Days]]&lt;=30,"Perlu Ditindaklanjuti","Overdue")))</f>
        <v>Perlu Ditindaklanjuti</v>
      </c>
    </row>
    <row r="902" spans="1:15" x14ac:dyDescent="0.3">
      <c r="A902" t="s">
        <v>986</v>
      </c>
      <c r="B902" s="3">
        <v>46245</v>
      </c>
      <c r="C902" t="s">
        <v>41</v>
      </c>
      <c r="D902" t="s">
        <v>42</v>
      </c>
      <c r="E902" t="s">
        <v>43</v>
      </c>
      <c r="F902" t="s">
        <v>14</v>
      </c>
      <c r="G902" t="s">
        <v>40</v>
      </c>
      <c r="H902" s="5">
        <v>325000</v>
      </c>
      <c r="I902" s="5">
        <v>0</v>
      </c>
      <c r="J902" s="5">
        <v>0</v>
      </c>
      <c r="K902" s="5">
        <f>Table2[[#This Row],[Advance Amount]]-Table2[[#This Row],[Expense Amount]]-Table2[[#This Row],[Return Amount]]</f>
        <v>325000</v>
      </c>
      <c r="L902" s="5" t="str">
        <f>IF(Table2[[#This Row],[Outstanding]]=0,"Settled",IF(Table2[[#This Row],[Outstanding]]&gt;0,"Outstanding"))</f>
        <v>Outstanding</v>
      </c>
      <c r="M902" s="5" t="str">
        <f>IF(Table2[[#This Row],[Advance Amount]]=Table2[[#This Row],[Expense Amount]]+Table2[[#This Row],[Return Amount]]+Table2[[#This Row],[Outstanding]],"Ok","Check")</f>
        <v>Ok</v>
      </c>
      <c r="N902" s="11">
        <f>IF(Table2[[#This Row],[Status]]="Settled",0,$Q$2-Table2[[#This Row],[Date]])</f>
        <v>20</v>
      </c>
      <c r="O902" s="5" t="str">
        <f>IF(Table2[[#This Row],[Age Days]]&lt;=7,"Normal",IF(Table2[[#This Row],[Age Days]]&lt;=14,"Perlu Dipantau",IF(Table2[[#This Row],[Age Days]]&lt;=30,"Perlu Ditindaklanjuti","Overdue")))</f>
        <v>Perlu Ditindaklanjuti</v>
      </c>
    </row>
    <row r="903" spans="1:15" x14ac:dyDescent="0.3">
      <c r="A903" t="s">
        <v>987</v>
      </c>
      <c r="B903" s="3">
        <v>46245</v>
      </c>
      <c r="C903" t="s">
        <v>11</v>
      </c>
      <c r="D903" t="s">
        <v>12</v>
      </c>
      <c r="E903" t="s">
        <v>13</v>
      </c>
      <c r="F903" t="s">
        <v>14</v>
      </c>
      <c r="G903" t="s">
        <v>28</v>
      </c>
      <c r="H903" s="5">
        <v>355000</v>
      </c>
      <c r="I903" s="5">
        <v>0</v>
      </c>
      <c r="J903" s="5">
        <v>0</v>
      </c>
      <c r="K903" s="5">
        <f>Table2[[#This Row],[Advance Amount]]-Table2[[#This Row],[Expense Amount]]-Table2[[#This Row],[Return Amount]]</f>
        <v>355000</v>
      </c>
      <c r="L903" s="5" t="str">
        <f>IF(Table2[[#This Row],[Outstanding]]=0,"Settled",IF(Table2[[#This Row],[Outstanding]]&gt;0,"Outstanding"))</f>
        <v>Outstanding</v>
      </c>
      <c r="M903" s="5" t="str">
        <f>IF(Table2[[#This Row],[Advance Amount]]=Table2[[#This Row],[Expense Amount]]+Table2[[#This Row],[Return Amount]]+Table2[[#This Row],[Outstanding]],"Ok","Check")</f>
        <v>Ok</v>
      </c>
      <c r="N903" s="11">
        <f>IF(Table2[[#This Row],[Status]]="Settled",0,$Q$2-Table2[[#This Row],[Date]])</f>
        <v>20</v>
      </c>
      <c r="O903" s="5" t="str">
        <f>IF(Table2[[#This Row],[Age Days]]&lt;=7,"Normal",IF(Table2[[#This Row],[Age Days]]&lt;=14,"Perlu Dipantau",IF(Table2[[#This Row],[Age Days]]&lt;=30,"Perlu Ditindaklanjuti","Overdue")))</f>
        <v>Perlu Ditindaklanjuti</v>
      </c>
    </row>
    <row r="904" spans="1:15" x14ac:dyDescent="0.3">
      <c r="A904" t="s">
        <v>988</v>
      </c>
      <c r="B904" s="3">
        <v>46245</v>
      </c>
      <c r="C904" t="s">
        <v>68</v>
      </c>
      <c r="D904" t="s">
        <v>69</v>
      </c>
      <c r="E904" t="s">
        <v>27</v>
      </c>
      <c r="F904" t="s">
        <v>20</v>
      </c>
      <c r="G904" t="s">
        <v>58</v>
      </c>
      <c r="H904" s="5">
        <v>375000</v>
      </c>
      <c r="I904" s="5">
        <v>325000</v>
      </c>
      <c r="J904" s="5">
        <v>50000</v>
      </c>
      <c r="K904" s="5">
        <f>Table2[[#This Row],[Advance Amount]]-Table2[[#This Row],[Expense Amount]]-Table2[[#This Row],[Return Amount]]</f>
        <v>0</v>
      </c>
      <c r="L904" s="5" t="str">
        <f>IF(Table2[[#This Row],[Outstanding]]=0,"Settled",IF(Table2[[#This Row],[Outstanding]]&gt;0,"Outstanding"))</f>
        <v>Settled</v>
      </c>
      <c r="M904" s="5" t="str">
        <f>IF(Table2[[#This Row],[Advance Amount]]=Table2[[#This Row],[Expense Amount]]+Table2[[#This Row],[Return Amount]]+Table2[[#This Row],[Outstanding]],"Ok","Check")</f>
        <v>Ok</v>
      </c>
      <c r="N904" s="11">
        <f>IF(Table2[[#This Row],[Status]]="Settled",0,$Q$2-Table2[[#This Row],[Date]])</f>
        <v>0</v>
      </c>
      <c r="O904" s="5" t="str">
        <f>IF(Table2[[#This Row],[Age Days]]&lt;=7,"Normal",IF(Table2[[#This Row],[Age Days]]&lt;=14,"Perlu Dipantau",IF(Table2[[#This Row],[Age Days]]&lt;=30,"Perlu Ditindaklanjuti","Overdue")))</f>
        <v>Normal</v>
      </c>
    </row>
    <row r="905" spans="1:15" x14ac:dyDescent="0.3">
      <c r="A905" t="s">
        <v>989</v>
      </c>
      <c r="B905" s="3">
        <v>46245</v>
      </c>
      <c r="C905" t="s">
        <v>68</v>
      </c>
      <c r="D905" t="s">
        <v>69</v>
      </c>
      <c r="E905" t="s">
        <v>27</v>
      </c>
      <c r="F905" t="s">
        <v>20</v>
      </c>
      <c r="G905" t="s">
        <v>31</v>
      </c>
      <c r="H905" s="5">
        <v>775000</v>
      </c>
      <c r="I905" s="5">
        <v>650000</v>
      </c>
      <c r="J905" s="5">
        <v>125000</v>
      </c>
      <c r="K905" s="5">
        <f>Table2[[#This Row],[Advance Amount]]-Table2[[#This Row],[Expense Amount]]-Table2[[#This Row],[Return Amount]]</f>
        <v>0</v>
      </c>
      <c r="L905" s="5" t="str">
        <f>IF(Table2[[#This Row],[Outstanding]]=0,"Settled",IF(Table2[[#This Row],[Outstanding]]&gt;0,"Outstanding"))</f>
        <v>Settled</v>
      </c>
      <c r="M905" s="5" t="str">
        <f>IF(Table2[[#This Row],[Advance Amount]]=Table2[[#This Row],[Expense Amount]]+Table2[[#This Row],[Return Amount]]+Table2[[#This Row],[Outstanding]],"Ok","Check")</f>
        <v>Ok</v>
      </c>
      <c r="N905" s="11">
        <f>IF(Table2[[#This Row],[Status]]="Settled",0,$Q$2-Table2[[#This Row],[Date]])</f>
        <v>0</v>
      </c>
      <c r="O905" s="5" t="str">
        <f>IF(Table2[[#This Row],[Age Days]]&lt;=7,"Normal",IF(Table2[[#This Row],[Age Days]]&lt;=14,"Perlu Dipantau",IF(Table2[[#This Row],[Age Days]]&lt;=30,"Perlu Ditindaklanjuti","Overdue")))</f>
        <v>Normal</v>
      </c>
    </row>
    <row r="906" spans="1:15" x14ac:dyDescent="0.3">
      <c r="A906" t="s">
        <v>990</v>
      </c>
      <c r="B906" s="3">
        <v>46245</v>
      </c>
      <c r="C906" t="s">
        <v>44</v>
      </c>
      <c r="D906" t="s">
        <v>45</v>
      </c>
      <c r="E906" t="s">
        <v>43</v>
      </c>
      <c r="F906" t="s">
        <v>14</v>
      </c>
      <c r="G906" t="s">
        <v>15</v>
      </c>
      <c r="H906" s="5">
        <v>2950000</v>
      </c>
      <c r="I906" s="5">
        <v>2325000</v>
      </c>
      <c r="J906" s="5">
        <v>625000</v>
      </c>
      <c r="K906" s="5">
        <f>Table2[[#This Row],[Advance Amount]]-Table2[[#This Row],[Expense Amount]]-Table2[[#This Row],[Return Amount]]</f>
        <v>0</v>
      </c>
      <c r="L906" s="5" t="str">
        <f>IF(Table2[[#This Row],[Outstanding]]=0,"Settled",IF(Table2[[#This Row],[Outstanding]]&gt;0,"Outstanding"))</f>
        <v>Settled</v>
      </c>
      <c r="M906" s="5" t="str">
        <f>IF(Table2[[#This Row],[Advance Amount]]=Table2[[#This Row],[Expense Amount]]+Table2[[#This Row],[Return Amount]]+Table2[[#This Row],[Outstanding]],"Ok","Check")</f>
        <v>Ok</v>
      </c>
      <c r="N906" s="11">
        <f>IF(Table2[[#This Row],[Status]]="Settled",0,$Q$2-Table2[[#This Row],[Date]])</f>
        <v>0</v>
      </c>
      <c r="O906" s="5" t="str">
        <f>IF(Table2[[#This Row],[Age Days]]&lt;=7,"Normal",IF(Table2[[#This Row],[Age Days]]&lt;=14,"Perlu Dipantau",IF(Table2[[#This Row],[Age Days]]&lt;=30,"Perlu Ditindaklanjuti","Overdue")))</f>
        <v>Normal</v>
      </c>
    </row>
    <row r="907" spans="1:15" x14ac:dyDescent="0.3">
      <c r="A907" t="s">
        <v>991</v>
      </c>
      <c r="B907" s="3">
        <v>46245</v>
      </c>
      <c r="C907" t="s">
        <v>17</v>
      </c>
      <c r="D907" t="s">
        <v>18</v>
      </c>
      <c r="E907" t="s">
        <v>19</v>
      </c>
      <c r="F907" t="s">
        <v>20</v>
      </c>
      <c r="G907" t="s">
        <v>40</v>
      </c>
      <c r="H907" s="5">
        <v>800000</v>
      </c>
      <c r="I907" s="5">
        <v>675000</v>
      </c>
      <c r="J907" s="5">
        <v>125000</v>
      </c>
      <c r="K907" s="5">
        <f>Table2[[#This Row],[Advance Amount]]-Table2[[#This Row],[Expense Amount]]-Table2[[#This Row],[Return Amount]]</f>
        <v>0</v>
      </c>
      <c r="L907" s="5" t="str">
        <f>IF(Table2[[#This Row],[Outstanding]]=0,"Settled",IF(Table2[[#This Row],[Outstanding]]&gt;0,"Outstanding"))</f>
        <v>Settled</v>
      </c>
      <c r="M907" s="5" t="str">
        <f>IF(Table2[[#This Row],[Advance Amount]]=Table2[[#This Row],[Expense Amount]]+Table2[[#This Row],[Return Amount]]+Table2[[#This Row],[Outstanding]],"Ok","Check")</f>
        <v>Ok</v>
      </c>
      <c r="N907" s="11">
        <f>IF(Table2[[#This Row],[Status]]="Settled",0,$Q$2-Table2[[#This Row],[Date]])</f>
        <v>0</v>
      </c>
      <c r="O907" s="5" t="str">
        <f>IF(Table2[[#This Row],[Age Days]]&lt;=7,"Normal",IF(Table2[[#This Row],[Age Days]]&lt;=14,"Perlu Dipantau",IF(Table2[[#This Row],[Age Days]]&lt;=30,"Perlu Ditindaklanjuti","Overdue")))</f>
        <v>Normal</v>
      </c>
    </row>
    <row r="908" spans="1:15" x14ac:dyDescent="0.3">
      <c r="A908" t="s">
        <v>992</v>
      </c>
      <c r="B908" s="3">
        <v>46246</v>
      </c>
      <c r="C908" t="s">
        <v>55</v>
      </c>
      <c r="D908" t="s">
        <v>56</v>
      </c>
      <c r="E908" t="s">
        <v>24</v>
      </c>
      <c r="F908" t="s">
        <v>14</v>
      </c>
      <c r="G908" t="s">
        <v>15</v>
      </c>
      <c r="H908" s="5">
        <v>3325000</v>
      </c>
      <c r="I908" s="5">
        <v>3125000</v>
      </c>
      <c r="J908" s="5">
        <v>200000</v>
      </c>
      <c r="K908" s="5">
        <f>Table2[[#This Row],[Advance Amount]]-Table2[[#This Row],[Expense Amount]]-Table2[[#This Row],[Return Amount]]</f>
        <v>0</v>
      </c>
      <c r="L908" s="5" t="str">
        <f>IF(Table2[[#This Row],[Outstanding]]=0,"Settled",IF(Table2[[#This Row],[Outstanding]]&gt;0,"Outstanding"))</f>
        <v>Settled</v>
      </c>
      <c r="M908" s="5" t="str">
        <f>IF(Table2[[#This Row],[Advance Amount]]=Table2[[#This Row],[Expense Amount]]+Table2[[#This Row],[Return Amount]]+Table2[[#This Row],[Outstanding]],"Ok","Check")</f>
        <v>Ok</v>
      </c>
      <c r="N908" s="11">
        <f>IF(Table2[[#This Row],[Status]]="Settled",0,$Q$2-Table2[[#This Row],[Date]])</f>
        <v>0</v>
      </c>
      <c r="O908" s="5" t="str">
        <f>IF(Table2[[#This Row],[Age Days]]&lt;=7,"Normal",IF(Table2[[#This Row],[Age Days]]&lt;=14,"Perlu Dipantau",IF(Table2[[#This Row],[Age Days]]&lt;=30,"Perlu Ditindaklanjuti","Overdue")))</f>
        <v>Normal</v>
      </c>
    </row>
    <row r="909" spans="1:15" x14ac:dyDescent="0.3">
      <c r="A909" t="s">
        <v>993</v>
      </c>
      <c r="B909" s="3">
        <v>46246</v>
      </c>
      <c r="C909" t="s">
        <v>48</v>
      </c>
      <c r="D909" t="s">
        <v>49</v>
      </c>
      <c r="E909" t="s">
        <v>19</v>
      </c>
      <c r="F909" t="s">
        <v>14</v>
      </c>
      <c r="G909" t="s">
        <v>58</v>
      </c>
      <c r="H909" s="5">
        <v>800000</v>
      </c>
      <c r="I909" s="5">
        <v>725000</v>
      </c>
      <c r="J909" s="5">
        <v>75000</v>
      </c>
      <c r="K909" s="5">
        <f>Table2[[#This Row],[Advance Amount]]-Table2[[#This Row],[Expense Amount]]-Table2[[#This Row],[Return Amount]]</f>
        <v>0</v>
      </c>
      <c r="L909" s="5" t="str">
        <f>IF(Table2[[#This Row],[Outstanding]]=0,"Settled",IF(Table2[[#This Row],[Outstanding]]&gt;0,"Outstanding"))</f>
        <v>Settled</v>
      </c>
      <c r="M909" s="5" t="str">
        <f>IF(Table2[[#This Row],[Advance Amount]]=Table2[[#This Row],[Expense Amount]]+Table2[[#This Row],[Return Amount]]+Table2[[#This Row],[Outstanding]],"Ok","Check")</f>
        <v>Ok</v>
      </c>
      <c r="N909" s="11">
        <f>IF(Table2[[#This Row],[Status]]="Settled",0,$Q$2-Table2[[#This Row],[Date]])</f>
        <v>0</v>
      </c>
      <c r="O909" s="5" t="str">
        <f>IF(Table2[[#This Row],[Age Days]]&lt;=7,"Normal",IF(Table2[[#This Row],[Age Days]]&lt;=14,"Perlu Dipantau",IF(Table2[[#This Row],[Age Days]]&lt;=30,"Perlu Ditindaklanjuti","Overdue")))</f>
        <v>Normal</v>
      </c>
    </row>
    <row r="910" spans="1:15" x14ac:dyDescent="0.3">
      <c r="A910" t="s">
        <v>994</v>
      </c>
      <c r="B910" s="3">
        <v>46246</v>
      </c>
      <c r="C910" t="s">
        <v>38</v>
      </c>
      <c r="D910" t="s">
        <v>39</v>
      </c>
      <c r="E910" t="s">
        <v>24</v>
      </c>
      <c r="F910" t="s">
        <v>20</v>
      </c>
      <c r="G910" t="s">
        <v>58</v>
      </c>
      <c r="H910" s="5">
        <v>800000</v>
      </c>
      <c r="I910" s="5">
        <v>0</v>
      </c>
      <c r="J910" s="5">
        <v>0</v>
      </c>
      <c r="K910" s="5">
        <f>Table2[[#This Row],[Advance Amount]]-Table2[[#This Row],[Expense Amount]]-Table2[[#This Row],[Return Amount]]</f>
        <v>800000</v>
      </c>
      <c r="L910" s="5" t="str">
        <f>IF(Table2[[#This Row],[Outstanding]]=0,"Settled",IF(Table2[[#This Row],[Outstanding]]&gt;0,"Outstanding"))</f>
        <v>Outstanding</v>
      </c>
      <c r="M910" s="5" t="str">
        <f>IF(Table2[[#This Row],[Advance Amount]]=Table2[[#This Row],[Expense Amount]]+Table2[[#This Row],[Return Amount]]+Table2[[#This Row],[Outstanding]],"Ok","Check")</f>
        <v>Ok</v>
      </c>
      <c r="N910" s="11">
        <f>IF(Table2[[#This Row],[Status]]="Settled",0,$Q$2-Table2[[#This Row],[Date]])</f>
        <v>19</v>
      </c>
      <c r="O910" s="5" t="str">
        <f>IF(Table2[[#This Row],[Age Days]]&lt;=7,"Normal",IF(Table2[[#This Row],[Age Days]]&lt;=14,"Perlu Dipantau",IF(Table2[[#This Row],[Age Days]]&lt;=30,"Perlu Ditindaklanjuti","Overdue")))</f>
        <v>Perlu Ditindaklanjuti</v>
      </c>
    </row>
    <row r="911" spans="1:15" x14ac:dyDescent="0.3">
      <c r="A911" t="s">
        <v>995</v>
      </c>
      <c r="B911" s="3">
        <v>46246</v>
      </c>
      <c r="C911" t="s">
        <v>50</v>
      </c>
      <c r="D911" t="s">
        <v>51</v>
      </c>
      <c r="E911" t="s">
        <v>52</v>
      </c>
      <c r="F911" t="s">
        <v>20</v>
      </c>
      <c r="G911" t="s">
        <v>40</v>
      </c>
      <c r="H911" s="5">
        <v>525000</v>
      </c>
      <c r="I911" s="5">
        <v>475000</v>
      </c>
      <c r="J911" s="5">
        <v>50000</v>
      </c>
      <c r="K911" s="5">
        <f>Table2[[#This Row],[Advance Amount]]-Table2[[#This Row],[Expense Amount]]-Table2[[#This Row],[Return Amount]]</f>
        <v>0</v>
      </c>
      <c r="L911" s="5" t="str">
        <f>IF(Table2[[#This Row],[Outstanding]]=0,"Settled",IF(Table2[[#This Row],[Outstanding]]&gt;0,"Outstanding"))</f>
        <v>Settled</v>
      </c>
      <c r="M911" s="5" t="str">
        <f>IF(Table2[[#This Row],[Advance Amount]]=Table2[[#This Row],[Expense Amount]]+Table2[[#This Row],[Return Amount]]+Table2[[#This Row],[Outstanding]],"Ok","Check")</f>
        <v>Ok</v>
      </c>
      <c r="N911" s="11">
        <f>IF(Table2[[#This Row],[Status]]="Settled",0,$Q$2-Table2[[#This Row],[Date]])</f>
        <v>0</v>
      </c>
      <c r="O911" s="5" t="str">
        <f>IF(Table2[[#This Row],[Age Days]]&lt;=7,"Normal",IF(Table2[[#This Row],[Age Days]]&lt;=14,"Perlu Dipantau",IF(Table2[[#This Row],[Age Days]]&lt;=30,"Perlu Ditindaklanjuti","Overdue")))</f>
        <v>Normal</v>
      </c>
    </row>
    <row r="912" spans="1:15" x14ac:dyDescent="0.3">
      <c r="A912" t="s">
        <v>996</v>
      </c>
      <c r="B912" s="3">
        <v>46246</v>
      </c>
      <c r="C912" t="s">
        <v>59</v>
      </c>
      <c r="D912" t="s">
        <v>60</v>
      </c>
      <c r="E912" t="s">
        <v>19</v>
      </c>
      <c r="F912" t="s">
        <v>14</v>
      </c>
      <c r="G912" t="s">
        <v>28</v>
      </c>
      <c r="H912" s="5">
        <v>430000</v>
      </c>
      <c r="I912" s="5">
        <v>350000</v>
      </c>
      <c r="J912" s="5">
        <v>80000</v>
      </c>
      <c r="K912" s="5">
        <f>Table2[[#This Row],[Advance Amount]]-Table2[[#This Row],[Expense Amount]]-Table2[[#This Row],[Return Amount]]</f>
        <v>0</v>
      </c>
      <c r="L912" s="5" t="str">
        <f>IF(Table2[[#This Row],[Outstanding]]=0,"Settled",IF(Table2[[#This Row],[Outstanding]]&gt;0,"Outstanding"))</f>
        <v>Settled</v>
      </c>
      <c r="M912" s="5" t="str">
        <f>IF(Table2[[#This Row],[Advance Amount]]=Table2[[#This Row],[Expense Amount]]+Table2[[#This Row],[Return Amount]]+Table2[[#This Row],[Outstanding]],"Ok","Check")</f>
        <v>Ok</v>
      </c>
      <c r="N912" s="11">
        <f>IF(Table2[[#This Row],[Status]]="Settled",0,$Q$2-Table2[[#This Row],[Date]])</f>
        <v>0</v>
      </c>
      <c r="O912" s="5" t="str">
        <f>IF(Table2[[#This Row],[Age Days]]&lt;=7,"Normal",IF(Table2[[#This Row],[Age Days]]&lt;=14,"Perlu Dipantau",IF(Table2[[#This Row],[Age Days]]&lt;=30,"Perlu Ditindaklanjuti","Overdue")))</f>
        <v>Normal</v>
      </c>
    </row>
    <row r="913" spans="1:15" x14ac:dyDescent="0.3">
      <c r="A913" t="s">
        <v>997</v>
      </c>
      <c r="B913" s="3">
        <v>46247</v>
      </c>
      <c r="C913" t="s">
        <v>48</v>
      </c>
      <c r="D913" t="s">
        <v>49</v>
      </c>
      <c r="E913" t="s">
        <v>19</v>
      </c>
      <c r="F913" t="s">
        <v>14</v>
      </c>
      <c r="G913" t="s">
        <v>57</v>
      </c>
      <c r="H913" s="5">
        <v>305000</v>
      </c>
      <c r="I913" s="5">
        <v>275000</v>
      </c>
      <c r="J913" s="5">
        <v>30000</v>
      </c>
      <c r="K913" s="5">
        <f>Table2[[#This Row],[Advance Amount]]-Table2[[#This Row],[Expense Amount]]-Table2[[#This Row],[Return Amount]]</f>
        <v>0</v>
      </c>
      <c r="L913" s="5" t="str">
        <f>IF(Table2[[#This Row],[Outstanding]]=0,"Settled",IF(Table2[[#This Row],[Outstanding]]&gt;0,"Outstanding"))</f>
        <v>Settled</v>
      </c>
      <c r="M913" s="5" t="str">
        <f>IF(Table2[[#This Row],[Advance Amount]]=Table2[[#This Row],[Expense Amount]]+Table2[[#This Row],[Return Amount]]+Table2[[#This Row],[Outstanding]],"Ok","Check")</f>
        <v>Ok</v>
      </c>
      <c r="N913" s="11">
        <f>IF(Table2[[#This Row],[Status]]="Settled",0,$Q$2-Table2[[#This Row],[Date]])</f>
        <v>0</v>
      </c>
      <c r="O913" s="5" t="str">
        <f>IF(Table2[[#This Row],[Age Days]]&lt;=7,"Normal",IF(Table2[[#This Row],[Age Days]]&lt;=14,"Perlu Dipantau",IF(Table2[[#This Row],[Age Days]]&lt;=30,"Perlu Ditindaklanjuti","Overdue")))</f>
        <v>Normal</v>
      </c>
    </row>
    <row r="914" spans="1:15" x14ac:dyDescent="0.3">
      <c r="A914" t="s">
        <v>998</v>
      </c>
      <c r="B914" s="3">
        <v>46247</v>
      </c>
      <c r="C914" t="s">
        <v>11</v>
      </c>
      <c r="D914" t="s">
        <v>12</v>
      </c>
      <c r="E914" t="s">
        <v>13</v>
      </c>
      <c r="F914" t="s">
        <v>20</v>
      </c>
      <c r="G914" t="s">
        <v>57</v>
      </c>
      <c r="H914" s="5">
        <v>455000</v>
      </c>
      <c r="I914" s="5">
        <v>0</v>
      </c>
      <c r="J914" s="5">
        <v>0</v>
      </c>
      <c r="K914" s="5">
        <f>Table2[[#This Row],[Advance Amount]]-Table2[[#This Row],[Expense Amount]]-Table2[[#This Row],[Return Amount]]</f>
        <v>455000</v>
      </c>
      <c r="L914" s="5" t="str">
        <f>IF(Table2[[#This Row],[Outstanding]]=0,"Settled",IF(Table2[[#This Row],[Outstanding]]&gt;0,"Outstanding"))</f>
        <v>Outstanding</v>
      </c>
      <c r="M914" s="5" t="str">
        <f>IF(Table2[[#This Row],[Advance Amount]]=Table2[[#This Row],[Expense Amount]]+Table2[[#This Row],[Return Amount]]+Table2[[#This Row],[Outstanding]],"Ok","Check")</f>
        <v>Ok</v>
      </c>
      <c r="N914" s="11">
        <f>IF(Table2[[#This Row],[Status]]="Settled",0,$Q$2-Table2[[#This Row],[Date]])</f>
        <v>18</v>
      </c>
      <c r="O914" s="5" t="str">
        <f>IF(Table2[[#This Row],[Age Days]]&lt;=7,"Normal",IF(Table2[[#This Row],[Age Days]]&lt;=14,"Perlu Dipantau",IF(Table2[[#This Row],[Age Days]]&lt;=30,"Perlu Ditindaklanjuti","Overdue")))</f>
        <v>Perlu Ditindaklanjuti</v>
      </c>
    </row>
    <row r="915" spans="1:15" x14ac:dyDescent="0.3">
      <c r="A915" t="s">
        <v>999</v>
      </c>
      <c r="B915" s="3">
        <v>46247</v>
      </c>
      <c r="C915" t="s">
        <v>11</v>
      </c>
      <c r="D915" t="s">
        <v>12</v>
      </c>
      <c r="E915" t="s">
        <v>13</v>
      </c>
      <c r="F915" t="s">
        <v>14</v>
      </c>
      <c r="G915" t="s">
        <v>31</v>
      </c>
      <c r="H915" s="5">
        <v>400000</v>
      </c>
      <c r="I915" s="5">
        <v>0</v>
      </c>
      <c r="J915" s="5">
        <v>0</v>
      </c>
      <c r="K915" s="5">
        <f>Table2[[#This Row],[Advance Amount]]-Table2[[#This Row],[Expense Amount]]-Table2[[#This Row],[Return Amount]]</f>
        <v>400000</v>
      </c>
      <c r="L915" s="5" t="str">
        <f>IF(Table2[[#This Row],[Outstanding]]=0,"Settled",IF(Table2[[#This Row],[Outstanding]]&gt;0,"Outstanding"))</f>
        <v>Outstanding</v>
      </c>
      <c r="M915" s="5" t="str">
        <f>IF(Table2[[#This Row],[Advance Amount]]=Table2[[#This Row],[Expense Amount]]+Table2[[#This Row],[Return Amount]]+Table2[[#This Row],[Outstanding]],"Ok","Check")</f>
        <v>Ok</v>
      </c>
      <c r="N915" s="11">
        <f>IF(Table2[[#This Row],[Status]]="Settled",0,$Q$2-Table2[[#This Row],[Date]])</f>
        <v>18</v>
      </c>
      <c r="O915" s="5" t="str">
        <f>IF(Table2[[#This Row],[Age Days]]&lt;=7,"Normal",IF(Table2[[#This Row],[Age Days]]&lt;=14,"Perlu Dipantau",IF(Table2[[#This Row],[Age Days]]&lt;=30,"Perlu Ditindaklanjuti","Overdue")))</f>
        <v>Perlu Ditindaklanjuti</v>
      </c>
    </row>
    <row r="916" spans="1:15" x14ac:dyDescent="0.3">
      <c r="A916" t="s">
        <v>1000</v>
      </c>
      <c r="B916" s="3">
        <v>46247</v>
      </c>
      <c r="C916" t="s">
        <v>17</v>
      </c>
      <c r="D916" t="s">
        <v>18</v>
      </c>
      <c r="E916" t="s">
        <v>19</v>
      </c>
      <c r="F916" t="s">
        <v>14</v>
      </c>
      <c r="G916" t="s">
        <v>57</v>
      </c>
      <c r="H916" s="5">
        <v>205000</v>
      </c>
      <c r="I916" s="5">
        <v>0</v>
      </c>
      <c r="J916" s="5">
        <v>0</v>
      </c>
      <c r="K916" s="5">
        <f>Table2[[#This Row],[Advance Amount]]-Table2[[#This Row],[Expense Amount]]-Table2[[#This Row],[Return Amount]]</f>
        <v>205000</v>
      </c>
      <c r="L916" s="5" t="str">
        <f>IF(Table2[[#This Row],[Outstanding]]=0,"Settled",IF(Table2[[#This Row],[Outstanding]]&gt;0,"Outstanding"))</f>
        <v>Outstanding</v>
      </c>
      <c r="M916" s="5" t="str">
        <f>IF(Table2[[#This Row],[Advance Amount]]=Table2[[#This Row],[Expense Amount]]+Table2[[#This Row],[Return Amount]]+Table2[[#This Row],[Outstanding]],"Ok","Check")</f>
        <v>Ok</v>
      </c>
      <c r="N916" s="11">
        <f>IF(Table2[[#This Row],[Status]]="Settled",0,$Q$2-Table2[[#This Row],[Date]])</f>
        <v>18</v>
      </c>
      <c r="O916" s="5" t="str">
        <f>IF(Table2[[#This Row],[Age Days]]&lt;=7,"Normal",IF(Table2[[#This Row],[Age Days]]&lt;=14,"Perlu Dipantau",IF(Table2[[#This Row],[Age Days]]&lt;=30,"Perlu Ditindaklanjuti","Overdue")))</f>
        <v>Perlu Ditindaklanjuti</v>
      </c>
    </row>
    <row r="917" spans="1:15" x14ac:dyDescent="0.3">
      <c r="A917" t="s">
        <v>1001</v>
      </c>
      <c r="B917" s="3">
        <v>46247</v>
      </c>
      <c r="C917" t="s">
        <v>64</v>
      </c>
      <c r="D917" t="s">
        <v>65</v>
      </c>
      <c r="E917" t="s">
        <v>37</v>
      </c>
      <c r="F917" t="s">
        <v>20</v>
      </c>
      <c r="G917" t="s">
        <v>31</v>
      </c>
      <c r="H917" s="5">
        <v>1250000</v>
      </c>
      <c r="I917" s="5">
        <v>0</v>
      </c>
      <c r="J917" s="5">
        <v>0</v>
      </c>
      <c r="K917" s="5">
        <f>Table2[[#This Row],[Advance Amount]]-Table2[[#This Row],[Expense Amount]]-Table2[[#This Row],[Return Amount]]</f>
        <v>1250000</v>
      </c>
      <c r="L917" s="5" t="str">
        <f>IF(Table2[[#This Row],[Outstanding]]=0,"Settled",IF(Table2[[#This Row],[Outstanding]]&gt;0,"Outstanding"))</f>
        <v>Outstanding</v>
      </c>
      <c r="M917" s="5" t="str">
        <f>IF(Table2[[#This Row],[Advance Amount]]=Table2[[#This Row],[Expense Amount]]+Table2[[#This Row],[Return Amount]]+Table2[[#This Row],[Outstanding]],"Ok","Check")</f>
        <v>Ok</v>
      </c>
      <c r="N917" s="11">
        <f>IF(Table2[[#This Row],[Status]]="Settled",0,$Q$2-Table2[[#This Row],[Date]])</f>
        <v>18</v>
      </c>
      <c r="O917" s="5" t="str">
        <f>IF(Table2[[#This Row],[Age Days]]&lt;=7,"Normal",IF(Table2[[#This Row],[Age Days]]&lt;=14,"Perlu Dipantau",IF(Table2[[#This Row],[Age Days]]&lt;=30,"Perlu Ditindaklanjuti","Overdue")))</f>
        <v>Perlu Ditindaklanjuti</v>
      </c>
    </row>
    <row r="918" spans="1:15" x14ac:dyDescent="0.3">
      <c r="A918" t="s">
        <v>1002</v>
      </c>
      <c r="B918" s="3">
        <v>46247</v>
      </c>
      <c r="C918" t="s">
        <v>25</v>
      </c>
      <c r="D918" t="s">
        <v>26</v>
      </c>
      <c r="E918" t="s">
        <v>27</v>
      </c>
      <c r="F918" t="s">
        <v>14</v>
      </c>
      <c r="G918" t="s">
        <v>34</v>
      </c>
      <c r="H918" s="5">
        <v>500000</v>
      </c>
      <c r="I918" s="5">
        <v>0</v>
      </c>
      <c r="J918" s="5">
        <v>0</v>
      </c>
      <c r="K918" s="5">
        <f>Table2[[#This Row],[Advance Amount]]-Table2[[#This Row],[Expense Amount]]-Table2[[#This Row],[Return Amount]]</f>
        <v>500000</v>
      </c>
      <c r="L918" s="5" t="str">
        <f>IF(Table2[[#This Row],[Outstanding]]=0,"Settled",IF(Table2[[#This Row],[Outstanding]]&gt;0,"Outstanding"))</f>
        <v>Outstanding</v>
      </c>
      <c r="M918" s="5" t="str">
        <f>IF(Table2[[#This Row],[Advance Amount]]=Table2[[#This Row],[Expense Amount]]+Table2[[#This Row],[Return Amount]]+Table2[[#This Row],[Outstanding]],"Ok","Check")</f>
        <v>Ok</v>
      </c>
      <c r="N918" s="11">
        <f>IF(Table2[[#This Row],[Status]]="Settled",0,$Q$2-Table2[[#This Row],[Date]])</f>
        <v>18</v>
      </c>
      <c r="O918" s="5" t="str">
        <f>IF(Table2[[#This Row],[Age Days]]&lt;=7,"Normal",IF(Table2[[#This Row],[Age Days]]&lt;=14,"Perlu Dipantau",IF(Table2[[#This Row],[Age Days]]&lt;=30,"Perlu Ditindaklanjuti","Overdue")))</f>
        <v>Perlu Ditindaklanjuti</v>
      </c>
    </row>
    <row r="919" spans="1:15" x14ac:dyDescent="0.3">
      <c r="A919" t="s">
        <v>1003</v>
      </c>
      <c r="B919" s="3">
        <v>46248</v>
      </c>
      <c r="C919" t="s">
        <v>29</v>
      </c>
      <c r="D919" t="s">
        <v>30</v>
      </c>
      <c r="E919" t="s">
        <v>13</v>
      </c>
      <c r="F919" t="s">
        <v>20</v>
      </c>
      <c r="G919" t="s">
        <v>61</v>
      </c>
      <c r="H919" s="5">
        <v>625000</v>
      </c>
      <c r="I919" s="5">
        <v>450000</v>
      </c>
      <c r="J919" s="5">
        <v>175000</v>
      </c>
      <c r="K919" s="5">
        <f>Table2[[#This Row],[Advance Amount]]-Table2[[#This Row],[Expense Amount]]-Table2[[#This Row],[Return Amount]]</f>
        <v>0</v>
      </c>
      <c r="L919" s="5" t="str">
        <f>IF(Table2[[#This Row],[Outstanding]]=0,"Settled",IF(Table2[[#This Row],[Outstanding]]&gt;0,"Outstanding"))</f>
        <v>Settled</v>
      </c>
      <c r="M919" s="5" t="str">
        <f>IF(Table2[[#This Row],[Advance Amount]]=Table2[[#This Row],[Expense Amount]]+Table2[[#This Row],[Return Amount]]+Table2[[#This Row],[Outstanding]],"Ok","Check")</f>
        <v>Ok</v>
      </c>
      <c r="N919" s="11">
        <f>IF(Table2[[#This Row],[Status]]="Settled",0,$Q$2-Table2[[#This Row],[Date]])</f>
        <v>0</v>
      </c>
      <c r="O919" s="5" t="str">
        <f>IF(Table2[[#This Row],[Age Days]]&lt;=7,"Normal",IF(Table2[[#This Row],[Age Days]]&lt;=14,"Perlu Dipantau",IF(Table2[[#This Row],[Age Days]]&lt;=30,"Perlu Ditindaklanjuti","Overdue")))</f>
        <v>Normal</v>
      </c>
    </row>
    <row r="920" spans="1:15" x14ac:dyDescent="0.3">
      <c r="A920" t="s">
        <v>1004</v>
      </c>
      <c r="B920" s="3">
        <v>46248</v>
      </c>
      <c r="C920" t="s">
        <v>41</v>
      </c>
      <c r="D920" t="s">
        <v>42</v>
      </c>
      <c r="E920" t="s">
        <v>43</v>
      </c>
      <c r="F920" t="s">
        <v>20</v>
      </c>
      <c r="G920" t="s">
        <v>40</v>
      </c>
      <c r="H920" s="5">
        <v>450000</v>
      </c>
      <c r="I920" s="5">
        <v>325000</v>
      </c>
      <c r="J920" s="5">
        <v>125000</v>
      </c>
      <c r="K920" s="5">
        <f>Table2[[#This Row],[Advance Amount]]-Table2[[#This Row],[Expense Amount]]-Table2[[#This Row],[Return Amount]]</f>
        <v>0</v>
      </c>
      <c r="L920" s="5" t="str">
        <f>IF(Table2[[#This Row],[Outstanding]]=0,"Settled",IF(Table2[[#This Row],[Outstanding]]&gt;0,"Outstanding"))</f>
        <v>Settled</v>
      </c>
      <c r="M920" s="5" t="str">
        <f>IF(Table2[[#This Row],[Advance Amount]]=Table2[[#This Row],[Expense Amount]]+Table2[[#This Row],[Return Amount]]+Table2[[#This Row],[Outstanding]],"Ok","Check")</f>
        <v>Ok</v>
      </c>
      <c r="N920" s="11">
        <f>IF(Table2[[#This Row],[Status]]="Settled",0,$Q$2-Table2[[#This Row],[Date]])</f>
        <v>0</v>
      </c>
      <c r="O920" s="5" t="str">
        <f>IF(Table2[[#This Row],[Age Days]]&lt;=7,"Normal",IF(Table2[[#This Row],[Age Days]]&lt;=14,"Perlu Dipantau",IF(Table2[[#This Row],[Age Days]]&lt;=30,"Perlu Ditindaklanjuti","Overdue")))</f>
        <v>Normal</v>
      </c>
    </row>
    <row r="921" spans="1:15" x14ac:dyDescent="0.3">
      <c r="A921" t="s">
        <v>1005</v>
      </c>
      <c r="B921" s="3">
        <v>46248</v>
      </c>
      <c r="C921" t="s">
        <v>38</v>
      </c>
      <c r="D921" t="s">
        <v>39</v>
      </c>
      <c r="E921" t="s">
        <v>24</v>
      </c>
      <c r="F921" t="s">
        <v>20</v>
      </c>
      <c r="G921" t="s">
        <v>40</v>
      </c>
      <c r="H921" s="5">
        <v>900000</v>
      </c>
      <c r="I921" s="5">
        <v>675000</v>
      </c>
      <c r="J921" s="5">
        <v>225000</v>
      </c>
      <c r="K921" s="5">
        <f>Table2[[#This Row],[Advance Amount]]-Table2[[#This Row],[Expense Amount]]-Table2[[#This Row],[Return Amount]]</f>
        <v>0</v>
      </c>
      <c r="L921" s="5" t="str">
        <f>IF(Table2[[#This Row],[Outstanding]]=0,"Settled",IF(Table2[[#This Row],[Outstanding]]&gt;0,"Outstanding"))</f>
        <v>Settled</v>
      </c>
      <c r="M921" s="5" t="str">
        <f>IF(Table2[[#This Row],[Advance Amount]]=Table2[[#This Row],[Expense Amount]]+Table2[[#This Row],[Return Amount]]+Table2[[#This Row],[Outstanding]],"Ok","Check")</f>
        <v>Ok</v>
      </c>
      <c r="N921" s="11">
        <f>IF(Table2[[#This Row],[Status]]="Settled",0,$Q$2-Table2[[#This Row],[Date]])</f>
        <v>0</v>
      </c>
      <c r="O921" s="5" t="str">
        <f>IF(Table2[[#This Row],[Age Days]]&lt;=7,"Normal",IF(Table2[[#This Row],[Age Days]]&lt;=14,"Perlu Dipantau",IF(Table2[[#This Row],[Age Days]]&lt;=30,"Perlu Ditindaklanjuti","Overdue")))</f>
        <v>Normal</v>
      </c>
    </row>
    <row r="922" spans="1:15" x14ac:dyDescent="0.3">
      <c r="A922" t="s">
        <v>1006</v>
      </c>
      <c r="B922" s="3">
        <v>46249</v>
      </c>
      <c r="C922" t="s">
        <v>41</v>
      </c>
      <c r="D922" t="s">
        <v>42</v>
      </c>
      <c r="E922" t="s">
        <v>43</v>
      </c>
      <c r="F922" t="s">
        <v>20</v>
      </c>
      <c r="G922" t="s">
        <v>15</v>
      </c>
      <c r="H922" s="5">
        <v>2550000</v>
      </c>
      <c r="I922" s="5">
        <v>0</v>
      </c>
      <c r="J922" s="5">
        <v>0</v>
      </c>
      <c r="K922" s="5">
        <f>Table2[[#This Row],[Advance Amount]]-Table2[[#This Row],[Expense Amount]]-Table2[[#This Row],[Return Amount]]</f>
        <v>2550000</v>
      </c>
      <c r="L922" s="5" t="str">
        <f>IF(Table2[[#This Row],[Outstanding]]=0,"Settled",IF(Table2[[#This Row],[Outstanding]]&gt;0,"Outstanding"))</f>
        <v>Outstanding</v>
      </c>
      <c r="M922" s="5" t="str">
        <f>IF(Table2[[#This Row],[Advance Amount]]=Table2[[#This Row],[Expense Amount]]+Table2[[#This Row],[Return Amount]]+Table2[[#This Row],[Outstanding]],"Ok","Check")</f>
        <v>Ok</v>
      </c>
      <c r="N922" s="11">
        <f>IF(Table2[[#This Row],[Status]]="Settled",0,$Q$2-Table2[[#This Row],[Date]])</f>
        <v>16</v>
      </c>
      <c r="O922" s="5" t="str">
        <f>IF(Table2[[#This Row],[Age Days]]&lt;=7,"Normal",IF(Table2[[#This Row],[Age Days]]&lt;=14,"Perlu Dipantau",IF(Table2[[#This Row],[Age Days]]&lt;=30,"Perlu Ditindaklanjuti","Overdue")))</f>
        <v>Perlu Ditindaklanjuti</v>
      </c>
    </row>
    <row r="923" spans="1:15" x14ac:dyDescent="0.3">
      <c r="A923" t="s">
        <v>1007</v>
      </c>
      <c r="B923" s="3">
        <v>46250</v>
      </c>
      <c r="C923" t="s">
        <v>62</v>
      </c>
      <c r="D923" t="s">
        <v>63</v>
      </c>
      <c r="E923" t="s">
        <v>52</v>
      </c>
      <c r="F923" t="s">
        <v>20</v>
      </c>
      <c r="G923" t="s">
        <v>15</v>
      </c>
      <c r="H923" s="5">
        <v>1725000</v>
      </c>
      <c r="I923" s="5">
        <v>1250000</v>
      </c>
      <c r="J923" s="5">
        <v>475000</v>
      </c>
      <c r="K923" s="5">
        <f>Table2[[#This Row],[Advance Amount]]-Table2[[#This Row],[Expense Amount]]-Table2[[#This Row],[Return Amount]]</f>
        <v>0</v>
      </c>
      <c r="L923" s="5" t="str">
        <f>IF(Table2[[#This Row],[Outstanding]]=0,"Settled",IF(Table2[[#This Row],[Outstanding]]&gt;0,"Outstanding"))</f>
        <v>Settled</v>
      </c>
      <c r="M923" s="5" t="str">
        <f>IF(Table2[[#This Row],[Advance Amount]]=Table2[[#This Row],[Expense Amount]]+Table2[[#This Row],[Return Amount]]+Table2[[#This Row],[Outstanding]],"Ok","Check")</f>
        <v>Ok</v>
      </c>
      <c r="N923" s="11">
        <f>IF(Table2[[#This Row],[Status]]="Settled",0,$Q$2-Table2[[#This Row],[Date]])</f>
        <v>0</v>
      </c>
      <c r="O923" s="5" t="str">
        <f>IF(Table2[[#This Row],[Age Days]]&lt;=7,"Normal",IF(Table2[[#This Row],[Age Days]]&lt;=14,"Perlu Dipantau",IF(Table2[[#This Row],[Age Days]]&lt;=30,"Perlu Ditindaklanjuti","Overdue")))</f>
        <v>Normal</v>
      </c>
    </row>
    <row r="924" spans="1:15" x14ac:dyDescent="0.3">
      <c r="A924" t="s">
        <v>1008</v>
      </c>
      <c r="B924" s="3">
        <v>46250</v>
      </c>
      <c r="C924" t="s">
        <v>41</v>
      </c>
      <c r="D924" t="s">
        <v>42</v>
      </c>
      <c r="E924" t="s">
        <v>43</v>
      </c>
      <c r="F924" t="s">
        <v>14</v>
      </c>
      <c r="G924" t="s">
        <v>15</v>
      </c>
      <c r="H924" s="5">
        <v>3775000</v>
      </c>
      <c r="I924" s="5">
        <v>0</v>
      </c>
      <c r="J924" s="5">
        <v>0</v>
      </c>
      <c r="K924" s="5">
        <f>Table2[[#This Row],[Advance Amount]]-Table2[[#This Row],[Expense Amount]]-Table2[[#This Row],[Return Amount]]</f>
        <v>3775000</v>
      </c>
      <c r="L924" s="5" t="str">
        <f>IF(Table2[[#This Row],[Outstanding]]=0,"Settled",IF(Table2[[#This Row],[Outstanding]]&gt;0,"Outstanding"))</f>
        <v>Outstanding</v>
      </c>
      <c r="M924" s="5" t="str">
        <f>IF(Table2[[#This Row],[Advance Amount]]=Table2[[#This Row],[Expense Amount]]+Table2[[#This Row],[Return Amount]]+Table2[[#This Row],[Outstanding]],"Ok","Check")</f>
        <v>Ok</v>
      </c>
      <c r="N924" s="11">
        <f>IF(Table2[[#This Row],[Status]]="Settled",0,$Q$2-Table2[[#This Row],[Date]])</f>
        <v>15</v>
      </c>
      <c r="O924" s="5" t="str">
        <f>IF(Table2[[#This Row],[Age Days]]&lt;=7,"Normal",IF(Table2[[#This Row],[Age Days]]&lt;=14,"Perlu Dipantau",IF(Table2[[#This Row],[Age Days]]&lt;=30,"Perlu Ditindaklanjuti","Overdue")))</f>
        <v>Perlu Ditindaklanjuti</v>
      </c>
    </row>
    <row r="925" spans="1:15" x14ac:dyDescent="0.3">
      <c r="A925" t="s">
        <v>1009</v>
      </c>
      <c r="B925" s="3">
        <v>46250</v>
      </c>
      <c r="C925" t="s">
        <v>25</v>
      </c>
      <c r="D925" t="s">
        <v>26</v>
      </c>
      <c r="E925" t="s">
        <v>27</v>
      </c>
      <c r="F925" t="s">
        <v>20</v>
      </c>
      <c r="G925" t="s">
        <v>31</v>
      </c>
      <c r="H925" s="5">
        <v>1225000</v>
      </c>
      <c r="I925" s="5">
        <v>0</v>
      </c>
      <c r="J925" s="5">
        <v>0</v>
      </c>
      <c r="K925" s="5">
        <f>Table2[[#This Row],[Advance Amount]]-Table2[[#This Row],[Expense Amount]]-Table2[[#This Row],[Return Amount]]</f>
        <v>1225000</v>
      </c>
      <c r="L925" s="5" t="str">
        <f>IF(Table2[[#This Row],[Outstanding]]=0,"Settled",IF(Table2[[#This Row],[Outstanding]]&gt;0,"Outstanding"))</f>
        <v>Outstanding</v>
      </c>
      <c r="M925" s="5" t="str">
        <f>IF(Table2[[#This Row],[Advance Amount]]=Table2[[#This Row],[Expense Amount]]+Table2[[#This Row],[Return Amount]]+Table2[[#This Row],[Outstanding]],"Ok","Check")</f>
        <v>Ok</v>
      </c>
      <c r="N925" s="11">
        <f>IF(Table2[[#This Row],[Status]]="Settled",0,$Q$2-Table2[[#This Row],[Date]])</f>
        <v>15</v>
      </c>
      <c r="O925" s="5" t="str">
        <f>IF(Table2[[#This Row],[Age Days]]&lt;=7,"Normal",IF(Table2[[#This Row],[Age Days]]&lt;=14,"Perlu Dipantau",IF(Table2[[#This Row],[Age Days]]&lt;=30,"Perlu Ditindaklanjuti","Overdue")))</f>
        <v>Perlu Ditindaklanjuti</v>
      </c>
    </row>
    <row r="926" spans="1:15" x14ac:dyDescent="0.3">
      <c r="A926" t="s">
        <v>1010</v>
      </c>
      <c r="B926" s="3">
        <v>46250</v>
      </c>
      <c r="C926" t="s">
        <v>25</v>
      </c>
      <c r="D926" t="s">
        <v>26</v>
      </c>
      <c r="E926" t="s">
        <v>27</v>
      </c>
      <c r="F926" t="s">
        <v>20</v>
      </c>
      <c r="G926" t="s">
        <v>58</v>
      </c>
      <c r="H926" s="5">
        <v>1125000</v>
      </c>
      <c r="I926" s="5">
        <v>875000</v>
      </c>
      <c r="J926" s="5">
        <v>250000</v>
      </c>
      <c r="K926" s="5">
        <f>Table2[[#This Row],[Advance Amount]]-Table2[[#This Row],[Expense Amount]]-Table2[[#This Row],[Return Amount]]</f>
        <v>0</v>
      </c>
      <c r="L926" s="5" t="str">
        <f>IF(Table2[[#This Row],[Outstanding]]=0,"Settled",IF(Table2[[#This Row],[Outstanding]]&gt;0,"Outstanding"))</f>
        <v>Settled</v>
      </c>
      <c r="M926" s="5" t="str">
        <f>IF(Table2[[#This Row],[Advance Amount]]=Table2[[#This Row],[Expense Amount]]+Table2[[#This Row],[Return Amount]]+Table2[[#This Row],[Outstanding]],"Ok","Check")</f>
        <v>Ok</v>
      </c>
      <c r="N926" s="11">
        <f>IF(Table2[[#This Row],[Status]]="Settled",0,$Q$2-Table2[[#This Row],[Date]])</f>
        <v>0</v>
      </c>
      <c r="O926" s="5" t="str">
        <f>IF(Table2[[#This Row],[Age Days]]&lt;=7,"Normal",IF(Table2[[#This Row],[Age Days]]&lt;=14,"Perlu Dipantau",IF(Table2[[#This Row],[Age Days]]&lt;=30,"Perlu Ditindaklanjuti","Overdue")))</f>
        <v>Normal</v>
      </c>
    </row>
    <row r="927" spans="1:15" x14ac:dyDescent="0.3">
      <c r="A927" t="s">
        <v>1011</v>
      </c>
      <c r="B927" s="3">
        <v>46251</v>
      </c>
      <c r="C927" t="s">
        <v>64</v>
      </c>
      <c r="D927" t="s">
        <v>65</v>
      </c>
      <c r="E927" t="s">
        <v>37</v>
      </c>
      <c r="F927" t="s">
        <v>20</v>
      </c>
      <c r="G927" t="s">
        <v>58</v>
      </c>
      <c r="H927" s="5">
        <v>425000</v>
      </c>
      <c r="I927" s="5">
        <v>400000</v>
      </c>
      <c r="J927" s="5">
        <v>25000</v>
      </c>
      <c r="K927" s="5">
        <f>Table2[[#This Row],[Advance Amount]]-Table2[[#This Row],[Expense Amount]]-Table2[[#This Row],[Return Amount]]</f>
        <v>0</v>
      </c>
      <c r="L927" s="5" t="str">
        <f>IF(Table2[[#This Row],[Outstanding]]=0,"Settled",IF(Table2[[#This Row],[Outstanding]]&gt;0,"Outstanding"))</f>
        <v>Settled</v>
      </c>
      <c r="M927" s="5" t="str">
        <f>IF(Table2[[#This Row],[Advance Amount]]=Table2[[#This Row],[Expense Amount]]+Table2[[#This Row],[Return Amount]]+Table2[[#This Row],[Outstanding]],"Ok","Check")</f>
        <v>Ok</v>
      </c>
      <c r="N927" s="11">
        <f>IF(Table2[[#This Row],[Status]]="Settled",0,$Q$2-Table2[[#This Row],[Date]])</f>
        <v>0</v>
      </c>
      <c r="O927" s="5" t="str">
        <f>IF(Table2[[#This Row],[Age Days]]&lt;=7,"Normal",IF(Table2[[#This Row],[Age Days]]&lt;=14,"Perlu Dipantau",IF(Table2[[#This Row],[Age Days]]&lt;=30,"Perlu Ditindaklanjuti","Overdue")))</f>
        <v>Normal</v>
      </c>
    </row>
    <row r="928" spans="1:15" x14ac:dyDescent="0.3">
      <c r="A928" t="s">
        <v>1012</v>
      </c>
      <c r="B928" s="3">
        <v>46251</v>
      </c>
      <c r="C928" t="s">
        <v>66</v>
      </c>
      <c r="D928" t="s">
        <v>67</v>
      </c>
      <c r="E928" t="s">
        <v>13</v>
      </c>
      <c r="F928" t="s">
        <v>20</v>
      </c>
      <c r="G928" t="s">
        <v>57</v>
      </c>
      <c r="H928" s="5">
        <v>230000</v>
      </c>
      <c r="I928" s="5">
        <v>175000</v>
      </c>
      <c r="J928" s="5">
        <v>55000</v>
      </c>
      <c r="K928" s="5">
        <f>Table2[[#This Row],[Advance Amount]]-Table2[[#This Row],[Expense Amount]]-Table2[[#This Row],[Return Amount]]</f>
        <v>0</v>
      </c>
      <c r="L928" s="5" t="str">
        <f>IF(Table2[[#This Row],[Outstanding]]=0,"Settled",IF(Table2[[#This Row],[Outstanding]]&gt;0,"Outstanding"))</f>
        <v>Settled</v>
      </c>
      <c r="M928" s="5" t="str">
        <f>IF(Table2[[#This Row],[Advance Amount]]=Table2[[#This Row],[Expense Amount]]+Table2[[#This Row],[Return Amount]]+Table2[[#This Row],[Outstanding]],"Ok","Check")</f>
        <v>Ok</v>
      </c>
      <c r="N928" s="11">
        <f>IF(Table2[[#This Row],[Status]]="Settled",0,$Q$2-Table2[[#This Row],[Date]])</f>
        <v>0</v>
      </c>
      <c r="O928" s="5" t="str">
        <f>IF(Table2[[#This Row],[Age Days]]&lt;=7,"Normal",IF(Table2[[#This Row],[Age Days]]&lt;=14,"Perlu Dipantau",IF(Table2[[#This Row],[Age Days]]&lt;=30,"Perlu Ditindaklanjuti","Overdue")))</f>
        <v>Normal</v>
      </c>
    </row>
    <row r="929" spans="1:15" x14ac:dyDescent="0.3">
      <c r="A929" t="s">
        <v>1013</v>
      </c>
      <c r="B929" s="3">
        <v>46252</v>
      </c>
      <c r="C929" t="s">
        <v>46</v>
      </c>
      <c r="D929" t="s">
        <v>47</v>
      </c>
      <c r="E929" t="s">
        <v>37</v>
      </c>
      <c r="F929" t="s">
        <v>20</v>
      </c>
      <c r="G929" t="s">
        <v>34</v>
      </c>
      <c r="H929" s="5">
        <v>375000</v>
      </c>
      <c r="I929" s="5">
        <v>0</v>
      </c>
      <c r="J929" s="5">
        <v>0</v>
      </c>
      <c r="K929" s="5">
        <f>Table2[[#This Row],[Advance Amount]]-Table2[[#This Row],[Expense Amount]]-Table2[[#This Row],[Return Amount]]</f>
        <v>375000</v>
      </c>
      <c r="L929" s="5" t="str">
        <f>IF(Table2[[#This Row],[Outstanding]]=0,"Settled",IF(Table2[[#This Row],[Outstanding]]&gt;0,"Outstanding"))</f>
        <v>Outstanding</v>
      </c>
      <c r="M929" s="5" t="str">
        <f>IF(Table2[[#This Row],[Advance Amount]]=Table2[[#This Row],[Expense Amount]]+Table2[[#This Row],[Return Amount]]+Table2[[#This Row],[Outstanding]],"Ok","Check")</f>
        <v>Ok</v>
      </c>
      <c r="N929" s="11">
        <f>IF(Table2[[#This Row],[Status]]="Settled",0,$Q$2-Table2[[#This Row],[Date]])</f>
        <v>13</v>
      </c>
      <c r="O929" s="5" t="str">
        <f>IF(Table2[[#This Row],[Age Days]]&lt;=7,"Normal",IF(Table2[[#This Row],[Age Days]]&lt;=14,"Perlu Dipantau",IF(Table2[[#This Row],[Age Days]]&lt;=30,"Perlu Ditindaklanjuti","Overdue")))</f>
        <v>Perlu Dipantau</v>
      </c>
    </row>
    <row r="930" spans="1:15" x14ac:dyDescent="0.3">
      <c r="A930" t="s">
        <v>1014</v>
      </c>
      <c r="B930" s="3">
        <v>46252</v>
      </c>
      <c r="C930" t="s">
        <v>32</v>
      </c>
      <c r="D930" t="s">
        <v>33</v>
      </c>
      <c r="E930" t="s">
        <v>27</v>
      </c>
      <c r="F930" t="s">
        <v>14</v>
      </c>
      <c r="G930" t="s">
        <v>40</v>
      </c>
      <c r="H930" s="5">
        <v>700000</v>
      </c>
      <c r="I930" s="5">
        <v>650000</v>
      </c>
      <c r="J930" s="5">
        <v>50000</v>
      </c>
      <c r="K930" s="5">
        <f>Table2[[#This Row],[Advance Amount]]-Table2[[#This Row],[Expense Amount]]-Table2[[#This Row],[Return Amount]]</f>
        <v>0</v>
      </c>
      <c r="L930" s="5" t="str">
        <f>IF(Table2[[#This Row],[Outstanding]]=0,"Settled",IF(Table2[[#This Row],[Outstanding]]&gt;0,"Outstanding"))</f>
        <v>Settled</v>
      </c>
      <c r="M930" s="5" t="str">
        <f>IF(Table2[[#This Row],[Advance Amount]]=Table2[[#This Row],[Expense Amount]]+Table2[[#This Row],[Return Amount]]+Table2[[#This Row],[Outstanding]],"Ok","Check")</f>
        <v>Ok</v>
      </c>
      <c r="N930" s="11">
        <f>IF(Table2[[#This Row],[Status]]="Settled",0,$Q$2-Table2[[#This Row],[Date]])</f>
        <v>0</v>
      </c>
      <c r="O930" s="5" t="str">
        <f>IF(Table2[[#This Row],[Age Days]]&lt;=7,"Normal",IF(Table2[[#This Row],[Age Days]]&lt;=14,"Perlu Dipantau",IF(Table2[[#This Row],[Age Days]]&lt;=30,"Perlu Ditindaklanjuti","Overdue")))</f>
        <v>Normal</v>
      </c>
    </row>
    <row r="931" spans="1:15" x14ac:dyDescent="0.3">
      <c r="A931" t="s">
        <v>1015</v>
      </c>
      <c r="B931" s="3">
        <v>46253</v>
      </c>
      <c r="C931" t="s">
        <v>29</v>
      </c>
      <c r="D931" t="s">
        <v>30</v>
      </c>
      <c r="E931" t="s">
        <v>13</v>
      </c>
      <c r="F931" t="s">
        <v>14</v>
      </c>
      <c r="G931" t="s">
        <v>28</v>
      </c>
      <c r="H931" s="5">
        <v>355000</v>
      </c>
      <c r="I931" s="5">
        <v>0</v>
      </c>
      <c r="J931" s="5">
        <v>0</v>
      </c>
      <c r="K931" s="5">
        <f>Table2[[#This Row],[Advance Amount]]-Table2[[#This Row],[Expense Amount]]-Table2[[#This Row],[Return Amount]]</f>
        <v>355000</v>
      </c>
      <c r="L931" s="5" t="str">
        <f>IF(Table2[[#This Row],[Outstanding]]=0,"Settled",IF(Table2[[#This Row],[Outstanding]]&gt;0,"Outstanding"))</f>
        <v>Outstanding</v>
      </c>
      <c r="M931" s="5" t="str">
        <f>IF(Table2[[#This Row],[Advance Amount]]=Table2[[#This Row],[Expense Amount]]+Table2[[#This Row],[Return Amount]]+Table2[[#This Row],[Outstanding]],"Ok","Check")</f>
        <v>Ok</v>
      </c>
      <c r="N931" s="11">
        <f>IF(Table2[[#This Row],[Status]]="Settled",0,$Q$2-Table2[[#This Row],[Date]])</f>
        <v>12</v>
      </c>
      <c r="O931" s="5" t="str">
        <f>IF(Table2[[#This Row],[Age Days]]&lt;=7,"Normal",IF(Table2[[#This Row],[Age Days]]&lt;=14,"Perlu Dipantau",IF(Table2[[#This Row],[Age Days]]&lt;=30,"Perlu Ditindaklanjuti","Overdue")))</f>
        <v>Perlu Dipantau</v>
      </c>
    </row>
    <row r="932" spans="1:15" x14ac:dyDescent="0.3">
      <c r="A932" t="s">
        <v>1016</v>
      </c>
      <c r="B932" s="3">
        <v>46253</v>
      </c>
      <c r="C932" t="s">
        <v>35</v>
      </c>
      <c r="D932" t="s">
        <v>36</v>
      </c>
      <c r="E932" t="s">
        <v>37</v>
      </c>
      <c r="F932" t="s">
        <v>14</v>
      </c>
      <c r="G932" t="s">
        <v>58</v>
      </c>
      <c r="H932" s="5">
        <v>625000</v>
      </c>
      <c r="I932" s="5">
        <v>0</v>
      </c>
      <c r="J932" s="5">
        <v>0</v>
      </c>
      <c r="K932" s="5">
        <f>Table2[[#This Row],[Advance Amount]]-Table2[[#This Row],[Expense Amount]]-Table2[[#This Row],[Return Amount]]</f>
        <v>625000</v>
      </c>
      <c r="L932" s="5" t="str">
        <f>IF(Table2[[#This Row],[Outstanding]]=0,"Settled",IF(Table2[[#This Row],[Outstanding]]&gt;0,"Outstanding"))</f>
        <v>Outstanding</v>
      </c>
      <c r="M932" s="5" t="str">
        <f>IF(Table2[[#This Row],[Advance Amount]]=Table2[[#This Row],[Expense Amount]]+Table2[[#This Row],[Return Amount]]+Table2[[#This Row],[Outstanding]],"Ok","Check")</f>
        <v>Ok</v>
      </c>
      <c r="N932" s="11">
        <f>IF(Table2[[#This Row],[Status]]="Settled",0,$Q$2-Table2[[#This Row],[Date]])</f>
        <v>12</v>
      </c>
      <c r="O932" s="5" t="str">
        <f>IF(Table2[[#This Row],[Age Days]]&lt;=7,"Normal",IF(Table2[[#This Row],[Age Days]]&lt;=14,"Perlu Dipantau",IF(Table2[[#This Row],[Age Days]]&lt;=30,"Perlu Ditindaklanjuti","Overdue")))</f>
        <v>Perlu Dipantau</v>
      </c>
    </row>
    <row r="933" spans="1:15" x14ac:dyDescent="0.3">
      <c r="A933" t="s">
        <v>1017</v>
      </c>
      <c r="B933" s="3">
        <v>46253</v>
      </c>
      <c r="C933" t="s">
        <v>44</v>
      </c>
      <c r="D933" t="s">
        <v>45</v>
      </c>
      <c r="E933" t="s">
        <v>43</v>
      </c>
      <c r="F933" t="s">
        <v>14</v>
      </c>
      <c r="G933" t="s">
        <v>61</v>
      </c>
      <c r="H933" s="5">
        <v>250000</v>
      </c>
      <c r="I933" s="5">
        <v>175000</v>
      </c>
      <c r="J933" s="5">
        <v>75000</v>
      </c>
      <c r="K933" s="5">
        <f>Table2[[#This Row],[Advance Amount]]-Table2[[#This Row],[Expense Amount]]-Table2[[#This Row],[Return Amount]]</f>
        <v>0</v>
      </c>
      <c r="L933" s="5" t="str">
        <f>IF(Table2[[#This Row],[Outstanding]]=0,"Settled",IF(Table2[[#This Row],[Outstanding]]&gt;0,"Outstanding"))</f>
        <v>Settled</v>
      </c>
      <c r="M933" s="5" t="str">
        <f>IF(Table2[[#This Row],[Advance Amount]]=Table2[[#This Row],[Expense Amount]]+Table2[[#This Row],[Return Amount]]+Table2[[#This Row],[Outstanding]],"Ok","Check")</f>
        <v>Ok</v>
      </c>
      <c r="N933" s="11">
        <f>IF(Table2[[#This Row],[Status]]="Settled",0,$Q$2-Table2[[#This Row],[Date]])</f>
        <v>0</v>
      </c>
      <c r="O933" s="5" t="str">
        <f>IF(Table2[[#This Row],[Age Days]]&lt;=7,"Normal",IF(Table2[[#This Row],[Age Days]]&lt;=14,"Perlu Dipantau",IF(Table2[[#This Row],[Age Days]]&lt;=30,"Perlu Ditindaklanjuti","Overdue")))</f>
        <v>Normal</v>
      </c>
    </row>
    <row r="934" spans="1:15" x14ac:dyDescent="0.3">
      <c r="A934" t="s">
        <v>1018</v>
      </c>
      <c r="B934" s="3">
        <v>46253</v>
      </c>
      <c r="C934" t="s">
        <v>17</v>
      </c>
      <c r="D934" t="s">
        <v>18</v>
      </c>
      <c r="E934" t="s">
        <v>19</v>
      </c>
      <c r="F934" t="s">
        <v>20</v>
      </c>
      <c r="G934" t="s">
        <v>58</v>
      </c>
      <c r="H934" s="5">
        <v>375000</v>
      </c>
      <c r="I934" s="5">
        <v>300000</v>
      </c>
      <c r="J934" s="5">
        <v>75000</v>
      </c>
      <c r="K934" s="5">
        <f>Table2[[#This Row],[Advance Amount]]-Table2[[#This Row],[Expense Amount]]-Table2[[#This Row],[Return Amount]]</f>
        <v>0</v>
      </c>
      <c r="L934" s="5" t="str">
        <f>IF(Table2[[#This Row],[Outstanding]]=0,"Settled",IF(Table2[[#This Row],[Outstanding]]&gt;0,"Outstanding"))</f>
        <v>Settled</v>
      </c>
      <c r="M934" s="5" t="str">
        <f>IF(Table2[[#This Row],[Advance Amount]]=Table2[[#This Row],[Expense Amount]]+Table2[[#This Row],[Return Amount]]+Table2[[#This Row],[Outstanding]],"Ok","Check")</f>
        <v>Ok</v>
      </c>
      <c r="N934" s="11">
        <f>IF(Table2[[#This Row],[Status]]="Settled",0,$Q$2-Table2[[#This Row],[Date]])</f>
        <v>0</v>
      </c>
      <c r="O934" s="5" t="str">
        <f>IF(Table2[[#This Row],[Age Days]]&lt;=7,"Normal",IF(Table2[[#This Row],[Age Days]]&lt;=14,"Perlu Dipantau",IF(Table2[[#This Row],[Age Days]]&lt;=30,"Perlu Ditindaklanjuti","Overdue")))</f>
        <v>Normal</v>
      </c>
    </row>
    <row r="935" spans="1:15" x14ac:dyDescent="0.3">
      <c r="A935" t="s">
        <v>1019</v>
      </c>
      <c r="B935" s="3">
        <v>46253</v>
      </c>
      <c r="C935" t="s">
        <v>17</v>
      </c>
      <c r="D935" t="s">
        <v>18</v>
      </c>
      <c r="E935" t="s">
        <v>19</v>
      </c>
      <c r="F935" t="s">
        <v>14</v>
      </c>
      <c r="G935" t="s">
        <v>58</v>
      </c>
      <c r="H935" s="5">
        <v>925000</v>
      </c>
      <c r="I935" s="5">
        <v>0</v>
      </c>
      <c r="J935" s="5">
        <v>0</v>
      </c>
      <c r="K935" s="5">
        <f>Table2[[#This Row],[Advance Amount]]-Table2[[#This Row],[Expense Amount]]-Table2[[#This Row],[Return Amount]]</f>
        <v>925000</v>
      </c>
      <c r="L935" s="5" t="str">
        <f>IF(Table2[[#This Row],[Outstanding]]=0,"Settled",IF(Table2[[#This Row],[Outstanding]]&gt;0,"Outstanding"))</f>
        <v>Outstanding</v>
      </c>
      <c r="M935" s="5" t="str">
        <f>IF(Table2[[#This Row],[Advance Amount]]=Table2[[#This Row],[Expense Amount]]+Table2[[#This Row],[Return Amount]]+Table2[[#This Row],[Outstanding]],"Ok","Check")</f>
        <v>Ok</v>
      </c>
      <c r="N935" s="11">
        <f>IF(Table2[[#This Row],[Status]]="Settled",0,$Q$2-Table2[[#This Row],[Date]])</f>
        <v>12</v>
      </c>
      <c r="O935" s="5" t="str">
        <f>IF(Table2[[#This Row],[Age Days]]&lt;=7,"Normal",IF(Table2[[#This Row],[Age Days]]&lt;=14,"Perlu Dipantau",IF(Table2[[#This Row],[Age Days]]&lt;=30,"Perlu Ditindaklanjuti","Overdue")))</f>
        <v>Perlu Dipantau</v>
      </c>
    </row>
    <row r="936" spans="1:15" x14ac:dyDescent="0.3">
      <c r="A936" t="s">
        <v>1020</v>
      </c>
      <c r="B936" s="3">
        <v>46253</v>
      </c>
      <c r="C936" t="s">
        <v>22</v>
      </c>
      <c r="D936" t="s">
        <v>23</v>
      </c>
      <c r="E936" t="s">
        <v>24</v>
      </c>
      <c r="F936" t="s">
        <v>14</v>
      </c>
      <c r="G936" t="s">
        <v>61</v>
      </c>
      <c r="H936" s="5">
        <v>625000</v>
      </c>
      <c r="I936" s="5">
        <v>450000</v>
      </c>
      <c r="J936" s="5">
        <v>175000</v>
      </c>
      <c r="K936" s="5">
        <f>Table2[[#This Row],[Advance Amount]]-Table2[[#This Row],[Expense Amount]]-Table2[[#This Row],[Return Amount]]</f>
        <v>0</v>
      </c>
      <c r="L936" s="5" t="str">
        <f>IF(Table2[[#This Row],[Outstanding]]=0,"Settled",IF(Table2[[#This Row],[Outstanding]]&gt;0,"Outstanding"))</f>
        <v>Settled</v>
      </c>
      <c r="M936" s="5" t="str">
        <f>IF(Table2[[#This Row],[Advance Amount]]=Table2[[#This Row],[Expense Amount]]+Table2[[#This Row],[Return Amount]]+Table2[[#This Row],[Outstanding]],"Ok","Check")</f>
        <v>Ok</v>
      </c>
      <c r="N936" s="11">
        <f>IF(Table2[[#This Row],[Status]]="Settled",0,$Q$2-Table2[[#This Row],[Date]])</f>
        <v>0</v>
      </c>
      <c r="O936" s="5" t="str">
        <f>IF(Table2[[#This Row],[Age Days]]&lt;=7,"Normal",IF(Table2[[#This Row],[Age Days]]&lt;=14,"Perlu Dipantau",IF(Table2[[#This Row],[Age Days]]&lt;=30,"Perlu Ditindaklanjuti","Overdue")))</f>
        <v>Normal</v>
      </c>
    </row>
    <row r="937" spans="1:15" x14ac:dyDescent="0.3">
      <c r="A937" t="s">
        <v>1021</v>
      </c>
      <c r="B937" s="3">
        <v>46253</v>
      </c>
      <c r="C937" t="s">
        <v>25</v>
      </c>
      <c r="D937" t="s">
        <v>26</v>
      </c>
      <c r="E937" t="s">
        <v>27</v>
      </c>
      <c r="F937" t="s">
        <v>14</v>
      </c>
      <c r="G937" t="s">
        <v>31</v>
      </c>
      <c r="H937" s="5">
        <v>525000</v>
      </c>
      <c r="I937" s="5">
        <v>450000</v>
      </c>
      <c r="J937" s="5">
        <v>75000</v>
      </c>
      <c r="K937" s="5">
        <f>Table2[[#This Row],[Advance Amount]]-Table2[[#This Row],[Expense Amount]]-Table2[[#This Row],[Return Amount]]</f>
        <v>0</v>
      </c>
      <c r="L937" s="5" t="str">
        <f>IF(Table2[[#This Row],[Outstanding]]=0,"Settled",IF(Table2[[#This Row],[Outstanding]]&gt;0,"Outstanding"))</f>
        <v>Settled</v>
      </c>
      <c r="M937" s="5" t="str">
        <f>IF(Table2[[#This Row],[Advance Amount]]=Table2[[#This Row],[Expense Amount]]+Table2[[#This Row],[Return Amount]]+Table2[[#This Row],[Outstanding]],"Ok","Check")</f>
        <v>Ok</v>
      </c>
      <c r="N937" s="11">
        <f>IF(Table2[[#This Row],[Status]]="Settled",0,$Q$2-Table2[[#This Row],[Date]])</f>
        <v>0</v>
      </c>
      <c r="O937" s="5" t="str">
        <f>IF(Table2[[#This Row],[Age Days]]&lt;=7,"Normal",IF(Table2[[#This Row],[Age Days]]&lt;=14,"Perlu Dipantau",IF(Table2[[#This Row],[Age Days]]&lt;=30,"Perlu Ditindaklanjuti","Overdue")))</f>
        <v>Normal</v>
      </c>
    </row>
    <row r="938" spans="1:15" x14ac:dyDescent="0.3">
      <c r="A938" t="s">
        <v>1022</v>
      </c>
      <c r="B938" s="3">
        <v>46254</v>
      </c>
      <c r="C938" t="s">
        <v>48</v>
      </c>
      <c r="D938" t="s">
        <v>49</v>
      </c>
      <c r="E938" t="s">
        <v>19</v>
      </c>
      <c r="F938" t="s">
        <v>20</v>
      </c>
      <c r="G938" t="s">
        <v>40</v>
      </c>
      <c r="H938" s="5">
        <v>750000</v>
      </c>
      <c r="I938" s="5">
        <v>650000</v>
      </c>
      <c r="J938" s="5">
        <v>100000</v>
      </c>
      <c r="K938" s="5">
        <f>Table2[[#This Row],[Advance Amount]]-Table2[[#This Row],[Expense Amount]]-Table2[[#This Row],[Return Amount]]</f>
        <v>0</v>
      </c>
      <c r="L938" s="5" t="str">
        <f>IF(Table2[[#This Row],[Outstanding]]=0,"Settled",IF(Table2[[#This Row],[Outstanding]]&gt;0,"Outstanding"))</f>
        <v>Settled</v>
      </c>
      <c r="M938" s="5" t="str">
        <f>IF(Table2[[#This Row],[Advance Amount]]=Table2[[#This Row],[Expense Amount]]+Table2[[#This Row],[Return Amount]]+Table2[[#This Row],[Outstanding]],"Ok","Check")</f>
        <v>Ok</v>
      </c>
      <c r="N938" s="11">
        <f>IF(Table2[[#This Row],[Status]]="Settled",0,$Q$2-Table2[[#This Row],[Date]])</f>
        <v>0</v>
      </c>
      <c r="O938" s="5" t="str">
        <f>IF(Table2[[#This Row],[Age Days]]&lt;=7,"Normal",IF(Table2[[#This Row],[Age Days]]&lt;=14,"Perlu Dipantau",IF(Table2[[#This Row],[Age Days]]&lt;=30,"Perlu Ditindaklanjuti","Overdue")))</f>
        <v>Normal</v>
      </c>
    </row>
    <row r="939" spans="1:15" x14ac:dyDescent="0.3">
      <c r="A939" t="s">
        <v>1023</v>
      </c>
      <c r="B939" s="3">
        <v>46254</v>
      </c>
      <c r="C939" t="s">
        <v>68</v>
      </c>
      <c r="D939" t="s">
        <v>69</v>
      </c>
      <c r="E939" t="s">
        <v>27</v>
      </c>
      <c r="F939" t="s">
        <v>20</v>
      </c>
      <c r="G939" t="s">
        <v>31</v>
      </c>
      <c r="H939" s="5">
        <v>350000</v>
      </c>
      <c r="I939" s="5">
        <v>0</v>
      </c>
      <c r="J939" s="5">
        <v>0</v>
      </c>
      <c r="K939" s="5">
        <f>Table2[[#This Row],[Advance Amount]]-Table2[[#This Row],[Expense Amount]]-Table2[[#This Row],[Return Amount]]</f>
        <v>350000</v>
      </c>
      <c r="L939" s="5" t="str">
        <f>IF(Table2[[#This Row],[Outstanding]]=0,"Settled",IF(Table2[[#This Row],[Outstanding]]&gt;0,"Outstanding"))</f>
        <v>Outstanding</v>
      </c>
      <c r="M939" s="5" t="str">
        <f>IF(Table2[[#This Row],[Advance Amount]]=Table2[[#This Row],[Expense Amount]]+Table2[[#This Row],[Return Amount]]+Table2[[#This Row],[Outstanding]],"Ok","Check")</f>
        <v>Ok</v>
      </c>
      <c r="N939" s="11">
        <f>IF(Table2[[#This Row],[Status]]="Settled",0,$Q$2-Table2[[#This Row],[Date]])</f>
        <v>11</v>
      </c>
      <c r="O939" s="5" t="str">
        <f>IF(Table2[[#This Row],[Age Days]]&lt;=7,"Normal",IF(Table2[[#This Row],[Age Days]]&lt;=14,"Perlu Dipantau",IF(Table2[[#This Row],[Age Days]]&lt;=30,"Perlu Ditindaklanjuti","Overdue")))</f>
        <v>Perlu Dipantau</v>
      </c>
    </row>
    <row r="940" spans="1:15" x14ac:dyDescent="0.3">
      <c r="A940" t="s">
        <v>1024</v>
      </c>
      <c r="B940" s="3">
        <v>46254</v>
      </c>
      <c r="C940" t="s">
        <v>64</v>
      </c>
      <c r="D940" t="s">
        <v>65</v>
      </c>
      <c r="E940" t="s">
        <v>37</v>
      </c>
      <c r="F940" t="s">
        <v>14</v>
      </c>
      <c r="G940" t="s">
        <v>28</v>
      </c>
      <c r="H940" s="5">
        <v>80000</v>
      </c>
      <c r="I940" s="5">
        <v>75000</v>
      </c>
      <c r="J940" s="5">
        <v>5000</v>
      </c>
      <c r="K940" s="5">
        <f>Table2[[#This Row],[Advance Amount]]-Table2[[#This Row],[Expense Amount]]-Table2[[#This Row],[Return Amount]]</f>
        <v>0</v>
      </c>
      <c r="L940" s="5" t="str">
        <f>IF(Table2[[#This Row],[Outstanding]]=0,"Settled",IF(Table2[[#This Row],[Outstanding]]&gt;0,"Outstanding"))</f>
        <v>Settled</v>
      </c>
      <c r="M940" s="5" t="str">
        <f>IF(Table2[[#This Row],[Advance Amount]]=Table2[[#This Row],[Expense Amount]]+Table2[[#This Row],[Return Amount]]+Table2[[#This Row],[Outstanding]],"Ok","Check")</f>
        <v>Ok</v>
      </c>
      <c r="N940" s="11">
        <f>IF(Table2[[#This Row],[Status]]="Settled",0,$Q$2-Table2[[#This Row],[Date]])</f>
        <v>0</v>
      </c>
      <c r="O940" s="5" t="str">
        <f>IF(Table2[[#This Row],[Age Days]]&lt;=7,"Normal",IF(Table2[[#This Row],[Age Days]]&lt;=14,"Perlu Dipantau",IF(Table2[[#This Row],[Age Days]]&lt;=30,"Perlu Ditindaklanjuti","Overdue")))</f>
        <v>Normal</v>
      </c>
    </row>
    <row r="941" spans="1:15" x14ac:dyDescent="0.3">
      <c r="A941" t="s">
        <v>1025</v>
      </c>
      <c r="B941" s="3">
        <v>46254</v>
      </c>
      <c r="C941" t="s">
        <v>66</v>
      </c>
      <c r="D941" t="s">
        <v>67</v>
      </c>
      <c r="E941" t="s">
        <v>13</v>
      </c>
      <c r="F941" t="s">
        <v>20</v>
      </c>
      <c r="G941" t="s">
        <v>40</v>
      </c>
      <c r="H941" s="5">
        <v>875000</v>
      </c>
      <c r="I941" s="5">
        <v>825000</v>
      </c>
      <c r="J941" s="5">
        <v>50000</v>
      </c>
      <c r="K941" s="5">
        <f>Table2[[#This Row],[Advance Amount]]-Table2[[#This Row],[Expense Amount]]-Table2[[#This Row],[Return Amount]]</f>
        <v>0</v>
      </c>
      <c r="L941" s="5" t="str">
        <f>IF(Table2[[#This Row],[Outstanding]]=0,"Settled",IF(Table2[[#This Row],[Outstanding]]&gt;0,"Outstanding"))</f>
        <v>Settled</v>
      </c>
      <c r="M941" s="5" t="str">
        <f>IF(Table2[[#This Row],[Advance Amount]]=Table2[[#This Row],[Expense Amount]]+Table2[[#This Row],[Return Amount]]+Table2[[#This Row],[Outstanding]],"Ok","Check")</f>
        <v>Ok</v>
      </c>
      <c r="N941" s="11">
        <f>IF(Table2[[#This Row],[Status]]="Settled",0,$Q$2-Table2[[#This Row],[Date]])</f>
        <v>0</v>
      </c>
      <c r="O941" s="5" t="str">
        <f>IF(Table2[[#This Row],[Age Days]]&lt;=7,"Normal",IF(Table2[[#This Row],[Age Days]]&lt;=14,"Perlu Dipantau",IF(Table2[[#This Row],[Age Days]]&lt;=30,"Perlu Ditindaklanjuti","Overdue")))</f>
        <v>Normal</v>
      </c>
    </row>
    <row r="942" spans="1:15" x14ac:dyDescent="0.3">
      <c r="A942" t="s">
        <v>1026</v>
      </c>
      <c r="B942" s="3">
        <v>46254</v>
      </c>
      <c r="C942" t="s">
        <v>53</v>
      </c>
      <c r="D942" t="s">
        <v>54</v>
      </c>
      <c r="E942" t="s">
        <v>43</v>
      </c>
      <c r="F942" t="s">
        <v>20</v>
      </c>
      <c r="G942" t="s">
        <v>34</v>
      </c>
      <c r="H942" s="5">
        <v>150000</v>
      </c>
      <c r="I942" s="5">
        <v>0</v>
      </c>
      <c r="J942" s="5">
        <v>0</v>
      </c>
      <c r="K942" s="5">
        <f>Table2[[#This Row],[Advance Amount]]-Table2[[#This Row],[Expense Amount]]-Table2[[#This Row],[Return Amount]]</f>
        <v>150000</v>
      </c>
      <c r="L942" s="5" t="str">
        <f>IF(Table2[[#This Row],[Outstanding]]=0,"Settled",IF(Table2[[#This Row],[Outstanding]]&gt;0,"Outstanding"))</f>
        <v>Outstanding</v>
      </c>
      <c r="M942" s="5" t="str">
        <f>IF(Table2[[#This Row],[Advance Amount]]=Table2[[#This Row],[Expense Amount]]+Table2[[#This Row],[Return Amount]]+Table2[[#This Row],[Outstanding]],"Ok","Check")</f>
        <v>Ok</v>
      </c>
      <c r="N942" s="11">
        <f>IF(Table2[[#This Row],[Status]]="Settled",0,$Q$2-Table2[[#This Row],[Date]])</f>
        <v>11</v>
      </c>
      <c r="O942" s="5" t="str">
        <f>IF(Table2[[#This Row],[Age Days]]&lt;=7,"Normal",IF(Table2[[#This Row],[Age Days]]&lt;=14,"Perlu Dipantau",IF(Table2[[#This Row],[Age Days]]&lt;=30,"Perlu Ditindaklanjuti","Overdue")))</f>
        <v>Perlu Dipantau</v>
      </c>
    </row>
    <row r="943" spans="1:15" x14ac:dyDescent="0.3">
      <c r="A943" t="s">
        <v>1027</v>
      </c>
      <c r="B943" s="3">
        <v>46254</v>
      </c>
      <c r="C943" t="s">
        <v>22</v>
      </c>
      <c r="D943" t="s">
        <v>23</v>
      </c>
      <c r="E943" t="s">
        <v>24</v>
      </c>
      <c r="F943" t="s">
        <v>14</v>
      </c>
      <c r="G943" t="s">
        <v>58</v>
      </c>
      <c r="H943" s="5">
        <v>250000</v>
      </c>
      <c r="I943" s="5">
        <v>0</v>
      </c>
      <c r="J943" s="5">
        <v>0</v>
      </c>
      <c r="K943" s="5">
        <f>Table2[[#This Row],[Advance Amount]]-Table2[[#This Row],[Expense Amount]]-Table2[[#This Row],[Return Amount]]</f>
        <v>250000</v>
      </c>
      <c r="L943" s="5" t="str">
        <f>IF(Table2[[#This Row],[Outstanding]]=0,"Settled",IF(Table2[[#This Row],[Outstanding]]&gt;0,"Outstanding"))</f>
        <v>Outstanding</v>
      </c>
      <c r="M943" s="5" t="str">
        <f>IF(Table2[[#This Row],[Advance Amount]]=Table2[[#This Row],[Expense Amount]]+Table2[[#This Row],[Return Amount]]+Table2[[#This Row],[Outstanding]],"Ok","Check")</f>
        <v>Ok</v>
      </c>
      <c r="N943" s="11">
        <f>IF(Table2[[#This Row],[Status]]="Settled",0,$Q$2-Table2[[#This Row],[Date]])</f>
        <v>11</v>
      </c>
      <c r="O943" s="5" t="str">
        <f>IF(Table2[[#This Row],[Age Days]]&lt;=7,"Normal",IF(Table2[[#This Row],[Age Days]]&lt;=14,"Perlu Dipantau",IF(Table2[[#This Row],[Age Days]]&lt;=30,"Perlu Ditindaklanjuti","Overdue")))</f>
        <v>Perlu Dipantau</v>
      </c>
    </row>
    <row r="944" spans="1:15" x14ac:dyDescent="0.3">
      <c r="A944" t="s">
        <v>1028</v>
      </c>
      <c r="B944" s="3">
        <v>46255</v>
      </c>
      <c r="C944" t="s">
        <v>55</v>
      </c>
      <c r="D944" t="s">
        <v>56</v>
      </c>
      <c r="E944" t="s">
        <v>24</v>
      </c>
      <c r="F944" t="s">
        <v>14</v>
      </c>
      <c r="G944" t="s">
        <v>34</v>
      </c>
      <c r="H944" s="5">
        <v>175000</v>
      </c>
      <c r="I944" s="5">
        <v>0</v>
      </c>
      <c r="J944" s="5">
        <v>0</v>
      </c>
      <c r="K944" s="5">
        <f>Table2[[#This Row],[Advance Amount]]-Table2[[#This Row],[Expense Amount]]-Table2[[#This Row],[Return Amount]]</f>
        <v>175000</v>
      </c>
      <c r="L944" s="5" t="str">
        <f>IF(Table2[[#This Row],[Outstanding]]=0,"Settled",IF(Table2[[#This Row],[Outstanding]]&gt;0,"Outstanding"))</f>
        <v>Outstanding</v>
      </c>
      <c r="M944" s="5" t="str">
        <f>IF(Table2[[#This Row],[Advance Amount]]=Table2[[#This Row],[Expense Amount]]+Table2[[#This Row],[Return Amount]]+Table2[[#This Row],[Outstanding]],"Ok","Check")</f>
        <v>Ok</v>
      </c>
      <c r="N944" s="11">
        <f>IF(Table2[[#This Row],[Status]]="Settled",0,$Q$2-Table2[[#This Row],[Date]])</f>
        <v>10</v>
      </c>
      <c r="O944" s="5" t="str">
        <f>IF(Table2[[#This Row],[Age Days]]&lt;=7,"Normal",IF(Table2[[#This Row],[Age Days]]&lt;=14,"Perlu Dipantau",IF(Table2[[#This Row],[Age Days]]&lt;=30,"Perlu Ditindaklanjuti","Overdue")))</f>
        <v>Perlu Dipantau</v>
      </c>
    </row>
    <row r="945" spans="1:15" x14ac:dyDescent="0.3">
      <c r="A945" t="s">
        <v>1029</v>
      </c>
      <c r="B945" s="3">
        <v>46255</v>
      </c>
      <c r="C945" t="s">
        <v>41</v>
      </c>
      <c r="D945" t="s">
        <v>42</v>
      </c>
      <c r="E945" t="s">
        <v>43</v>
      </c>
      <c r="F945" t="s">
        <v>20</v>
      </c>
      <c r="G945" t="s">
        <v>58</v>
      </c>
      <c r="H945" s="5">
        <v>1175000</v>
      </c>
      <c r="I945" s="5">
        <v>1125000</v>
      </c>
      <c r="J945" s="5">
        <v>50000</v>
      </c>
      <c r="K945" s="5">
        <f>Table2[[#This Row],[Advance Amount]]-Table2[[#This Row],[Expense Amount]]-Table2[[#This Row],[Return Amount]]</f>
        <v>0</v>
      </c>
      <c r="L945" s="5" t="str">
        <f>IF(Table2[[#This Row],[Outstanding]]=0,"Settled",IF(Table2[[#This Row],[Outstanding]]&gt;0,"Outstanding"))</f>
        <v>Settled</v>
      </c>
      <c r="M945" s="5" t="str">
        <f>IF(Table2[[#This Row],[Advance Amount]]=Table2[[#This Row],[Expense Amount]]+Table2[[#This Row],[Return Amount]]+Table2[[#This Row],[Outstanding]],"Ok","Check")</f>
        <v>Ok</v>
      </c>
      <c r="N945" s="11">
        <f>IF(Table2[[#This Row],[Status]]="Settled",0,$Q$2-Table2[[#This Row],[Date]])</f>
        <v>0</v>
      </c>
      <c r="O945" s="5" t="str">
        <f>IF(Table2[[#This Row],[Age Days]]&lt;=7,"Normal",IF(Table2[[#This Row],[Age Days]]&lt;=14,"Perlu Dipantau",IF(Table2[[#This Row],[Age Days]]&lt;=30,"Perlu Ditindaklanjuti","Overdue")))</f>
        <v>Normal</v>
      </c>
    </row>
    <row r="946" spans="1:15" x14ac:dyDescent="0.3">
      <c r="A946" t="s">
        <v>1030</v>
      </c>
      <c r="B946" s="3">
        <v>46255</v>
      </c>
      <c r="C946" t="s">
        <v>17</v>
      </c>
      <c r="D946" t="s">
        <v>18</v>
      </c>
      <c r="E946" t="s">
        <v>19</v>
      </c>
      <c r="F946" t="s">
        <v>20</v>
      </c>
      <c r="G946" t="s">
        <v>40</v>
      </c>
      <c r="H946" s="5">
        <v>675000</v>
      </c>
      <c r="I946" s="5">
        <v>0</v>
      </c>
      <c r="J946" s="5">
        <v>0</v>
      </c>
      <c r="K946" s="5">
        <f>Table2[[#This Row],[Advance Amount]]-Table2[[#This Row],[Expense Amount]]-Table2[[#This Row],[Return Amount]]</f>
        <v>675000</v>
      </c>
      <c r="L946" s="5" t="str">
        <f>IF(Table2[[#This Row],[Outstanding]]=0,"Settled",IF(Table2[[#This Row],[Outstanding]]&gt;0,"Outstanding"))</f>
        <v>Outstanding</v>
      </c>
      <c r="M946" s="5" t="str">
        <f>IF(Table2[[#This Row],[Advance Amount]]=Table2[[#This Row],[Expense Amount]]+Table2[[#This Row],[Return Amount]]+Table2[[#This Row],[Outstanding]],"Ok","Check")</f>
        <v>Ok</v>
      </c>
      <c r="N946" s="11">
        <f>IF(Table2[[#This Row],[Status]]="Settled",0,$Q$2-Table2[[#This Row],[Date]])</f>
        <v>10</v>
      </c>
      <c r="O946" s="5" t="str">
        <f>IF(Table2[[#This Row],[Age Days]]&lt;=7,"Normal",IF(Table2[[#This Row],[Age Days]]&lt;=14,"Perlu Dipantau",IF(Table2[[#This Row],[Age Days]]&lt;=30,"Perlu Ditindaklanjuti","Overdue")))</f>
        <v>Perlu Dipantau</v>
      </c>
    </row>
    <row r="947" spans="1:15" x14ac:dyDescent="0.3">
      <c r="A947" t="s">
        <v>1031</v>
      </c>
      <c r="B947" s="3">
        <v>46255</v>
      </c>
      <c r="C947" t="s">
        <v>66</v>
      </c>
      <c r="D947" t="s">
        <v>67</v>
      </c>
      <c r="E947" t="s">
        <v>13</v>
      </c>
      <c r="F947" t="s">
        <v>20</v>
      </c>
      <c r="G947" t="s">
        <v>58</v>
      </c>
      <c r="H947" s="5">
        <v>1050000</v>
      </c>
      <c r="I947" s="5">
        <v>1050000</v>
      </c>
      <c r="J947" s="5">
        <v>0</v>
      </c>
      <c r="K947" s="5">
        <f>Table2[[#This Row],[Advance Amount]]-Table2[[#This Row],[Expense Amount]]-Table2[[#This Row],[Return Amount]]</f>
        <v>0</v>
      </c>
      <c r="L947" s="5" t="str">
        <f>IF(Table2[[#This Row],[Outstanding]]=0,"Settled",IF(Table2[[#This Row],[Outstanding]]&gt;0,"Outstanding"))</f>
        <v>Settled</v>
      </c>
      <c r="M947" s="5" t="str">
        <f>IF(Table2[[#This Row],[Advance Amount]]=Table2[[#This Row],[Expense Amount]]+Table2[[#This Row],[Return Amount]]+Table2[[#This Row],[Outstanding]],"Ok","Check")</f>
        <v>Ok</v>
      </c>
      <c r="N947" s="11">
        <f>IF(Table2[[#This Row],[Status]]="Settled",0,$Q$2-Table2[[#This Row],[Date]])</f>
        <v>0</v>
      </c>
      <c r="O947" s="5" t="str">
        <f>IF(Table2[[#This Row],[Age Days]]&lt;=7,"Normal",IF(Table2[[#This Row],[Age Days]]&lt;=14,"Perlu Dipantau",IF(Table2[[#This Row],[Age Days]]&lt;=30,"Perlu Ditindaklanjuti","Overdue")))</f>
        <v>Normal</v>
      </c>
    </row>
    <row r="948" spans="1:15" x14ac:dyDescent="0.3">
      <c r="A948" t="s">
        <v>1032</v>
      </c>
      <c r="B948" s="3">
        <v>46255</v>
      </c>
      <c r="C948" t="s">
        <v>66</v>
      </c>
      <c r="D948" t="s">
        <v>67</v>
      </c>
      <c r="E948" t="s">
        <v>13</v>
      </c>
      <c r="F948" t="s">
        <v>20</v>
      </c>
      <c r="G948" t="s">
        <v>31</v>
      </c>
      <c r="H948" s="5">
        <v>625000</v>
      </c>
      <c r="I948" s="5">
        <v>0</v>
      </c>
      <c r="J948" s="5">
        <v>0</v>
      </c>
      <c r="K948" s="5">
        <f>Table2[[#This Row],[Advance Amount]]-Table2[[#This Row],[Expense Amount]]-Table2[[#This Row],[Return Amount]]</f>
        <v>625000</v>
      </c>
      <c r="L948" s="5" t="str">
        <f>IF(Table2[[#This Row],[Outstanding]]=0,"Settled",IF(Table2[[#This Row],[Outstanding]]&gt;0,"Outstanding"))</f>
        <v>Outstanding</v>
      </c>
      <c r="M948" s="5" t="str">
        <f>IF(Table2[[#This Row],[Advance Amount]]=Table2[[#This Row],[Expense Amount]]+Table2[[#This Row],[Return Amount]]+Table2[[#This Row],[Outstanding]],"Ok","Check")</f>
        <v>Ok</v>
      </c>
      <c r="N948" s="11">
        <f>IF(Table2[[#This Row],[Status]]="Settled",0,$Q$2-Table2[[#This Row],[Date]])</f>
        <v>10</v>
      </c>
      <c r="O948" s="5" t="str">
        <f>IF(Table2[[#This Row],[Age Days]]&lt;=7,"Normal",IF(Table2[[#This Row],[Age Days]]&lt;=14,"Perlu Dipantau",IF(Table2[[#This Row],[Age Days]]&lt;=30,"Perlu Ditindaklanjuti","Overdue")))</f>
        <v>Perlu Dipantau</v>
      </c>
    </row>
    <row r="949" spans="1:15" x14ac:dyDescent="0.3">
      <c r="A949" t="s">
        <v>1033</v>
      </c>
      <c r="B949" s="3">
        <v>46255</v>
      </c>
      <c r="C949" t="s">
        <v>53</v>
      </c>
      <c r="D949" t="s">
        <v>54</v>
      </c>
      <c r="E949" t="s">
        <v>43</v>
      </c>
      <c r="F949" t="s">
        <v>20</v>
      </c>
      <c r="G949" t="s">
        <v>58</v>
      </c>
      <c r="H949" s="5">
        <v>800000</v>
      </c>
      <c r="I949" s="5">
        <v>0</v>
      </c>
      <c r="J949" s="5">
        <v>0</v>
      </c>
      <c r="K949" s="5">
        <f>Table2[[#This Row],[Advance Amount]]-Table2[[#This Row],[Expense Amount]]-Table2[[#This Row],[Return Amount]]</f>
        <v>800000</v>
      </c>
      <c r="L949" s="5" t="str">
        <f>IF(Table2[[#This Row],[Outstanding]]=0,"Settled",IF(Table2[[#This Row],[Outstanding]]&gt;0,"Outstanding"))</f>
        <v>Outstanding</v>
      </c>
      <c r="M949" s="5" t="str">
        <f>IF(Table2[[#This Row],[Advance Amount]]=Table2[[#This Row],[Expense Amount]]+Table2[[#This Row],[Return Amount]]+Table2[[#This Row],[Outstanding]],"Ok","Check")</f>
        <v>Ok</v>
      </c>
      <c r="N949" s="11">
        <f>IF(Table2[[#This Row],[Status]]="Settled",0,$Q$2-Table2[[#This Row],[Date]])</f>
        <v>10</v>
      </c>
      <c r="O949" s="5" t="str">
        <f>IF(Table2[[#This Row],[Age Days]]&lt;=7,"Normal",IF(Table2[[#This Row],[Age Days]]&lt;=14,"Perlu Dipantau",IF(Table2[[#This Row],[Age Days]]&lt;=30,"Perlu Ditindaklanjuti","Overdue")))</f>
        <v>Perlu Dipantau</v>
      </c>
    </row>
    <row r="950" spans="1:15" x14ac:dyDescent="0.3">
      <c r="A950" t="s">
        <v>1034</v>
      </c>
      <c r="B950" s="3">
        <v>46255</v>
      </c>
      <c r="C950" t="s">
        <v>22</v>
      </c>
      <c r="D950" t="s">
        <v>23</v>
      </c>
      <c r="E950" t="s">
        <v>24</v>
      </c>
      <c r="F950" t="s">
        <v>20</v>
      </c>
      <c r="G950" t="s">
        <v>28</v>
      </c>
      <c r="H950" s="5">
        <v>155000</v>
      </c>
      <c r="I950" s="5">
        <v>125000</v>
      </c>
      <c r="J950" s="5">
        <v>30000</v>
      </c>
      <c r="K950" s="5">
        <f>Table2[[#This Row],[Advance Amount]]-Table2[[#This Row],[Expense Amount]]-Table2[[#This Row],[Return Amount]]</f>
        <v>0</v>
      </c>
      <c r="L950" s="5" t="str">
        <f>IF(Table2[[#This Row],[Outstanding]]=0,"Settled",IF(Table2[[#This Row],[Outstanding]]&gt;0,"Outstanding"))</f>
        <v>Settled</v>
      </c>
      <c r="M950" s="5" t="str">
        <f>IF(Table2[[#This Row],[Advance Amount]]=Table2[[#This Row],[Expense Amount]]+Table2[[#This Row],[Return Amount]]+Table2[[#This Row],[Outstanding]],"Ok","Check")</f>
        <v>Ok</v>
      </c>
      <c r="N950" s="11">
        <f>IF(Table2[[#This Row],[Status]]="Settled",0,$Q$2-Table2[[#This Row],[Date]])</f>
        <v>0</v>
      </c>
      <c r="O950" s="5" t="str">
        <f>IF(Table2[[#This Row],[Age Days]]&lt;=7,"Normal",IF(Table2[[#This Row],[Age Days]]&lt;=14,"Perlu Dipantau",IF(Table2[[#This Row],[Age Days]]&lt;=30,"Perlu Ditindaklanjuti","Overdue")))</f>
        <v>Normal</v>
      </c>
    </row>
    <row r="951" spans="1:15" x14ac:dyDescent="0.3">
      <c r="A951" t="s">
        <v>1035</v>
      </c>
      <c r="B951" s="3">
        <v>46255</v>
      </c>
      <c r="C951" t="s">
        <v>25</v>
      </c>
      <c r="D951" t="s">
        <v>26</v>
      </c>
      <c r="E951" t="s">
        <v>27</v>
      </c>
      <c r="F951" t="s">
        <v>14</v>
      </c>
      <c r="G951" t="s">
        <v>31</v>
      </c>
      <c r="H951" s="5">
        <v>225000</v>
      </c>
      <c r="I951" s="5">
        <v>200000</v>
      </c>
      <c r="J951" s="5">
        <v>25000</v>
      </c>
      <c r="K951" s="5">
        <f>Table2[[#This Row],[Advance Amount]]-Table2[[#This Row],[Expense Amount]]-Table2[[#This Row],[Return Amount]]</f>
        <v>0</v>
      </c>
      <c r="L951" s="5" t="str">
        <f>IF(Table2[[#This Row],[Outstanding]]=0,"Settled",IF(Table2[[#This Row],[Outstanding]]&gt;0,"Outstanding"))</f>
        <v>Settled</v>
      </c>
      <c r="M951" s="5" t="str">
        <f>IF(Table2[[#This Row],[Advance Amount]]=Table2[[#This Row],[Expense Amount]]+Table2[[#This Row],[Return Amount]]+Table2[[#This Row],[Outstanding]],"Ok","Check")</f>
        <v>Ok</v>
      </c>
      <c r="N951" s="11">
        <f>IF(Table2[[#This Row],[Status]]="Settled",0,$Q$2-Table2[[#This Row],[Date]])</f>
        <v>0</v>
      </c>
      <c r="O951" s="5" t="str">
        <f>IF(Table2[[#This Row],[Age Days]]&lt;=7,"Normal",IF(Table2[[#This Row],[Age Days]]&lt;=14,"Perlu Dipantau",IF(Table2[[#This Row],[Age Days]]&lt;=30,"Perlu Ditindaklanjuti","Overdue")))</f>
        <v>Normal</v>
      </c>
    </row>
    <row r="952" spans="1:15" x14ac:dyDescent="0.3">
      <c r="A952" t="s">
        <v>1036</v>
      </c>
      <c r="B952" s="3">
        <v>46256</v>
      </c>
      <c r="C952" t="s">
        <v>48</v>
      </c>
      <c r="D952" t="s">
        <v>49</v>
      </c>
      <c r="E952" t="s">
        <v>19</v>
      </c>
      <c r="F952" t="s">
        <v>14</v>
      </c>
      <c r="G952" t="s">
        <v>28</v>
      </c>
      <c r="H952" s="5">
        <v>80000</v>
      </c>
      <c r="I952" s="5">
        <v>0</v>
      </c>
      <c r="J952" s="5">
        <v>0</v>
      </c>
      <c r="K952" s="5">
        <f>Table2[[#This Row],[Advance Amount]]-Table2[[#This Row],[Expense Amount]]-Table2[[#This Row],[Return Amount]]</f>
        <v>80000</v>
      </c>
      <c r="L952" s="5" t="str">
        <f>IF(Table2[[#This Row],[Outstanding]]=0,"Settled",IF(Table2[[#This Row],[Outstanding]]&gt;0,"Outstanding"))</f>
        <v>Outstanding</v>
      </c>
      <c r="M952" s="5" t="str">
        <f>IF(Table2[[#This Row],[Advance Amount]]=Table2[[#This Row],[Expense Amount]]+Table2[[#This Row],[Return Amount]]+Table2[[#This Row],[Outstanding]],"Ok","Check")</f>
        <v>Ok</v>
      </c>
      <c r="N952" s="11">
        <f>IF(Table2[[#This Row],[Status]]="Settled",0,$Q$2-Table2[[#This Row],[Date]])</f>
        <v>9</v>
      </c>
      <c r="O952" s="5" t="str">
        <f>IF(Table2[[#This Row],[Age Days]]&lt;=7,"Normal",IF(Table2[[#This Row],[Age Days]]&lt;=14,"Perlu Dipantau",IF(Table2[[#This Row],[Age Days]]&lt;=30,"Perlu Ditindaklanjuti","Overdue")))</f>
        <v>Perlu Dipantau</v>
      </c>
    </row>
    <row r="953" spans="1:15" x14ac:dyDescent="0.3">
      <c r="A953" t="s">
        <v>1037</v>
      </c>
      <c r="B953" s="3">
        <v>46256</v>
      </c>
      <c r="C953" t="s">
        <v>11</v>
      </c>
      <c r="D953" t="s">
        <v>12</v>
      </c>
      <c r="E953" t="s">
        <v>13</v>
      </c>
      <c r="F953" t="s">
        <v>20</v>
      </c>
      <c r="G953" t="s">
        <v>15</v>
      </c>
      <c r="H953" s="5">
        <v>3975000</v>
      </c>
      <c r="I953" s="5">
        <v>3325000</v>
      </c>
      <c r="J953" s="5">
        <v>650000</v>
      </c>
      <c r="K953" s="5">
        <f>Table2[[#This Row],[Advance Amount]]-Table2[[#This Row],[Expense Amount]]-Table2[[#This Row],[Return Amount]]</f>
        <v>0</v>
      </c>
      <c r="L953" s="5" t="str">
        <f>IF(Table2[[#This Row],[Outstanding]]=0,"Settled",IF(Table2[[#This Row],[Outstanding]]&gt;0,"Outstanding"))</f>
        <v>Settled</v>
      </c>
      <c r="M953" s="5" t="str">
        <f>IF(Table2[[#This Row],[Advance Amount]]=Table2[[#This Row],[Expense Amount]]+Table2[[#This Row],[Return Amount]]+Table2[[#This Row],[Outstanding]],"Ok","Check")</f>
        <v>Ok</v>
      </c>
      <c r="N953" s="11">
        <f>IF(Table2[[#This Row],[Status]]="Settled",0,$Q$2-Table2[[#This Row],[Date]])</f>
        <v>0</v>
      </c>
      <c r="O953" s="5" t="str">
        <f>IF(Table2[[#This Row],[Age Days]]&lt;=7,"Normal",IF(Table2[[#This Row],[Age Days]]&lt;=14,"Perlu Dipantau",IF(Table2[[#This Row],[Age Days]]&lt;=30,"Perlu Ditindaklanjuti","Overdue")))</f>
        <v>Normal</v>
      </c>
    </row>
    <row r="954" spans="1:15" x14ac:dyDescent="0.3">
      <c r="A954" t="s">
        <v>1038</v>
      </c>
      <c r="B954" s="3">
        <v>46256</v>
      </c>
      <c r="C954" t="s">
        <v>35</v>
      </c>
      <c r="D954" t="s">
        <v>36</v>
      </c>
      <c r="E954" t="s">
        <v>37</v>
      </c>
      <c r="F954" t="s">
        <v>14</v>
      </c>
      <c r="G954" t="s">
        <v>61</v>
      </c>
      <c r="H954" s="5">
        <v>625000</v>
      </c>
      <c r="I954" s="5">
        <v>0</v>
      </c>
      <c r="J954" s="5">
        <v>0</v>
      </c>
      <c r="K954" s="5">
        <f>Table2[[#This Row],[Advance Amount]]-Table2[[#This Row],[Expense Amount]]-Table2[[#This Row],[Return Amount]]</f>
        <v>625000</v>
      </c>
      <c r="L954" s="5" t="str">
        <f>IF(Table2[[#This Row],[Outstanding]]=0,"Settled",IF(Table2[[#This Row],[Outstanding]]&gt;0,"Outstanding"))</f>
        <v>Outstanding</v>
      </c>
      <c r="M954" s="5" t="str">
        <f>IF(Table2[[#This Row],[Advance Amount]]=Table2[[#This Row],[Expense Amount]]+Table2[[#This Row],[Return Amount]]+Table2[[#This Row],[Outstanding]],"Ok","Check")</f>
        <v>Ok</v>
      </c>
      <c r="N954" s="11">
        <f>IF(Table2[[#This Row],[Status]]="Settled",0,$Q$2-Table2[[#This Row],[Date]])</f>
        <v>9</v>
      </c>
      <c r="O954" s="5" t="str">
        <f>IF(Table2[[#This Row],[Age Days]]&lt;=7,"Normal",IF(Table2[[#This Row],[Age Days]]&lt;=14,"Perlu Dipantau",IF(Table2[[#This Row],[Age Days]]&lt;=30,"Perlu Ditindaklanjuti","Overdue")))</f>
        <v>Perlu Dipantau</v>
      </c>
    </row>
    <row r="955" spans="1:15" x14ac:dyDescent="0.3">
      <c r="A955" t="s">
        <v>1039</v>
      </c>
      <c r="B955" s="3">
        <v>46256</v>
      </c>
      <c r="C955" t="s">
        <v>38</v>
      </c>
      <c r="D955" t="s">
        <v>39</v>
      </c>
      <c r="E955" t="s">
        <v>24</v>
      </c>
      <c r="F955" t="s">
        <v>20</v>
      </c>
      <c r="G955" t="s">
        <v>57</v>
      </c>
      <c r="H955" s="5">
        <v>455000</v>
      </c>
      <c r="I955" s="5">
        <v>0</v>
      </c>
      <c r="J955" s="5">
        <v>0</v>
      </c>
      <c r="K955" s="5">
        <f>Table2[[#This Row],[Advance Amount]]-Table2[[#This Row],[Expense Amount]]-Table2[[#This Row],[Return Amount]]</f>
        <v>455000</v>
      </c>
      <c r="L955" s="5" t="str">
        <f>IF(Table2[[#This Row],[Outstanding]]=0,"Settled",IF(Table2[[#This Row],[Outstanding]]&gt;0,"Outstanding"))</f>
        <v>Outstanding</v>
      </c>
      <c r="M955" s="5" t="str">
        <f>IF(Table2[[#This Row],[Advance Amount]]=Table2[[#This Row],[Expense Amount]]+Table2[[#This Row],[Return Amount]]+Table2[[#This Row],[Outstanding]],"Ok","Check")</f>
        <v>Ok</v>
      </c>
      <c r="N955" s="11">
        <f>IF(Table2[[#This Row],[Status]]="Settled",0,$Q$2-Table2[[#This Row],[Date]])</f>
        <v>9</v>
      </c>
      <c r="O955" s="5" t="str">
        <f>IF(Table2[[#This Row],[Age Days]]&lt;=7,"Normal",IF(Table2[[#This Row],[Age Days]]&lt;=14,"Perlu Dipantau",IF(Table2[[#This Row],[Age Days]]&lt;=30,"Perlu Ditindaklanjuti","Overdue")))</f>
        <v>Perlu Dipantau</v>
      </c>
    </row>
    <row r="956" spans="1:15" x14ac:dyDescent="0.3">
      <c r="A956" t="s">
        <v>1040</v>
      </c>
      <c r="B956" s="3">
        <v>46256</v>
      </c>
      <c r="C956" t="s">
        <v>64</v>
      </c>
      <c r="D956" t="s">
        <v>65</v>
      </c>
      <c r="E956" t="s">
        <v>37</v>
      </c>
      <c r="F956" t="s">
        <v>20</v>
      </c>
      <c r="G956" t="s">
        <v>61</v>
      </c>
      <c r="H956" s="5">
        <v>125000</v>
      </c>
      <c r="I956" s="5">
        <v>0</v>
      </c>
      <c r="J956" s="5">
        <v>0</v>
      </c>
      <c r="K956" s="5">
        <f>Table2[[#This Row],[Advance Amount]]-Table2[[#This Row],[Expense Amount]]-Table2[[#This Row],[Return Amount]]</f>
        <v>125000</v>
      </c>
      <c r="L956" s="5" t="str">
        <f>IF(Table2[[#This Row],[Outstanding]]=0,"Settled",IF(Table2[[#This Row],[Outstanding]]&gt;0,"Outstanding"))</f>
        <v>Outstanding</v>
      </c>
      <c r="M956" s="5" t="str">
        <f>IF(Table2[[#This Row],[Advance Amount]]=Table2[[#This Row],[Expense Amount]]+Table2[[#This Row],[Return Amount]]+Table2[[#This Row],[Outstanding]],"Ok","Check")</f>
        <v>Ok</v>
      </c>
      <c r="N956" s="11">
        <f>IF(Table2[[#This Row],[Status]]="Settled",0,$Q$2-Table2[[#This Row],[Date]])</f>
        <v>9</v>
      </c>
      <c r="O956" s="5" t="str">
        <f>IF(Table2[[#This Row],[Age Days]]&lt;=7,"Normal",IF(Table2[[#This Row],[Age Days]]&lt;=14,"Perlu Dipantau",IF(Table2[[#This Row],[Age Days]]&lt;=30,"Perlu Ditindaklanjuti","Overdue")))</f>
        <v>Perlu Dipantau</v>
      </c>
    </row>
    <row r="957" spans="1:15" x14ac:dyDescent="0.3">
      <c r="A957" t="s">
        <v>1041</v>
      </c>
      <c r="B957" s="3">
        <v>46256</v>
      </c>
      <c r="C957" t="s">
        <v>53</v>
      </c>
      <c r="D957" t="s">
        <v>54</v>
      </c>
      <c r="E957" t="s">
        <v>43</v>
      </c>
      <c r="F957" t="s">
        <v>14</v>
      </c>
      <c r="G957" t="s">
        <v>28</v>
      </c>
      <c r="H957" s="5">
        <v>480000</v>
      </c>
      <c r="I957" s="5">
        <v>475000</v>
      </c>
      <c r="J957" s="5">
        <v>5000</v>
      </c>
      <c r="K957" s="5">
        <f>Table2[[#This Row],[Advance Amount]]-Table2[[#This Row],[Expense Amount]]-Table2[[#This Row],[Return Amount]]</f>
        <v>0</v>
      </c>
      <c r="L957" s="5" t="str">
        <f>IF(Table2[[#This Row],[Outstanding]]=0,"Settled",IF(Table2[[#This Row],[Outstanding]]&gt;0,"Outstanding"))</f>
        <v>Settled</v>
      </c>
      <c r="M957" s="5" t="str">
        <f>IF(Table2[[#This Row],[Advance Amount]]=Table2[[#This Row],[Expense Amount]]+Table2[[#This Row],[Return Amount]]+Table2[[#This Row],[Outstanding]],"Ok","Check")</f>
        <v>Ok</v>
      </c>
      <c r="N957" s="11">
        <f>IF(Table2[[#This Row],[Status]]="Settled",0,$Q$2-Table2[[#This Row],[Date]])</f>
        <v>0</v>
      </c>
      <c r="O957" s="5" t="str">
        <f>IF(Table2[[#This Row],[Age Days]]&lt;=7,"Normal",IF(Table2[[#This Row],[Age Days]]&lt;=14,"Perlu Dipantau",IF(Table2[[#This Row],[Age Days]]&lt;=30,"Perlu Ditindaklanjuti","Overdue")))</f>
        <v>Normal</v>
      </c>
    </row>
    <row r="958" spans="1:15" x14ac:dyDescent="0.3">
      <c r="A958" t="s">
        <v>1042</v>
      </c>
      <c r="B958" s="3">
        <v>46257</v>
      </c>
      <c r="C958" t="s">
        <v>29</v>
      </c>
      <c r="D958" t="s">
        <v>30</v>
      </c>
      <c r="E958" t="s">
        <v>13</v>
      </c>
      <c r="F958" t="s">
        <v>20</v>
      </c>
      <c r="G958" t="s">
        <v>57</v>
      </c>
      <c r="H958" s="5">
        <v>255000</v>
      </c>
      <c r="I958" s="5">
        <v>250000</v>
      </c>
      <c r="J958" s="5">
        <v>5000</v>
      </c>
      <c r="K958" s="5">
        <f>Table2[[#This Row],[Advance Amount]]-Table2[[#This Row],[Expense Amount]]-Table2[[#This Row],[Return Amount]]</f>
        <v>0</v>
      </c>
      <c r="L958" s="5" t="str">
        <f>IF(Table2[[#This Row],[Outstanding]]=0,"Settled",IF(Table2[[#This Row],[Outstanding]]&gt;0,"Outstanding"))</f>
        <v>Settled</v>
      </c>
      <c r="M958" s="5" t="str">
        <f>IF(Table2[[#This Row],[Advance Amount]]=Table2[[#This Row],[Expense Amount]]+Table2[[#This Row],[Return Amount]]+Table2[[#This Row],[Outstanding]],"Ok","Check")</f>
        <v>Ok</v>
      </c>
      <c r="N958" s="11">
        <f>IF(Table2[[#This Row],[Status]]="Settled",0,$Q$2-Table2[[#This Row],[Date]])</f>
        <v>0</v>
      </c>
      <c r="O958" s="5" t="str">
        <f>IF(Table2[[#This Row],[Age Days]]&lt;=7,"Normal",IF(Table2[[#This Row],[Age Days]]&lt;=14,"Perlu Dipantau",IF(Table2[[#This Row],[Age Days]]&lt;=30,"Perlu Ditindaklanjuti","Overdue")))</f>
        <v>Normal</v>
      </c>
    </row>
    <row r="959" spans="1:15" x14ac:dyDescent="0.3">
      <c r="A959" t="s">
        <v>1043</v>
      </c>
      <c r="B959" s="3">
        <v>46257</v>
      </c>
      <c r="C959" t="s">
        <v>29</v>
      </c>
      <c r="D959" t="s">
        <v>30</v>
      </c>
      <c r="E959" t="s">
        <v>13</v>
      </c>
      <c r="F959" t="s">
        <v>20</v>
      </c>
      <c r="G959" t="s">
        <v>61</v>
      </c>
      <c r="H959" s="5">
        <v>700000</v>
      </c>
      <c r="I959" s="5">
        <v>0</v>
      </c>
      <c r="J959" s="5">
        <v>0</v>
      </c>
      <c r="K959" s="5">
        <f>Table2[[#This Row],[Advance Amount]]-Table2[[#This Row],[Expense Amount]]-Table2[[#This Row],[Return Amount]]</f>
        <v>700000</v>
      </c>
      <c r="L959" s="5" t="str">
        <f>IF(Table2[[#This Row],[Outstanding]]=0,"Settled",IF(Table2[[#This Row],[Outstanding]]&gt;0,"Outstanding"))</f>
        <v>Outstanding</v>
      </c>
      <c r="M959" s="5" t="str">
        <f>IF(Table2[[#This Row],[Advance Amount]]=Table2[[#This Row],[Expense Amount]]+Table2[[#This Row],[Return Amount]]+Table2[[#This Row],[Outstanding]],"Ok","Check")</f>
        <v>Ok</v>
      </c>
      <c r="N959" s="11">
        <f>IF(Table2[[#This Row],[Status]]="Settled",0,$Q$2-Table2[[#This Row],[Date]])</f>
        <v>8</v>
      </c>
      <c r="O959" s="5" t="str">
        <f>IF(Table2[[#This Row],[Age Days]]&lt;=7,"Normal",IF(Table2[[#This Row],[Age Days]]&lt;=14,"Perlu Dipantau",IF(Table2[[#This Row],[Age Days]]&lt;=30,"Perlu Ditindaklanjuti","Overdue")))</f>
        <v>Perlu Dipantau</v>
      </c>
    </row>
    <row r="960" spans="1:15" x14ac:dyDescent="0.3">
      <c r="A960" t="s">
        <v>1044</v>
      </c>
      <c r="B960" s="3">
        <v>46257</v>
      </c>
      <c r="C960" t="s">
        <v>62</v>
      </c>
      <c r="D960" t="s">
        <v>63</v>
      </c>
      <c r="E960" t="s">
        <v>52</v>
      </c>
      <c r="F960" t="s">
        <v>14</v>
      </c>
      <c r="G960" t="s">
        <v>28</v>
      </c>
      <c r="H960" s="5">
        <v>155000</v>
      </c>
      <c r="I960" s="5">
        <v>150000</v>
      </c>
      <c r="J960" s="5">
        <v>5000</v>
      </c>
      <c r="K960" s="5">
        <f>Table2[[#This Row],[Advance Amount]]-Table2[[#This Row],[Expense Amount]]-Table2[[#This Row],[Return Amount]]</f>
        <v>0</v>
      </c>
      <c r="L960" s="5" t="str">
        <f>IF(Table2[[#This Row],[Outstanding]]=0,"Settled",IF(Table2[[#This Row],[Outstanding]]&gt;0,"Outstanding"))</f>
        <v>Settled</v>
      </c>
      <c r="M960" s="5" t="str">
        <f>IF(Table2[[#This Row],[Advance Amount]]=Table2[[#This Row],[Expense Amount]]+Table2[[#This Row],[Return Amount]]+Table2[[#This Row],[Outstanding]],"Ok","Check")</f>
        <v>Ok</v>
      </c>
      <c r="N960" s="11">
        <f>IF(Table2[[#This Row],[Status]]="Settled",0,$Q$2-Table2[[#This Row],[Date]])</f>
        <v>0</v>
      </c>
      <c r="O960" s="5" t="str">
        <f>IF(Table2[[#This Row],[Age Days]]&lt;=7,"Normal",IF(Table2[[#This Row],[Age Days]]&lt;=14,"Perlu Dipantau",IF(Table2[[#This Row],[Age Days]]&lt;=30,"Perlu Ditindaklanjuti","Overdue")))</f>
        <v>Normal</v>
      </c>
    </row>
    <row r="961" spans="1:15" x14ac:dyDescent="0.3">
      <c r="A961" t="s">
        <v>1045</v>
      </c>
      <c r="B961" s="3">
        <v>46257</v>
      </c>
      <c r="C961" t="s">
        <v>44</v>
      </c>
      <c r="D961" t="s">
        <v>45</v>
      </c>
      <c r="E961" t="s">
        <v>43</v>
      </c>
      <c r="F961" t="s">
        <v>20</v>
      </c>
      <c r="G961" t="s">
        <v>58</v>
      </c>
      <c r="H961" s="5">
        <v>1050000</v>
      </c>
      <c r="I961" s="5">
        <v>925000</v>
      </c>
      <c r="J961" s="5">
        <v>125000</v>
      </c>
      <c r="K961" s="5">
        <f>Table2[[#This Row],[Advance Amount]]-Table2[[#This Row],[Expense Amount]]-Table2[[#This Row],[Return Amount]]</f>
        <v>0</v>
      </c>
      <c r="L961" s="5" t="str">
        <f>IF(Table2[[#This Row],[Outstanding]]=0,"Settled",IF(Table2[[#This Row],[Outstanding]]&gt;0,"Outstanding"))</f>
        <v>Settled</v>
      </c>
      <c r="M961" s="5" t="str">
        <f>IF(Table2[[#This Row],[Advance Amount]]=Table2[[#This Row],[Expense Amount]]+Table2[[#This Row],[Return Amount]]+Table2[[#This Row],[Outstanding]],"Ok","Check")</f>
        <v>Ok</v>
      </c>
      <c r="N961" s="11">
        <f>IF(Table2[[#This Row],[Status]]="Settled",0,$Q$2-Table2[[#This Row],[Date]])</f>
        <v>0</v>
      </c>
      <c r="O961" s="5" t="str">
        <f>IF(Table2[[#This Row],[Age Days]]&lt;=7,"Normal",IF(Table2[[#This Row],[Age Days]]&lt;=14,"Perlu Dipantau",IF(Table2[[#This Row],[Age Days]]&lt;=30,"Perlu Ditindaklanjuti","Overdue")))</f>
        <v>Normal</v>
      </c>
    </row>
    <row r="962" spans="1:15" x14ac:dyDescent="0.3">
      <c r="A962" t="s">
        <v>1046</v>
      </c>
      <c r="B962" s="3">
        <v>46257</v>
      </c>
      <c r="C962" t="s">
        <v>64</v>
      </c>
      <c r="D962" t="s">
        <v>65</v>
      </c>
      <c r="E962" t="s">
        <v>37</v>
      </c>
      <c r="F962" t="s">
        <v>20</v>
      </c>
      <c r="G962" t="s">
        <v>58</v>
      </c>
      <c r="H962" s="5">
        <v>1175000</v>
      </c>
      <c r="I962" s="5">
        <v>1100000</v>
      </c>
      <c r="J962" s="5">
        <v>75000</v>
      </c>
      <c r="K962" s="5">
        <f>Table2[[#This Row],[Advance Amount]]-Table2[[#This Row],[Expense Amount]]-Table2[[#This Row],[Return Amount]]</f>
        <v>0</v>
      </c>
      <c r="L962" s="5" t="str">
        <f>IF(Table2[[#This Row],[Outstanding]]=0,"Settled",IF(Table2[[#This Row],[Outstanding]]&gt;0,"Outstanding"))</f>
        <v>Settled</v>
      </c>
      <c r="M962" s="5" t="str">
        <f>IF(Table2[[#This Row],[Advance Amount]]=Table2[[#This Row],[Expense Amount]]+Table2[[#This Row],[Return Amount]]+Table2[[#This Row],[Outstanding]],"Ok","Check")</f>
        <v>Ok</v>
      </c>
      <c r="N962" s="11">
        <f>IF(Table2[[#This Row],[Status]]="Settled",0,$Q$2-Table2[[#This Row],[Date]])</f>
        <v>0</v>
      </c>
      <c r="O962" s="5" t="str">
        <f>IF(Table2[[#This Row],[Age Days]]&lt;=7,"Normal",IF(Table2[[#This Row],[Age Days]]&lt;=14,"Perlu Dipantau",IF(Table2[[#This Row],[Age Days]]&lt;=30,"Perlu Ditindaklanjuti","Overdue")))</f>
        <v>Normal</v>
      </c>
    </row>
    <row r="963" spans="1:15" x14ac:dyDescent="0.3">
      <c r="A963" t="s">
        <v>1047</v>
      </c>
      <c r="B963" s="3">
        <v>46258</v>
      </c>
      <c r="C963" t="s">
        <v>44</v>
      </c>
      <c r="D963" t="s">
        <v>45</v>
      </c>
      <c r="E963" t="s">
        <v>43</v>
      </c>
      <c r="F963" t="s">
        <v>14</v>
      </c>
      <c r="G963" t="s">
        <v>61</v>
      </c>
      <c r="H963" s="5">
        <v>650000</v>
      </c>
      <c r="I963" s="5">
        <v>525000</v>
      </c>
      <c r="J963" s="5">
        <v>125000</v>
      </c>
      <c r="K963" s="5">
        <f>Table2[[#This Row],[Advance Amount]]-Table2[[#This Row],[Expense Amount]]-Table2[[#This Row],[Return Amount]]</f>
        <v>0</v>
      </c>
      <c r="L963" s="5" t="str">
        <f>IF(Table2[[#This Row],[Outstanding]]=0,"Settled",IF(Table2[[#This Row],[Outstanding]]&gt;0,"Outstanding"))</f>
        <v>Settled</v>
      </c>
      <c r="M963" s="5" t="str">
        <f>IF(Table2[[#This Row],[Advance Amount]]=Table2[[#This Row],[Expense Amount]]+Table2[[#This Row],[Return Amount]]+Table2[[#This Row],[Outstanding]],"Ok","Check")</f>
        <v>Ok</v>
      </c>
      <c r="N963" s="11">
        <f>IF(Table2[[#This Row],[Status]]="Settled",0,$Q$2-Table2[[#This Row],[Date]])</f>
        <v>0</v>
      </c>
      <c r="O963" s="5" t="str">
        <f>IF(Table2[[#This Row],[Age Days]]&lt;=7,"Normal",IF(Table2[[#This Row],[Age Days]]&lt;=14,"Perlu Dipantau",IF(Table2[[#This Row],[Age Days]]&lt;=30,"Perlu Ditindaklanjuti","Overdue")))</f>
        <v>Normal</v>
      </c>
    </row>
    <row r="964" spans="1:15" x14ac:dyDescent="0.3">
      <c r="A964" t="s">
        <v>1048</v>
      </c>
      <c r="B964" s="3">
        <v>46258</v>
      </c>
      <c r="C964" t="s">
        <v>17</v>
      </c>
      <c r="D964" t="s">
        <v>18</v>
      </c>
      <c r="E964" t="s">
        <v>19</v>
      </c>
      <c r="F964" t="s">
        <v>14</v>
      </c>
      <c r="G964" t="s">
        <v>58</v>
      </c>
      <c r="H964" s="5">
        <v>600000</v>
      </c>
      <c r="I964" s="5">
        <v>500000</v>
      </c>
      <c r="J964" s="5">
        <v>100000</v>
      </c>
      <c r="K964" s="5">
        <f>Table2[[#This Row],[Advance Amount]]-Table2[[#This Row],[Expense Amount]]-Table2[[#This Row],[Return Amount]]</f>
        <v>0</v>
      </c>
      <c r="L964" s="5" t="str">
        <f>IF(Table2[[#This Row],[Outstanding]]=0,"Settled",IF(Table2[[#This Row],[Outstanding]]&gt;0,"Outstanding"))</f>
        <v>Settled</v>
      </c>
      <c r="M964" s="5" t="str">
        <f>IF(Table2[[#This Row],[Advance Amount]]=Table2[[#This Row],[Expense Amount]]+Table2[[#This Row],[Return Amount]]+Table2[[#This Row],[Outstanding]],"Ok","Check")</f>
        <v>Ok</v>
      </c>
      <c r="N964" s="11">
        <f>IF(Table2[[#This Row],[Status]]="Settled",0,$Q$2-Table2[[#This Row],[Date]])</f>
        <v>0</v>
      </c>
      <c r="O964" s="5" t="str">
        <f>IF(Table2[[#This Row],[Age Days]]&lt;=7,"Normal",IF(Table2[[#This Row],[Age Days]]&lt;=14,"Perlu Dipantau",IF(Table2[[#This Row],[Age Days]]&lt;=30,"Perlu Ditindaklanjuti","Overdue")))</f>
        <v>Normal</v>
      </c>
    </row>
    <row r="965" spans="1:15" x14ac:dyDescent="0.3">
      <c r="A965" t="s">
        <v>1049</v>
      </c>
      <c r="B965" s="3">
        <v>46258</v>
      </c>
      <c r="C965" t="s">
        <v>64</v>
      </c>
      <c r="D965" t="s">
        <v>65</v>
      </c>
      <c r="E965" t="s">
        <v>37</v>
      </c>
      <c r="F965" t="s">
        <v>14</v>
      </c>
      <c r="G965" t="s">
        <v>61</v>
      </c>
      <c r="H965" s="5">
        <v>375000</v>
      </c>
      <c r="I965" s="5">
        <v>325000</v>
      </c>
      <c r="J965" s="5">
        <v>50000</v>
      </c>
      <c r="K965" s="5">
        <f>Table2[[#This Row],[Advance Amount]]-Table2[[#This Row],[Expense Amount]]-Table2[[#This Row],[Return Amount]]</f>
        <v>0</v>
      </c>
      <c r="L965" s="5" t="str">
        <f>IF(Table2[[#This Row],[Outstanding]]=0,"Settled",IF(Table2[[#This Row],[Outstanding]]&gt;0,"Outstanding"))</f>
        <v>Settled</v>
      </c>
      <c r="M965" s="5" t="str">
        <f>IF(Table2[[#This Row],[Advance Amount]]=Table2[[#This Row],[Expense Amount]]+Table2[[#This Row],[Return Amount]]+Table2[[#This Row],[Outstanding]],"Ok","Check")</f>
        <v>Ok</v>
      </c>
      <c r="N965" s="11">
        <f>IF(Table2[[#This Row],[Status]]="Settled",0,$Q$2-Table2[[#This Row],[Date]])</f>
        <v>0</v>
      </c>
      <c r="O965" s="5" t="str">
        <f>IF(Table2[[#This Row],[Age Days]]&lt;=7,"Normal",IF(Table2[[#This Row],[Age Days]]&lt;=14,"Perlu Dipantau",IF(Table2[[#This Row],[Age Days]]&lt;=30,"Perlu Ditindaklanjuti","Overdue")))</f>
        <v>Normal</v>
      </c>
    </row>
    <row r="966" spans="1:15" x14ac:dyDescent="0.3">
      <c r="A966" t="s">
        <v>1050</v>
      </c>
      <c r="B966" s="3">
        <v>46258</v>
      </c>
      <c r="C966" t="s">
        <v>64</v>
      </c>
      <c r="D966" t="s">
        <v>65</v>
      </c>
      <c r="E966" t="s">
        <v>37</v>
      </c>
      <c r="F966" t="s">
        <v>20</v>
      </c>
      <c r="G966" t="s">
        <v>61</v>
      </c>
      <c r="H966" s="5">
        <v>125000</v>
      </c>
      <c r="I966" s="5">
        <v>100000</v>
      </c>
      <c r="J966" s="5">
        <v>25000</v>
      </c>
      <c r="K966" s="5">
        <f>Table2[[#This Row],[Advance Amount]]-Table2[[#This Row],[Expense Amount]]-Table2[[#This Row],[Return Amount]]</f>
        <v>0</v>
      </c>
      <c r="L966" s="5" t="str">
        <f>IF(Table2[[#This Row],[Outstanding]]=0,"Settled",IF(Table2[[#This Row],[Outstanding]]&gt;0,"Outstanding"))</f>
        <v>Settled</v>
      </c>
      <c r="M966" s="5" t="str">
        <f>IF(Table2[[#This Row],[Advance Amount]]=Table2[[#This Row],[Expense Amount]]+Table2[[#This Row],[Return Amount]]+Table2[[#This Row],[Outstanding]],"Ok","Check")</f>
        <v>Ok</v>
      </c>
      <c r="N966" s="11">
        <f>IF(Table2[[#This Row],[Status]]="Settled",0,$Q$2-Table2[[#This Row],[Date]])</f>
        <v>0</v>
      </c>
      <c r="O966" s="5" t="str">
        <f>IF(Table2[[#This Row],[Age Days]]&lt;=7,"Normal",IF(Table2[[#This Row],[Age Days]]&lt;=14,"Perlu Dipantau",IF(Table2[[#This Row],[Age Days]]&lt;=30,"Perlu Ditindaklanjuti","Overdue")))</f>
        <v>Normal</v>
      </c>
    </row>
    <row r="967" spans="1:15" x14ac:dyDescent="0.3">
      <c r="A967" t="s">
        <v>1051</v>
      </c>
      <c r="B967" s="3">
        <v>46258</v>
      </c>
      <c r="C967" t="s">
        <v>66</v>
      </c>
      <c r="D967" t="s">
        <v>67</v>
      </c>
      <c r="E967" t="s">
        <v>13</v>
      </c>
      <c r="F967" t="s">
        <v>20</v>
      </c>
      <c r="G967" t="s">
        <v>40</v>
      </c>
      <c r="H967" s="5">
        <v>275000</v>
      </c>
      <c r="I967" s="5">
        <v>0</v>
      </c>
      <c r="J967" s="5">
        <v>0</v>
      </c>
      <c r="K967" s="5">
        <f>Table2[[#This Row],[Advance Amount]]-Table2[[#This Row],[Expense Amount]]-Table2[[#This Row],[Return Amount]]</f>
        <v>275000</v>
      </c>
      <c r="L967" s="5" t="str">
        <f>IF(Table2[[#This Row],[Outstanding]]=0,"Settled",IF(Table2[[#This Row],[Outstanding]]&gt;0,"Outstanding"))</f>
        <v>Outstanding</v>
      </c>
      <c r="M967" s="5" t="str">
        <f>IF(Table2[[#This Row],[Advance Amount]]=Table2[[#This Row],[Expense Amount]]+Table2[[#This Row],[Return Amount]]+Table2[[#This Row],[Outstanding]],"Ok","Check")</f>
        <v>Ok</v>
      </c>
      <c r="N967" s="11">
        <f>IF(Table2[[#This Row],[Status]]="Settled",0,$Q$2-Table2[[#This Row],[Date]])</f>
        <v>7</v>
      </c>
      <c r="O967" s="5" t="str">
        <f>IF(Table2[[#This Row],[Age Days]]&lt;=7,"Normal",IF(Table2[[#This Row],[Age Days]]&lt;=14,"Perlu Dipantau",IF(Table2[[#This Row],[Age Days]]&lt;=30,"Perlu Ditindaklanjuti","Overdue")))</f>
        <v>Normal</v>
      </c>
    </row>
    <row r="968" spans="1:15" x14ac:dyDescent="0.3">
      <c r="A968" t="s">
        <v>1052</v>
      </c>
      <c r="B968" s="3">
        <v>46258</v>
      </c>
      <c r="C968" t="s">
        <v>22</v>
      </c>
      <c r="D968" t="s">
        <v>23</v>
      </c>
      <c r="E968" t="s">
        <v>24</v>
      </c>
      <c r="F968" t="s">
        <v>20</v>
      </c>
      <c r="G968" t="s">
        <v>58</v>
      </c>
      <c r="H968" s="5">
        <v>575000</v>
      </c>
      <c r="I968" s="5">
        <v>0</v>
      </c>
      <c r="J968" s="5">
        <v>0</v>
      </c>
      <c r="K968" s="5">
        <f>Table2[[#This Row],[Advance Amount]]-Table2[[#This Row],[Expense Amount]]-Table2[[#This Row],[Return Amount]]</f>
        <v>575000</v>
      </c>
      <c r="L968" s="5" t="str">
        <f>IF(Table2[[#This Row],[Outstanding]]=0,"Settled",IF(Table2[[#This Row],[Outstanding]]&gt;0,"Outstanding"))</f>
        <v>Outstanding</v>
      </c>
      <c r="M968" s="5" t="str">
        <f>IF(Table2[[#This Row],[Advance Amount]]=Table2[[#This Row],[Expense Amount]]+Table2[[#This Row],[Return Amount]]+Table2[[#This Row],[Outstanding]],"Ok","Check")</f>
        <v>Ok</v>
      </c>
      <c r="N968" s="11">
        <f>IF(Table2[[#This Row],[Status]]="Settled",0,$Q$2-Table2[[#This Row],[Date]])</f>
        <v>7</v>
      </c>
      <c r="O968" s="5" t="str">
        <f>IF(Table2[[#This Row],[Age Days]]&lt;=7,"Normal",IF(Table2[[#This Row],[Age Days]]&lt;=14,"Perlu Dipantau",IF(Table2[[#This Row],[Age Days]]&lt;=30,"Perlu Ditindaklanjuti","Overdue")))</f>
        <v>Normal</v>
      </c>
    </row>
    <row r="969" spans="1:15" x14ac:dyDescent="0.3">
      <c r="A969" t="s">
        <v>1053</v>
      </c>
      <c r="B969" s="3">
        <v>46258</v>
      </c>
      <c r="C969" t="s">
        <v>25</v>
      </c>
      <c r="D969" t="s">
        <v>26</v>
      </c>
      <c r="E969" t="s">
        <v>27</v>
      </c>
      <c r="F969" t="s">
        <v>20</v>
      </c>
      <c r="G969" t="s">
        <v>31</v>
      </c>
      <c r="H969" s="5">
        <v>525000</v>
      </c>
      <c r="I969" s="5">
        <v>425000</v>
      </c>
      <c r="J969" s="5">
        <v>100000</v>
      </c>
      <c r="K969" s="5">
        <f>Table2[[#This Row],[Advance Amount]]-Table2[[#This Row],[Expense Amount]]-Table2[[#This Row],[Return Amount]]</f>
        <v>0</v>
      </c>
      <c r="L969" s="5" t="str">
        <f>IF(Table2[[#This Row],[Outstanding]]=0,"Settled",IF(Table2[[#This Row],[Outstanding]]&gt;0,"Outstanding"))</f>
        <v>Settled</v>
      </c>
      <c r="M969" s="5" t="str">
        <f>IF(Table2[[#This Row],[Advance Amount]]=Table2[[#This Row],[Expense Amount]]+Table2[[#This Row],[Return Amount]]+Table2[[#This Row],[Outstanding]],"Ok","Check")</f>
        <v>Ok</v>
      </c>
      <c r="N969" s="11">
        <f>IF(Table2[[#This Row],[Status]]="Settled",0,$Q$2-Table2[[#This Row],[Date]])</f>
        <v>0</v>
      </c>
      <c r="O969" s="5" t="str">
        <f>IF(Table2[[#This Row],[Age Days]]&lt;=7,"Normal",IF(Table2[[#This Row],[Age Days]]&lt;=14,"Perlu Dipantau",IF(Table2[[#This Row],[Age Days]]&lt;=30,"Perlu Ditindaklanjuti","Overdue")))</f>
        <v>Normal</v>
      </c>
    </row>
    <row r="970" spans="1:15" x14ac:dyDescent="0.3">
      <c r="A970" t="s">
        <v>1054</v>
      </c>
      <c r="B970" s="3">
        <v>46259</v>
      </c>
      <c r="C970" t="s">
        <v>41</v>
      </c>
      <c r="D970" t="s">
        <v>42</v>
      </c>
      <c r="E970" t="s">
        <v>43</v>
      </c>
      <c r="F970" t="s">
        <v>20</v>
      </c>
      <c r="G970" t="s">
        <v>28</v>
      </c>
      <c r="H970" s="5">
        <v>80000</v>
      </c>
      <c r="I970" s="5">
        <v>0</v>
      </c>
      <c r="J970" s="5">
        <v>0</v>
      </c>
      <c r="K970" s="5">
        <f>Table2[[#This Row],[Advance Amount]]-Table2[[#This Row],[Expense Amount]]-Table2[[#This Row],[Return Amount]]</f>
        <v>80000</v>
      </c>
      <c r="L970" s="5" t="str">
        <f>IF(Table2[[#This Row],[Outstanding]]=0,"Settled",IF(Table2[[#This Row],[Outstanding]]&gt;0,"Outstanding"))</f>
        <v>Outstanding</v>
      </c>
      <c r="M970" s="5" t="str">
        <f>IF(Table2[[#This Row],[Advance Amount]]=Table2[[#This Row],[Expense Amount]]+Table2[[#This Row],[Return Amount]]+Table2[[#This Row],[Outstanding]],"Ok","Check")</f>
        <v>Ok</v>
      </c>
      <c r="N970" s="11">
        <f>IF(Table2[[#This Row],[Status]]="Settled",0,$Q$2-Table2[[#This Row],[Date]])</f>
        <v>6</v>
      </c>
      <c r="O970" s="5" t="str">
        <f>IF(Table2[[#This Row],[Age Days]]&lt;=7,"Normal",IF(Table2[[#This Row],[Age Days]]&lt;=14,"Perlu Dipantau",IF(Table2[[#This Row],[Age Days]]&lt;=30,"Perlu Ditindaklanjuti","Overdue")))</f>
        <v>Normal</v>
      </c>
    </row>
    <row r="971" spans="1:15" x14ac:dyDescent="0.3">
      <c r="A971" t="s">
        <v>1055</v>
      </c>
      <c r="B971" s="3">
        <v>46259</v>
      </c>
      <c r="C971" t="s">
        <v>35</v>
      </c>
      <c r="D971" t="s">
        <v>36</v>
      </c>
      <c r="E971" t="s">
        <v>37</v>
      </c>
      <c r="F971" t="s">
        <v>20</v>
      </c>
      <c r="G971" t="s">
        <v>28</v>
      </c>
      <c r="H971" s="5">
        <v>105000</v>
      </c>
      <c r="I971" s="5">
        <v>75000</v>
      </c>
      <c r="J971" s="5">
        <v>30000</v>
      </c>
      <c r="K971" s="5">
        <f>Table2[[#This Row],[Advance Amount]]-Table2[[#This Row],[Expense Amount]]-Table2[[#This Row],[Return Amount]]</f>
        <v>0</v>
      </c>
      <c r="L971" s="5" t="str">
        <f>IF(Table2[[#This Row],[Outstanding]]=0,"Settled",IF(Table2[[#This Row],[Outstanding]]&gt;0,"Outstanding"))</f>
        <v>Settled</v>
      </c>
      <c r="M971" s="5" t="str">
        <f>IF(Table2[[#This Row],[Advance Amount]]=Table2[[#This Row],[Expense Amount]]+Table2[[#This Row],[Return Amount]]+Table2[[#This Row],[Outstanding]],"Ok","Check")</f>
        <v>Ok</v>
      </c>
      <c r="N971" s="11">
        <f>IF(Table2[[#This Row],[Status]]="Settled",0,$Q$2-Table2[[#This Row],[Date]])</f>
        <v>0</v>
      </c>
      <c r="O971" s="5" t="str">
        <f>IF(Table2[[#This Row],[Age Days]]&lt;=7,"Normal",IF(Table2[[#This Row],[Age Days]]&lt;=14,"Perlu Dipantau",IF(Table2[[#This Row],[Age Days]]&lt;=30,"Perlu Ditindaklanjuti","Overdue")))</f>
        <v>Normal</v>
      </c>
    </row>
    <row r="972" spans="1:15" x14ac:dyDescent="0.3">
      <c r="A972" t="s">
        <v>1056</v>
      </c>
      <c r="B972" s="3">
        <v>46259</v>
      </c>
      <c r="C972" t="s">
        <v>38</v>
      </c>
      <c r="D972" t="s">
        <v>39</v>
      </c>
      <c r="E972" t="s">
        <v>24</v>
      </c>
      <c r="F972" t="s">
        <v>14</v>
      </c>
      <c r="G972" t="s">
        <v>40</v>
      </c>
      <c r="H972" s="5">
        <v>350000</v>
      </c>
      <c r="I972" s="5">
        <v>325000</v>
      </c>
      <c r="J972" s="5">
        <v>25000</v>
      </c>
      <c r="K972" s="5">
        <f>Table2[[#This Row],[Advance Amount]]-Table2[[#This Row],[Expense Amount]]-Table2[[#This Row],[Return Amount]]</f>
        <v>0</v>
      </c>
      <c r="L972" s="5" t="str">
        <f>IF(Table2[[#This Row],[Outstanding]]=0,"Settled",IF(Table2[[#This Row],[Outstanding]]&gt;0,"Outstanding"))</f>
        <v>Settled</v>
      </c>
      <c r="M972" s="5" t="str">
        <f>IF(Table2[[#This Row],[Advance Amount]]=Table2[[#This Row],[Expense Amount]]+Table2[[#This Row],[Return Amount]]+Table2[[#This Row],[Outstanding]],"Ok","Check")</f>
        <v>Ok</v>
      </c>
      <c r="N972" s="11">
        <f>IF(Table2[[#This Row],[Status]]="Settled",0,$Q$2-Table2[[#This Row],[Date]])</f>
        <v>0</v>
      </c>
      <c r="O972" s="5" t="str">
        <f>IF(Table2[[#This Row],[Age Days]]&lt;=7,"Normal",IF(Table2[[#This Row],[Age Days]]&lt;=14,"Perlu Dipantau",IF(Table2[[#This Row],[Age Days]]&lt;=30,"Perlu Ditindaklanjuti","Overdue")))</f>
        <v>Normal</v>
      </c>
    </row>
    <row r="973" spans="1:15" x14ac:dyDescent="0.3">
      <c r="A973" t="s">
        <v>1057</v>
      </c>
      <c r="B973" s="3">
        <v>46259</v>
      </c>
      <c r="C973" t="s">
        <v>25</v>
      </c>
      <c r="D973" t="s">
        <v>26</v>
      </c>
      <c r="E973" t="s">
        <v>27</v>
      </c>
      <c r="F973" t="s">
        <v>20</v>
      </c>
      <c r="G973" t="s">
        <v>40</v>
      </c>
      <c r="H973" s="5">
        <v>575000</v>
      </c>
      <c r="I973" s="5">
        <v>0</v>
      </c>
      <c r="J973" s="5">
        <v>0</v>
      </c>
      <c r="K973" s="5">
        <f>Table2[[#This Row],[Advance Amount]]-Table2[[#This Row],[Expense Amount]]-Table2[[#This Row],[Return Amount]]</f>
        <v>575000</v>
      </c>
      <c r="L973" s="5" t="str">
        <f>IF(Table2[[#This Row],[Outstanding]]=0,"Settled",IF(Table2[[#This Row],[Outstanding]]&gt;0,"Outstanding"))</f>
        <v>Outstanding</v>
      </c>
      <c r="M973" s="5" t="str">
        <f>IF(Table2[[#This Row],[Advance Amount]]=Table2[[#This Row],[Expense Amount]]+Table2[[#This Row],[Return Amount]]+Table2[[#This Row],[Outstanding]],"Ok","Check")</f>
        <v>Ok</v>
      </c>
      <c r="N973" s="11">
        <f>IF(Table2[[#This Row],[Status]]="Settled",0,$Q$2-Table2[[#This Row],[Date]])</f>
        <v>6</v>
      </c>
      <c r="O973" s="5" t="str">
        <f>IF(Table2[[#This Row],[Age Days]]&lt;=7,"Normal",IF(Table2[[#This Row],[Age Days]]&lt;=14,"Perlu Dipantau",IF(Table2[[#This Row],[Age Days]]&lt;=30,"Perlu Ditindaklanjuti","Overdue")))</f>
        <v>Normal</v>
      </c>
    </row>
    <row r="974" spans="1:15" x14ac:dyDescent="0.3">
      <c r="A974" t="s">
        <v>1058</v>
      </c>
      <c r="B974" s="3">
        <v>46260</v>
      </c>
      <c r="C974" t="s">
        <v>48</v>
      </c>
      <c r="D974" t="s">
        <v>49</v>
      </c>
      <c r="E974" t="s">
        <v>19</v>
      </c>
      <c r="F974" t="s">
        <v>14</v>
      </c>
      <c r="G974" t="s">
        <v>58</v>
      </c>
      <c r="H974" s="5">
        <v>625000</v>
      </c>
      <c r="I974" s="5">
        <v>575000</v>
      </c>
      <c r="J974" s="5">
        <v>50000</v>
      </c>
      <c r="K974" s="5">
        <f>Table2[[#This Row],[Advance Amount]]-Table2[[#This Row],[Expense Amount]]-Table2[[#This Row],[Return Amount]]</f>
        <v>0</v>
      </c>
      <c r="L974" s="5" t="str">
        <f>IF(Table2[[#This Row],[Outstanding]]=0,"Settled",IF(Table2[[#This Row],[Outstanding]]&gt;0,"Outstanding"))</f>
        <v>Settled</v>
      </c>
      <c r="M974" s="5" t="str">
        <f>IF(Table2[[#This Row],[Advance Amount]]=Table2[[#This Row],[Expense Amount]]+Table2[[#This Row],[Return Amount]]+Table2[[#This Row],[Outstanding]],"Ok","Check")</f>
        <v>Ok</v>
      </c>
      <c r="N974" s="11">
        <f>IF(Table2[[#This Row],[Status]]="Settled",0,$Q$2-Table2[[#This Row],[Date]])</f>
        <v>0</v>
      </c>
      <c r="O974" s="5" t="str">
        <f>IF(Table2[[#This Row],[Age Days]]&lt;=7,"Normal",IF(Table2[[#This Row],[Age Days]]&lt;=14,"Perlu Dipantau",IF(Table2[[#This Row],[Age Days]]&lt;=30,"Perlu Ditindaklanjuti","Overdue")))</f>
        <v>Normal</v>
      </c>
    </row>
    <row r="975" spans="1:15" x14ac:dyDescent="0.3">
      <c r="A975" t="s">
        <v>1059</v>
      </c>
      <c r="B975" s="3">
        <v>46260</v>
      </c>
      <c r="C975" t="s">
        <v>62</v>
      </c>
      <c r="D975" t="s">
        <v>63</v>
      </c>
      <c r="E975" t="s">
        <v>52</v>
      </c>
      <c r="F975" t="s">
        <v>20</v>
      </c>
      <c r="G975" t="s">
        <v>61</v>
      </c>
      <c r="H975" s="5">
        <v>425000</v>
      </c>
      <c r="I975" s="5">
        <v>0</v>
      </c>
      <c r="J975" s="5">
        <v>0</v>
      </c>
      <c r="K975" s="5">
        <f>Table2[[#This Row],[Advance Amount]]-Table2[[#This Row],[Expense Amount]]-Table2[[#This Row],[Return Amount]]</f>
        <v>425000</v>
      </c>
      <c r="L975" s="5" t="str">
        <f>IF(Table2[[#This Row],[Outstanding]]=0,"Settled",IF(Table2[[#This Row],[Outstanding]]&gt;0,"Outstanding"))</f>
        <v>Outstanding</v>
      </c>
      <c r="M975" s="5" t="str">
        <f>IF(Table2[[#This Row],[Advance Amount]]=Table2[[#This Row],[Expense Amount]]+Table2[[#This Row],[Return Amount]]+Table2[[#This Row],[Outstanding]],"Ok","Check")</f>
        <v>Ok</v>
      </c>
      <c r="N975" s="11">
        <f>IF(Table2[[#This Row],[Status]]="Settled",0,$Q$2-Table2[[#This Row],[Date]])</f>
        <v>5</v>
      </c>
      <c r="O975" s="5" t="str">
        <f>IF(Table2[[#This Row],[Age Days]]&lt;=7,"Normal",IF(Table2[[#This Row],[Age Days]]&lt;=14,"Perlu Dipantau",IF(Table2[[#This Row],[Age Days]]&lt;=30,"Perlu Ditindaklanjuti","Overdue")))</f>
        <v>Normal</v>
      </c>
    </row>
    <row r="976" spans="1:15" x14ac:dyDescent="0.3">
      <c r="A976" t="s">
        <v>1060</v>
      </c>
      <c r="B976" s="3">
        <v>46260</v>
      </c>
      <c r="C976" t="s">
        <v>53</v>
      </c>
      <c r="D976" t="s">
        <v>54</v>
      </c>
      <c r="E976" t="s">
        <v>43</v>
      </c>
      <c r="F976" t="s">
        <v>20</v>
      </c>
      <c r="G976" t="s">
        <v>31</v>
      </c>
      <c r="H976" s="5">
        <v>675000</v>
      </c>
      <c r="I976" s="5">
        <v>0</v>
      </c>
      <c r="J976" s="5">
        <v>0</v>
      </c>
      <c r="K976" s="5">
        <f>Table2[[#This Row],[Advance Amount]]-Table2[[#This Row],[Expense Amount]]-Table2[[#This Row],[Return Amount]]</f>
        <v>675000</v>
      </c>
      <c r="L976" s="5" t="str">
        <f>IF(Table2[[#This Row],[Outstanding]]=0,"Settled",IF(Table2[[#This Row],[Outstanding]]&gt;0,"Outstanding"))</f>
        <v>Outstanding</v>
      </c>
      <c r="M976" s="5" t="str">
        <f>IF(Table2[[#This Row],[Advance Amount]]=Table2[[#This Row],[Expense Amount]]+Table2[[#This Row],[Return Amount]]+Table2[[#This Row],[Outstanding]],"Ok","Check")</f>
        <v>Ok</v>
      </c>
      <c r="N976" s="11">
        <f>IF(Table2[[#This Row],[Status]]="Settled",0,$Q$2-Table2[[#This Row],[Date]])</f>
        <v>5</v>
      </c>
      <c r="O976" s="5" t="str">
        <f>IF(Table2[[#This Row],[Age Days]]&lt;=7,"Normal",IF(Table2[[#This Row],[Age Days]]&lt;=14,"Perlu Dipantau",IF(Table2[[#This Row],[Age Days]]&lt;=30,"Perlu Ditindaklanjuti","Overdue")))</f>
        <v>Normal</v>
      </c>
    </row>
    <row r="977" spans="1:15" x14ac:dyDescent="0.3">
      <c r="A977" t="s">
        <v>1061</v>
      </c>
      <c r="B977" s="3">
        <v>46261</v>
      </c>
      <c r="C977" t="s">
        <v>55</v>
      </c>
      <c r="D977" t="s">
        <v>56</v>
      </c>
      <c r="E977" t="s">
        <v>24</v>
      </c>
      <c r="F977" t="s">
        <v>20</v>
      </c>
      <c r="G977" t="s">
        <v>15</v>
      </c>
      <c r="H977" s="5">
        <v>3400000</v>
      </c>
      <c r="I977" s="5">
        <v>3400000</v>
      </c>
      <c r="J977" s="5">
        <v>0</v>
      </c>
      <c r="K977" s="5">
        <f>Table2[[#This Row],[Advance Amount]]-Table2[[#This Row],[Expense Amount]]-Table2[[#This Row],[Return Amount]]</f>
        <v>0</v>
      </c>
      <c r="L977" s="5" t="str">
        <f>IF(Table2[[#This Row],[Outstanding]]=0,"Settled",IF(Table2[[#This Row],[Outstanding]]&gt;0,"Outstanding"))</f>
        <v>Settled</v>
      </c>
      <c r="M977" s="5" t="str">
        <f>IF(Table2[[#This Row],[Advance Amount]]=Table2[[#This Row],[Expense Amount]]+Table2[[#This Row],[Return Amount]]+Table2[[#This Row],[Outstanding]],"Ok","Check")</f>
        <v>Ok</v>
      </c>
      <c r="N977" s="11">
        <f>IF(Table2[[#This Row],[Status]]="Settled",0,$Q$2-Table2[[#This Row],[Date]])</f>
        <v>0</v>
      </c>
      <c r="O977" s="5" t="str">
        <f>IF(Table2[[#This Row],[Age Days]]&lt;=7,"Normal",IF(Table2[[#This Row],[Age Days]]&lt;=14,"Perlu Dipantau",IF(Table2[[#This Row],[Age Days]]&lt;=30,"Perlu Ditindaklanjuti","Overdue")))</f>
        <v>Normal</v>
      </c>
    </row>
    <row r="978" spans="1:15" x14ac:dyDescent="0.3">
      <c r="A978" t="s">
        <v>1062</v>
      </c>
      <c r="B978" s="3">
        <v>46261</v>
      </c>
      <c r="C978" t="s">
        <v>35</v>
      </c>
      <c r="D978" t="s">
        <v>36</v>
      </c>
      <c r="E978" t="s">
        <v>37</v>
      </c>
      <c r="F978" t="s">
        <v>20</v>
      </c>
      <c r="G978" t="s">
        <v>57</v>
      </c>
      <c r="H978" s="5">
        <v>255000</v>
      </c>
      <c r="I978" s="5">
        <v>0</v>
      </c>
      <c r="J978" s="5">
        <v>0</v>
      </c>
      <c r="K978" s="5">
        <f>Table2[[#This Row],[Advance Amount]]-Table2[[#This Row],[Expense Amount]]-Table2[[#This Row],[Return Amount]]</f>
        <v>255000</v>
      </c>
      <c r="L978" s="5" t="str">
        <f>IF(Table2[[#This Row],[Outstanding]]=0,"Settled",IF(Table2[[#This Row],[Outstanding]]&gt;0,"Outstanding"))</f>
        <v>Outstanding</v>
      </c>
      <c r="M978" s="5" t="str">
        <f>IF(Table2[[#This Row],[Advance Amount]]=Table2[[#This Row],[Expense Amount]]+Table2[[#This Row],[Return Amount]]+Table2[[#This Row],[Outstanding]],"Ok","Check")</f>
        <v>Ok</v>
      </c>
      <c r="N978" s="11">
        <f>IF(Table2[[#This Row],[Status]]="Settled",0,$Q$2-Table2[[#This Row],[Date]])</f>
        <v>4</v>
      </c>
      <c r="O978" s="5" t="str">
        <f>IF(Table2[[#This Row],[Age Days]]&lt;=7,"Normal",IF(Table2[[#This Row],[Age Days]]&lt;=14,"Perlu Dipantau",IF(Table2[[#This Row],[Age Days]]&lt;=30,"Perlu Ditindaklanjuti","Overdue")))</f>
        <v>Normal</v>
      </c>
    </row>
    <row r="979" spans="1:15" x14ac:dyDescent="0.3">
      <c r="A979" t="s">
        <v>1063</v>
      </c>
      <c r="B979" s="3">
        <v>46261</v>
      </c>
      <c r="C979" t="s">
        <v>44</v>
      </c>
      <c r="D979" t="s">
        <v>45</v>
      </c>
      <c r="E979" t="s">
        <v>43</v>
      </c>
      <c r="F979" t="s">
        <v>14</v>
      </c>
      <c r="G979" t="s">
        <v>57</v>
      </c>
      <c r="H979" s="5">
        <v>430000</v>
      </c>
      <c r="I979" s="5">
        <v>400000</v>
      </c>
      <c r="J979" s="5">
        <v>30000</v>
      </c>
      <c r="K979" s="5">
        <f>Table2[[#This Row],[Advance Amount]]-Table2[[#This Row],[Expense Amount]]-Table2[[#This Row],[Return Amount]]</f>
        <v>0</v>
      </c>
      <c r="L979" s="5" t="str">
        <f>IF(Table2[[#This Row],[Outstanding]]=0,"Settled",IF(Table2[[#This Row],[Outstanding]]&gt;0,"Outstanding"))</f>
        <v>Settled</v>
      </c>
      <c r="M979" s="5" t="str">
        <f>IF(Table2[[#This Row],[Advance Amount]]=Table2[[#This Row],[Expense Amount]]+Table2[[#This Row],[Return Amount]]+Table2[[#This Row],[Outstanding]],"Ok","Check")</f>
        <v>Ok</v>
      </c>
      <c r="N979" s="11">
        <f>IF(Table2[[#This Row],[Status]]="Settled",0,$Q$2-Table2[[#This Row],[Date]])</f>
        <v>0</v>
      </c>
      <c r="O979" s="5" t="str">
        <f>IF(Table2[[#This Row],[Age Days]]&lt;=7,"Normal",IF(Table2[[#This Row],[Age Days]]&lt;=14,"Perlu Dipantau",IF(Table2[[#This Row],[Age Days]]&lt;=30,"Perlu Ditindaklanjuti","Overdue")))</f>
        <v>Normal</v>
      </c>
    </row>
    <row r="980" spans="1:15" x14ac:dyDescent="0.3">
      <c r="A980" t="s">
        <v>1064</v>
      </c>
      <c r="B980" s="3">
        <v>46261</v>
      </c>
      <c r="C980" t="s">
        <v>17</v>
      </c>
      <c r="D980" t="s">
        <v>18</v>
      </c>
      <c r="E980" t="s">
        <v>19</v>
      </c>
      <c r="F980" t="s">
        <v>14</v>
      </c>
      <c r="G980" t="s">
        <v>28</v>
      </c>
      <c r="H980" s="5">
        <v>480000</v>
      </c>
      <c r="I980" s="5">
        <v>0</v>
      </c>
      <c r="J980" s="5">
        <v>0</v>
      </c>
      <c r="K980" s="5">
        <f>Table2[[#This Row],[Advance Amount]]-Table2[[#This Row],[Expense Amount]]-Table2[[#This Row],[Return Amount]]</f>
        <v>480000</v>
      </c>
      <c r="L980" s="5" t="str">
        <f>IF(Table2[[#This Row],[Outstanding]]=0,"Settled",IF(Table2[[#This Row],[Outstanding]]&gt;0,"Outstanding"))</f>
        <v>Outstanding</v>
      </c>
      <c r="M980" s="5" t="str">
        <f>IF(Table2[[#This Row],[Advance Amount]]=Table2[[#This Row],[Expense Amount]]+Table2[[#This Row],[Return Amount]]+Table2[[#This Row],[Outstanding]],"Ok","Check")</f>
        <v>Ok</v>
      </c>
      <c r="N980" s="11">
        <f>IF(Table2[[#This Row],[Status]]="Settled",0,$Q$2-Table2[[#This Row],[Date]])</f>
        <v>4</v>
      </c>
      <c r="O980" s="5" t="str">
        <f>IF(Table2[[#This Row],[Age Days]]&lt;=7,"Normal",IF(Table2[[#This Row],[Age Days]]&lt;=14,"Perlu Dipantau",IF(Table2[[#This Row],[Age Days]]&lt;=30,"Perlu Ditindaklanjuti","Overdue")))</f>
        <v>Normal</v>
      </c>
    </row>
    <row r="981" spans="1:15" x14ac:dyDescent="0.3">
      <c r="A981" t="s">
        <v>1065</v>
      </c>
      <c r="B981" s="3">
        <v>46261</v>
      </c>
      <c r="C981" t="s">
        <v>66</v>
      </c>
      <c r="D981" t="s">
        <v>67</v>
      </c>
      <c r="E981" t="s">
        <v>13</v>
      </c>
      <c r="F981" t="s">
        <v>20</v>
      </c>
      <c r="G981" t="s">
        <v>34</v>
      </c>
      <c r="H981" s="5">
        <v>400000</v>
      </c>
      <c r="I981" s="5">
        <v>375000</v>
      </c>
      <c r="J981" s="5">
        <v>25000</v>
      </c>
      <c r="K981" s="5">
        <f>Table2[[#This Row],[Advance Amount]]-Table2[[#This Row],[Expense Amount]]-Table2[[#This Row],[Return Amount]]</f>
        <v>0</v>
      </c>
      <c r="L981" s="5" t="str">
        <f>IF(Table2[[#This Row],[Outstanding]]=0,"Settled",IF(Table2[[#This Row],[Outstanding]]&gt;0,"Outstanding"))</f>
        <v>Settled</v>
      </c>
      <c r="M981" s="5" t="str">
        <f>IF(Table2[[#This Row],[Advance Amount]]=Table2[[#This Row],[Expense Amount]]+Table2[[#This Row],[Return Amount]]+Table2[[#This Row],[Outstanding]],"Ok","Check")</f>
        <v>Ok</v>
      </c>
      <c r="N981" s="11">
        <f>IF(Table2[[#This Row],[Status]]="Settled",0,$Q$2-Table2[[#This Row],[Date]])</f>
        <v>0</v>
      </c>
      <c r="O981" s="5" t="str">
        <f>IF(Table2[[#This Row],[Age Days]]&lt;=7,"Normal",IF(Table2[[#This Row],[Age Days]]&lt;=14,"Perlu Dipantau",IF(Table2[[#This Row],[Age Days]]&lt;=30,"Perlu Ditindaklanjuti","Overdue")))</f>
        <v>Normal</v>
      </c>
    </row>
    <row r="982" spans="1:15" x14ac:dyDescent="0.3">
      <c r="A982" t="s">
        <v>1066</v>
      </c>
      <c r="B982" s="3">
        <v>46261</v>
      </c>
      <c r="C982" t="s">
        <v>22</v>
      </c>
      <c r="D982" t="s">
        <v>23</v>
      </c>
      <c r="E982" t="s">
        <v>24</v>
      </c>
      <c r="F982" t="s">
        <v>20</v>
      </c>
      <c r="G982" t="s">
        <v>40</v>
      </c>
      <c r="H982" s="5">
        <v>450000</v>
      </c>
      <c r="I982" s="5">
        <v>450000</v>
      </c>
      <c r="J982" s="5">
        <v>0</v>
      </c>
      <c r="K982" s="5">
        <f>Table2[[#This Row],[Advance Amount]]-Table2[[#This Row],[Expense Amount]]-Table2[[#This Row],[Return Amount]]</f>
        <v>0</v>
      </c>
      <c r="L982" s="5" t="str">
        <f>IF(Table2[[#This Row],[Outstanding]]=0,"Settled",IF(Table2[[#This Row],[Outstanding]]&gt;0,"Outstanding"))</f>
        <v>Settled</v>
      </c>
      <c r="M982" s="5" t="str">
        <f>IF(Table2[[#This Row],[Advance Amount]]=Table2[[#This Row],[Expense Amount]]+Table2[[#This Row],[Return Amount]]+Table2[[#This Row],[Outstanding]],"Ok","Check")</f>
        <v>Ok</v>
      </c>
      <c r="N982" s="11">
        <f>IF(Table2[[#This Row],[Status]]="Settled",0,$Q$2-Table2[[#This Row],[Date]])</f>
        <v>0</v>
      </c>
      <c r="O982" s="5" t="str">
        <f>IF(Table2[[#This Row],[Age Days]]&lt;=7,"Normal",IF(Table2[[#This Row],[Age Days]]&lt;=14,"Perlu Dipantau",IF(Table2[[#This Row],[Age Days]]&lt;=30,"Perlu Ditindaklanjuti","Overdue")))</f>
        <v>Normal</v>
      </c>
    </row>
    <row r="983" spans="1:15" x14ac:dyDescent="0.3">
      <c r="A983" t="s">
        <v>1067</v>
      </c>
      <c r="B983" s="3">
        <v>46262</v>
      </c>
      <c r="C983" t="s">
        <v>46</v>
      </c>
      <c r="D983" t="s">
        <v>47</v>
      </c>
      <c r="E983" t="s">
        <v>37</v>
      </c>
      <c r="F983" t="s">
        <v>14</v>
      </c>
      <c r="G983" t="s">
        <v>61</v>
      </c>
      <c r="H983" s="5">
        <v>250000</v>
      </c>
      <c r="I983" s="5">
        <v>200000</v>
      </c>
      <c r="J983" s="5">
        <v>50000</v>
      </c>
      <c r="K983" s="5">
        <f>Table2[[#This Row],[Advance Amount]]-Table2[[#This Row],[Expense Amount]]-Table2[[#This Row],[Return Amount]]</f>
        <v>0</v>
      </c>
      <c r="L983" s="5" t="str">
        <f>IF(Table2[[#This Row],[Outstanding]]=0,"Settled",IF(Table2[[#This Row],[Outstanding]]&gt;0,"Outstanding"))</f>
        <v>Settled</v>
      </c>
      <c r="M983" s="5" t="str">
        <f>IF(Table2[[#This Row],[Advance Amount]]=Table2[[#This Row],[Expense Amount]]+Table2[[#This Row],[Return Amount]]+Table2[[#This Row],[Outstanding]],"Ok","Check")</f>
        <v>Ok</v>
      </c>
      <c r="N983" s="11">
        <f>IF(Table2[[#This Row],[Status]]="Settled",0,$Q$2-Table2[[#This Row],[Date]])</f>
        <v>0</v>
      </c>
      <c r="O983" s="5" t="str">
        <f>IF(Table2[[#This Row],[Age Days]]&lt;=7,"Normal",IF(Table2[[#This Row],[Age Days]]&lt;=14,"Perlu Dipantau",IF(Table2[[#This Row],[Age Days]]&lt;=30,"Perlu Ditindaklanjuti","Overdue")))</f>
        <v>Normal</v>
      </c>
    </row>
    <row r="984" spans="1:15" x14ac:dyDescent="0.3">
      <c r="A984" t="s">
        <v>1068</v>
      </c>
      <c r="B984" s="3">
        <v>46262</v>
      </c>
      <c r="C984" t="s">
        <v>48</v>
      </c>
      <c r="D984" t="s">
        <v>49</v>
      </c>
      <c r="E984" t="s">
        <v>19</v>
      </c>
      <c r="F984" t="s">
        <v>14</v>
      </c>
      <c r="G984" t="s">
        <v>34</v>
      </c>
      <c r="H984" s="5">
        <v>225000</v>
      </c>
      <c r="I984" s="5">
        <v>175000</v>
      </c>
      <c r="J984" s="5">
        <v>50000</v>
      </c>
      <c r="K984" s="5">
        <f>Table2[[#This Row],[Advance Amount]]-Table2[[#This Row],[Expense Amount]]-Table2[[#This Row],[Return Amount]]</f>
        <v>0</v>
      </c>
      <c r="L984" s="5" t="str">
        <f>IF(Table2[[#This Row],[Outstanding]]=0,"Settled",IF(Table2[[#This Row],[Outstanding]]&gt;0,"Outstanding"))</f>
        <v>Settled</v>
      </c>
      <c r="M984" s="5" t="str">
        <f>IF(Table2[[#This Row],[Advance Amount]]=Table2[[#This Row],[Expense Amount]]+Table2[[#This Row],[Return Amount]]+Table2[[#This Row],[Outstanding]],"Ok","Check")</f>
        <v>Ok</v>
      </c>
      <c r="N984" s="11">
        <f>IF(Table2[[#This Row],[Status]]="Settled",0,$Q$2-Table2[[#This Row],[Date]])</f>
        <v>0</v>
      </c>
      <c r="O984" s="5" t="str">
        <f>IF(Table2[[#This Row],[Age Days]]&lt;=7,"Normal",IF(Table2[[#This Row],[Age Days]]&lt;=14,"Perlu Dipantau",IF(Table2[[#This Row],[Age Days]]&lt;=30,"Perlu Ditindaklanjuti","Overdue")))</f>
        <v>Normal</v>
      </c>
    </row>
    <row r="985" spans="1:15" x14ac:dyDescent="0.3">
      <c r="A985" t="s">
        <v>1069</v>
      </c>
      <c r="B985" s="3">
        <v>46262</v>
      </c>
      <c r="C985" t="s">
        <v>62</v>
      </c>
      <c r="D985" t="s">
        <v>63</v>
      </c>
      <c r="E985" t="s">
        <v>52</v>
      </c>
      <c r="F985" t="s">
        <v>20</v>
      </c>
      <c r="G985" t="s">
        <v>31</v>
      </c>
      <c r="H985" s="5">
        <v>925000</v>
      </c>
      <c r="I985" s="5">
        <v>700000</v>
      </c>
      <c r="J985" s="5">
        <v>225000</v>
      </c>
      <c r="K985" s="5">
        <f>Table2[[#This Row],[Advance Amount]]-Table2[[#This Row],[Expense Amount]]-Table2[[#This Row],[Return Amount]]</f>
        <v>0</v>
      </c>
      <c r="L985" s="5" t="str">
        <f>IF(Table2[[#This Row],[Outstanding]]=0,"Settled",IF(Table2[[#This Row],[Outstanding]]&gt;0,"Outstanding"))</f>
        <v>Settled</v>
      </c>
      <c r="M985" s="5" t="str">
        <f>IF(Table2[[#This Row],[Advance Amount]]=Table2[[#This Row],[Expense Amount]]+Table2[[#This Row],[Return Amount]]+Table2[[#This Row],[Outstanding]],"Ok","Check")</f>
        <v>Ok</v>
      </c>
      <c r="N985" s="11">
        <f>IF(Table2[[#This Row],[Status]]="Settled",0,$Q$2-Table2[[#This Row],[Date]])</f>
        <v>0</v>
      </c>
      <c r="O985" s="5" t="str">
        <f>IF(Table2[[#This Row],[Age Days]]&lt;=7,"Normal",IF(Table2[[#This Row],[Age Days]]&lt;=14,"Perlu Dipantau",IF(Table2[[#This Row],[Age Days]]&lt;=30,"Perlu Ditindaklanjuti","Overdue")))</f>
        <v>Normal</v>
      </c>
    </row>
    <row r="986" spans="1:15" x14ac:dyDescent="0.3">
      <c r="A986" t="s">
        <v>1070</v>
      </c>
      <c r="B986" s="3">
        <v>46262</v>
      </c>
      <c r="C986" t="s">
        <v>35</v>
      </c>
      <c r="D986" t="s">
        <v>36</v>
      </c>
      <c r="E986" t="s">
        <v>37</v>
      </c>
      <c r="F986" t="s">
        <v>20</v>
      </c>
      <c r="G986" t="s">
        <v>15</v>
      </c>
      <c r="H986" s="5">
        <v>1375000</v>
      </c>
      <c r="I986" s="5">
        <v>0</v>
      </c>
      <c r="J986" s="5">
        <v>0</v>
      </c>
      <c r="K986" s="5">
        <f>Table2[[#This Row],[Advance Amount]]-Table2[[#This Row],[Expense Amount]]-Table2[[#This Row],[Return Amount]]</f>
        <v>1375000</v>
      </c>
      <c r="L986" s="5" t="str">
        <f>IF(Table2[[#This Row],[Outstanding]]=0,"Settled",IF(Table2[[#This Row],[Outstanding]]&gt;0,"Outstanding"))</f>
        <v>Outstanding</v>
      </c>
      <c r="M986" s="5" t="str">
        <f>IF(Table2[[#This Row],[Advance Amount]]=Table2[[#This Row],[Expense Amount]]+Table2[[#This Row],[Return Amount]]+Table2[[#This Row],[Outstanding]],"Ok","Check")</f>
        <v>Ok</v>
      </c>
      <c r="N986" s="11">
        <f>IF(Table2[[#This Row],[Status]]="Settled",0,$Q$2-Table2[[#This Row],[Date]])</f>
        <v>3</v>
      </c>
      <c r="O986" s="5" t="str">
        <f>IF(Table2[[#This Row],[Age Days]]&lt;=7,"Normal",IF(Table2[[#This Row],[Age Days]]&lt;=14,"Perlu Dipantau",IF(Table2[[#This Row],[Age Days]]&lt;=30,"Perlu Ditindaklanjuti","Overdue")))</f>
        <v>Normal</v>
      </c>
    </row>
    <row r="987" spans="1:15" x14ac:dyDescent="0.3">
      <c r="A987" t="s">
        <v>1071</v>
      </c>
      <c r="B987" s="3">
        <v>46262</v>
      </c>
      <c r="C987" t="s">
        <v>44</v>
      </c>
      <c r="D987" t="s">
        <v>45</v>
      </c>
      <c r="E987" t="s">
        <v>43</v>
      </c>
      <c r="F987" t="s">
        <v>14</v>
      </c>
      <c r="G987" t="s">
        <v>15</v>
      </c>
      <c r="H987" s="5">
        <v>2550000</v>
      </c>
      <c r="I987" s="5">
        <v>2100000</v>
      </c>
      <c r="J987" s="5">
        <v>450000</v>
      </c>
      <c r="K987" s="5">
        <f>Table2[[#This Row],[Advance Amount]]-Table2[[#This Row],[Expense Amount]]-Table2[[#This Row],[Return Amount]]</f>
        <v>0</v>
      </c>
      <c r="L987" s="5" t="str">
        <f>IF(Table2[[#This Row],[Outstanding]]=0,"Settled",IF(Table2[[#This Row],[Outstanding]]&gt;0,"Outstanding"))</f>
        <v>Settled</v>
      </c>
      <c r="M987" s="5" t="str">
        <f>IF(Table2[[#This Row],[Advance Amount]]=Table2[[#This Row],[Expense Amount]]+Table2[[#This Row],[Return Amount]]+Table2[[#This Row],[Outstanding]],"Ok","Check")</f>
        <v>Ok</v>
      </c>
      <c r="N987" s="11">
        <f>IF(Table2[[#This Row],[Status]]="Settled",0,$Q$2-Table2[[#This Row],[Date]])</f>
        <v>0</v>
      </c>
      <c r="O987" s="5" t="str">
        <f>IF(Table2[[#This Row],[Age Days]]&lt;=7,"Normal",IF(Table2[[#This Row],[Age Days]]&lt;=14,"Perlu Dipantau",IF(Table2[[#This Row],[Age Days]]&lt;=30,"Perlu Ditindaklanjuti","Overdue")))</f>
        <v>Normal</v>
      </c>
    </row>
    <row r="988" spans="1:15" x14ac:dyDescent="0.3">
      <c r="A988" t="s">
        <v>1072</v>
      </c>
      <c r="B988" s="3">
        <v>46262</v>
      </c>
      <c r="C988" t="s">
        <v>17</v>
      </c>
      <c r="D988" t="s">
        <v>18</v>
      </c>
      <c r="E988" t="s">
        <v>19</v>
      </c>
      <c r="F988" t="s">
        <v>20</v>
      </c>
      <c r="G988" t="s">
        <v>15</v>
      </c>
      <c r="H988" s="5">
        <v>850000</v>
      </c>
      <c r="I988" s="5">
        <v>0</v>
      </c>
      <c r="J988" s="5">
        <v>0</v>
      </c>
      <c r="K988" s="5">
        <f>Table2[[#This Row],[Advance Amount]]-Table2[[#This Row],[Expense Amount]]-Table2[[#This Row],[Return Amount]]</f>
        <v>850000</v>
      </c>
      <c r="L988" s="5" t="str">
        <f>IF(Table2[[#This Row],[Outstanding]]=0,"Settled",IF(Table2[[#This Row],[Outstanding]]&gt;0,"Outstanding"))</f>
        <v>Outstanding</v>
      </c>
      <c r="M988" s="5" t="str">
        <f>IF(Table2[[#This Row],[Advance Amount]]=Table2[[#This Row],[Expense Amount]]+Table2[[#This Row],[Return Amount]]+Table2[[#This Row],[Outstanding]],"Ok","Check")</f>
        <v>Ok</v>
      </c>
      <c r="N988" s="11">
        <f>IF(Table2[[#This Row],[Status]]="Settled",0,$Q$2-Table2[[#This Row],[Date]])</f>
        <v>3</v>
      </c>
      <c r="O988" s="5" t="str">
        <f>IF(Table2[[#This Row],[Age Days]]&lt;=7,"Normal",IF(Table2[[#This Row],[Age Days]]&lt;=14,"Perlu Dipantau",IF(Table2[[#This Row],[Age Days]]&lt;=30,"Perlu Ditindaklanjuti","Overdue")))</f>
        <v>Normal</v>
      </c>
    </row>
    <row r="989" spans="1:15" x14ac:dyDescent="0.3">
      <c r="A989" t="s">
        <v>1073</v>
      </c>
      <c r="B989" s="3">
        <v>46262</v>
      </c>
      <c r="C989" t="s">
        <v>50</v>
      </c>
      <c r="D989" t="s">
        <v>51</v>
      </c>
      <c r="E989" t="s">
        <v>52</v>
      </c>
      <c r="F989" t="s">
        <v>20</v>
      </c>
      <c r="G989" t="s">
        <v>31</v>
      </c>
      <c r="H989" s="5">
        <v>1275000</v>
      </c>
      <c r="I989" s="5">
        <v>0</v>
      </c>
      <c r="J989" s="5">
        <v>0</v>
      </c>
      <c r="K989" s="5">
        <f>Table2[[#This Row],[Advance Amount]]-Table2[[#This Row],[Expense Amount]]-Table2[[#This Row],[Return Amount]]</f>
        <v>1275000</v>
      </c>
      <c r="L989" s="5" t="str">
        <f>IF(Table2[[#This Row],[Outstanding]]=0,"Settled",IF(Table2[[#This Row],[Outstanding]]&gt;0,"Outstanding"))</f>
        <v>Outstanding</v>
      </c>
      <c r="M989" s="5" t="str">
        <f>IF(Table2[[#This Row],[Advance Amount]]=Table2[[#This Row],[Expense Amount]]+Table2[[#This Row],[Return Amount]]+Table2[[#This Row],[Outstanding]],"Ok","Check")</f>
        <v>Ok</v>
      </c>
      <c r="N989" s="11">
        <f>IF(Table2[[#This Row],[Status]]="Settled",0,$Q$2-Table2[[#This Row],[Date]])</f>
        <v>3</v>
      </c>
      <c r="O989" s="5" t="str">
        <f>IF(Table2[[#This Row],[Age Days]]&lt;=7,"Normal",IF(Table2[[#This Row],[Age Days]]&lt;=14,"Perlu Dipantau",IF(Table2[[#This Row],[Age Days]]&lt;=30,"Perlu Ditindaklanjuti","Overdue")))</f>
        <v>Normal</v>
      </c>
    </row>
    <row r="990" spans="1:15" x14ac:dyDescent="0.3">
      <c r="A990" t="s">
        <v>1074</v>
      </c>
      <c r="B990" s="3">
        <v>46262</v>
      </c>
      <c r="C990" t="s">
        <v>64</v>
      </c>
      <c r="D990" t="s">
        <v>65</v>
      </c>
      <c r="E990" t="s">
        <v>37</v>
      </c>
      <c r="F990" t="s">
        <v>14</v>
      </c>
      <c r="G990" t="s">
        <v>40</v>
      </c>
      <c r="H990" s="5">
        <v>475000</v>
      </c>
      <c r="I990" s="5">
        <v>375000</v>
      </c>
      <c r="J990" s="5">
        <v>100000</v>
      </c>
      <c r="K990" s="5">
        <f>Table2[[#This Row],[Advance Amount]]-Table2[[#This Row],[Expense Amount]]-Table2[[#This Row],[Return Amount]]</f>
        <v>0</v>
      </c>
      <c r="L990" s="5" t="str">
        <f>IF(Table2[[#This Row],[Outstanding]]=0,"Settled",IF(Table2[[#This Row],[Outstanding]]&gt;0,"Outstanding"))</f>
        <v>Settled</v>
      </c>
      <c r="M990" s="5" t="str">
        <f>IF(Table2[[#This Row],[Advance Amount]]=Table2[[#This Row],[Expense Amount]]+Table2[[#This Row],[Return Amount]]+Table2[[#This Row],[Outstanding]],"Ok","Check")</f>
        <v>Ok</v>
      </c>
      <c r="N990" s="11">
        <f>IF(Table2[[#This Row],[Status]]="Settled",0,$Q$2-Table2[[#This Row],[Date]])</f>
        <v>0</v>
      </c>
      <c r="O990" s="5" t="str">
        <f>IF(Table2[[#This Row],[Age Days]]&lt;=7,"Normal",IF(Table2[[#This Row],[Age Days]]&lt;=14,"Perlu Dipantau",IF(Table2[[#This Row],[Age Days]]&lt;=30,"Perlu Ditindaklanjuti","Overdue")))</f>
        <v>Normal</v>
      </c>
    </row>
    <row r="991" spans="1:15" x14ac:dyDescent="0.3">
      <c r="A991" t="s">
        <v>1075</v>
      </c>
      <c r="B991" s="3">
        <v>46262</v>
      </c>
      <c r="C991" t="s">
        <v>22</v>
      </c>
      <c r="D991" t="s">
        <v>23</v>
      </c>
      <c r="E991" t="s">
        <v>24</v>
      </c>
      <c r="F991" t="s">
        <v>14</v>
      </c>
      <c r="G991" t="s">
        <v>58</v>
      </c>
      <c r="H991" s="5">
        <v>700000</v>
      </c>
      <c r="I991" s="5">
        <v>550000</v>
      </c>
      <c r="J991" s="5">
        <v>150000</v>
      </c>
      <c r="K991" s="5">
        <f>Table2[[#This Row],[Advance Amount]]-Table2[[#This Row],[Expense Amount]]-Table2[[#This Row],[Return Amount]]</f>
        <v>0</v>
      </c>
      <c r="L991" s="5" t="str">
        <f>IF(Table2[[#This Row],[Outstanding]]=0,"Settled",IF(Table2[[#This Row],[Outstanding]]&gt;0,"Outstanding"))</f>
        <v>Settled</v>
      </c>
      <c r="M991" s="5" t="str">
        <f>IF(Table2[[#This Row],[Advance Amount]]=Table2[[#This Row],[Expense Amount]]+Table2[[#This Row],[Return Amount]]+Table2[[#This Row],[Outstanding]],"Ok","Check")</f>
        <v>Ok</v>
      </c>
      <c r="N991" s="11">
        <f>IF(Table2[[#This Row],[Status]]="Settled",0,$Q$2-Table2[[#This Row],[Date]])</f>
        <v>0</v>
      </c>
      <c r="O991" s="5" t="str">
        <f>IF(Table2[[#This Row],[Age Days]]&lt;=7,"Normal",IF(Table2[[#This Row],[Age Days]]&lt;=14,"Perlu Dipantau",IF(Table2[[#This Row],[Age Days]]&lt;=30,"Perlu Ditindaklanjuti","Overdue")))</f>
        <v>Normal</v>
      </c>
    </row>
    <row r="992" spans="1:15" x14ac:dyDescent="0.3">
      <c r="A992" t="s">
        <v>1076</v>
      </c>
      <c r="B992" s="3">
        <v>46263</v>
      </c>
      <c r="C992" t="s">
        <v>32</v>
      </c>
      <c r="D992" t="s">
        <v>33</v>
      </c>
      <c r="E992" t="s">
        <v>27</v>
      </c>
      <c r="F992" t="s">
        <v>20</v>
      </c>
      <c r="G992" t="s">
        <v>15</v>
      </c>
      <c r="H992" s="5">
        <v>3100000</v>
      </c>
      <c r="I992" s="5">
        <v>2400000</v>
      </c>
      <c r="J992" s="5">
        <v>700000</v>
      </c>
      <c r="K992" s="5">
        <f>Table2[[#This Row],[Advance Amount]]-Table2[[#This Row],[Expense Amount]]-Table2[[#This Row],[Return Amount]]</f>
        <v>0</v>
      </c>
      <c r="L992" s="5" t="str">
        <f>IF(Table2[[#This Row],[Outstanding]]=0,"Settled",IF(Table2[[#This Row],[Outstanding]]&gt;0,"Outstanding"))</f>
        <v>Settled</v>
      </c>
      <c r="M992" s="5" t="str">
        <f>IF(Table2[[#This Row],[Advance Amount]]=Table2[[#This Row],[Expense Amount]]+Table2[[#This Row],[Return Amount]]+Table2[[#This Row],[Outstanding]],"Ok","Check")</f>
        <v>Ok</v>
      </c>
      <c r="N992" s="11">
        <f>IF(Table2[[#This Row],[Status]]="Settled",0,$Q$2-Table2[[#This Row],[Date]])</f>
        <v>0</v>
      </c>
      <c r="O992" s="5" t="str">
        <f>IF(Table2[[#This Row],[Age Days]]&lt;=7,"Normal",IF(Table2[[#This Row],[Age Days]]&lt;=14,"Perlu Dipantau",IF(Table2[[#This Row],[Age Days]]&lt;=30,"Perlu Ditindaklanjuti","Overdue")))</f>
        <v>Normal</v>
      </c>
    </row>
    <row r="993" spans="1:15" x14ac:dyDescent="0.3">
      <c r="A993" t="s">
        <v>1077</v>
      </c>
      <c r="B993" s="3">
        <v>46263</v>
      </c>
      <c r="C993" t="s">
        <v>32</v>
      </c>
      <c r="D993" t="s">
        <v>33</v>
      </c>
      <c r="E993" t="s">
        <v>27</v>
      </c>
      <c r="F993" t="s">
        <v>20</v>
      </c>
      <c r="G993" t="s">
        <v>40</v>
      </c>
      <c r="H993" s="5">
        <v>100000</v>
      </c>
      <c r="I993" s="5">
        <v>100000</v>
      </c>
      <c r="J993" s="5">
        <v>0</v>
      </c>
      <c r="K993" s="5">
        <f>Table2[[#This Row],[Advance Amount]]-Table2[[#This Row],[Expense Amount]]-Table2[[#This Row],[Return Amount]]</f>
        <v>0</v>
      </c>
      <c r="L993" s="5" t="str">
        <f>IF(Table2[[#This Row],[Outstanding]]=0,"Settled",IF(Table2[[#This Row],[Outstanding]]&gt;0,"Outstanding"))</f>
        <v>Settled</v>
      </c>
      <c r="M993" s="5" t="str">
        <f>IF(Table2[[#This Row],[Advance Amount]]=Table2[[#This Row],[Expense Amount]]+Table2[[#This Row],[Return Amount]]+Table2[[#This Row],[Outstanding]],"Ok","Check")</f>
        <v>Ok</v>
      </c>
      <c r="N993" s="11">
        <f>IF(Table2[[#This Row],[Status]]="Settled",0,$Q$2-Table2[[#This Row],[Date]])</f>
        <v>0</v>
      </c>
      <c r="O993" s="5" t="str">
        <f>IF(Table2[[#This Row],[Age Days]]&lt;=7,"Normal",IF(Table2[[#This Row],[Age Days]]&lt;=14,"Perlu Dipantau",IF(Table2[[#This Row],[Age Days]]&lt;=30,"Perlu Ditindaklanjuti","Overdue")))</f>
        <v>Normal</v>
      </c>
    </row>
    <row r="994" spans="1:15" x14ac:dyDescent="0.3">
      <c r="A994" t="s">
        <v>1078</v>
      </c>
      <c r="B994" s="3">
        <v>46263</v>
      </c>
      <c r="C994" t="s">
        <v>22</v>
      </c>
      <c r="D994" t="s">
        <v>23</v>
      </c>
      <c r="E994" t="s">
        <v>24</v>
      </c>
      <c r="F994" t="s">
        <v>14</v>
      </c>
      <c r="G994" t="s">
        <v>57</v>
      </c>
      <c r="H994" s="5">
        <v>130000</v>
      </c>
      <c r="I994" s="5">
        <v>0</v>
      </c>
      <c r="J994" s="5">
        <v>0</v>
      </c>
      <c r="K994" s="5">
        <f>Table2[[#This Row],[Advance Amount]]-Table2[[#This Row],[Expense Amount]]-Table2[[#This Row],[Return Amount]]</f>
        <v>130000</v>
      </c>
      <c r="L994" s="5" t="str">
        <f>IF(Table2[[#This Row],[Outstanding]]=0,"Settled",IF(Table2[[#This Row],[Outstanding]]&gt;0,"Outstanding"))</f>
        <v>Outstanding</v>
      </c>
      <c r="M994" s="5" t="str">
        <f>IF(Table2[[#This Row],[Advance Amount]]=Table2[[#This Row],[Expense Amount]]+Table2[[#This Row],[Return Amount]]+Table2[[#This Row],[Outstanding]],"Ok","Check")</f>
        <v>Ok</v>
      </c>
      <c r="N994" s="11">
        <f>IF(Table2[[#This Row],[Status]]="Settled",0,$Q$2-Table2[[#This Row],[Date]])</f>
        <v>2</v>
      </c>
      <c r="O994" s="5" t="str">
        <f>IF(Table2[[#This Row],[Age Days]]&lt;=7,"Normal",IF(Table2[[#This Row],[Age Days]]&lt;=14,"Perlu Dipantau",IF(Table2[[#This Row],[Age Days]]&lt;=30,"Perlu Ditindaklanjuti","Overdue")))</f>
        <v>Normal</v>
      </c>
    </row>
    <row r="995" spans="1:15" x14ac:dyDescent="0.3">
      <c r="A995" t="s">
        <v>1079</v>
      </c>
      <c r="B995" s="3">
        <v>46264</v>
      </c>
      <c r="C995" t="s">
        <v>44</v>
      </c>
      <c r="D995" t="s">
        <v>45</v>
      </c>
      <c r="E995" t="s">
        <v>43</v>
      </c>
      <c r="F995" t="s">
        <v>20</v>
      </c>
      <c r="G995" t="s">
        <v>15</v>
      </c>
      <c r="H995" s="5">
        <v>1000000</v>
      </c>
      <c r="I995" s="5">
        <v>0</v>
      </c>
      <c r="J995" s="5">
        <v>0</v>
      </c>
      <c r="K995" s="5">
        <f>Table2[[#This Row],[Advance Amount]]-Table2[[#This Row],[Expense Amount]]-Table2[[#This Row],[Return Amount]]</f>
        <v>1000000</v>
      </c>
      <c r="L995" s="5" t="str">
        <f>IF(Table2[[#This Row],[Outstanding]]=0,"Settled",IF(Table2[[#This Row],[Outstanding]]&gt;0,"Outstanding"))</f>
        <v>Outstanding</v>
      </c>
      <c r="M995" s="5" t="str">
        <f>IF(Table2[[#This Row],[Advance Amount]]=Table2[[#This Row],[Expense Amount]]+Table2[[#This Row],[Return Amount]]+Table2[[#This Row],[Outstanding]],"Ok","Check")</f>
        <v>Ok</v>
      </c>
      <c r="N995" s="11">
        <f>IF(Table2[[#This Row],[Status]]="Settled",0,$Q$2-Table2[[#This Row],[Date]])</f>
        <v>1</v>
      </c>
      <c r="O995" s="5" t="str">
        <f>IF(Table2[[#This Row],[Age Days]]&lt;=7,"Normal",IF(Table2[[#This Row],[Age Days]]&lt;=14,"Perlu Dipantau",IF(Table2[[#This Row],[Age Days]]&lt;=30,"Perlu Ditindaklanjuti","Overdue")))</f>
        <v>Normal</v>
      </c>
    </row>
    <row r="996" spans="1:15" x14ac:dyDescent="0.3">
      <c r="A996" t="s">
        <v>1080</v>
      </c>
      <c r="B996" s="3">
        <v>46265</v>
      </c>
      <c r="C996" t="s">
        <v>46</v>
      </c>
      <c r="D996" t="s">
        <v>47</v>
      </c>
      <c r="E996" t="s">
        <v>37</v>
      </c>
      <c r="F996" t="s">
        <v>14</v>
      </c>
      <c r="G996" t="s">
        <v>58</v>
      </c>
      <c r="H996" s="5">
        <v>575000</v>
      </c>
      <c r="I996" s="5">
        <v>425000</v>
      </c>
      <c r="J996" s="5">
        <v>150000</v>
      </c>
      <c r="K996" s="5">
        <f>Table2[[#This Row],[Advance Amount]]-Table2[[#This Row],[Expense Amount]]-Table2[[#This Row],[Return Amount]]</f>
        <v>0</v>
      </c>
      <c r="L996" s="5" t="str">
        <f>IF(Table2[[#This Row],[Outstanding]]=0,"Settled",IF(Table2[[#This Row],[Outstanding]]&gt;0,"Outstanding"))</f>
        <v>Settled</v>
      </c>
      <c r="M996" s="5" t="str">
        <f>IF(Table2[[#This Row],[Advance Amount]]=Table2[[#This Row],[Expense Amount]]+Table2[[#This Row],[Return Amount]]+Table2[[#This Row],[Outstanding]],"Ok","Check")</f>
        <v>Ok</v>
      </c>
      <c r="N996" s="11">
        <f>IF(Table2[[#This Row],[Status]]="Settled",0,$Q$2-Table2[[#This Row],[Date]])</f>
        <v>0</v>
      </c>
      <c r="O996" s="5" t="str">
        <f>IF(Table2[[#This Row],[Age Days]]&lt;=7,"Normal",IF(Table2[[#This Row],[Age Days]]&lt;=14,"Perlu Dipantau",IF(Table2[[#This Row],[Age Days]]&lt;=30,"Perlu Ditindaklanjuti","Overdue")))</f>
        <v>Normal</v>
      </c>
    </row>
    <row r="997" spans="1:15" x14ac:dyDescent="0.3">
      <c r="A997" t="s">
        <v>1081</v>
      </c>
      <c r="B997" s="3">
        <v>46265</v>
      </c>
      <c r="C997" t="s">
        <v>46</v>
      </c>
      <c r="D997" t="s">
        <v>47</v>
      </c>
      <c r="E997" t="s">
        <v>37</v>
      </c>
      <c r="F997" t="s">
        <v>20</v>
      </c>
      <c r="G997" t="s">
        <v>15</v>
      </c>
      <c r="H997" s="5">
        <v>1925000</v>
      </c>
      <c r="I997" s="5">
        <v>0</v>
      </c>
      <c r="J997" s="5">
        <v>0</v>
      </c>
      <c r="K997" s="5">
        <f>Table2[[#This Row],[Advance Amount]]-Table2[[#This Row],[Expense Amount]]-Table2[[#This Row],[Return Amount]]</f>
        <v>1925000</v>
      </c>
      <c r="L997" s="5" t="str">
        <f>IF(Table2[[#This Row],[Outstanding]]=0,"Settled",IF(Table2[[#This Row],[Outstanding]]&gt;0,"Outstanding"))</f>
        <v>Outstanding</v>
      </c>
      <c r="M997" s="5" t="str">
        <f>IF(Table2[[#This Row],[Advance Amount]]=Table2[[#This Row],[Expense Amount]]+Table2[[#This Row],[Return Amount]]+Table2[[#This Row],[Outstanding]],"Ok","Check")</f>
        <v>Ok</v>
      </c>
      <c r="N997" s="11">
        <f>IF(Table2[[#This Row],[Status]]="Settled",0,$Q$2-Table2[[#This Row],[Date]])</f>
        <v>0</v>
      </c>
      <c r="O997" s="5" t="str">
        <f>IF(Table2[[#This Row],[Age Days]]&lt;=7,"Normal",IF(Table2[[#This Row],[Age Days]]&lt;=14,"Perlu Dipantau",IF(Table2[[#This Row],[Age Days]]&lt;=30,"Perlu Ditindaklanjuti","Overdue")))</f>
        <v>Normal</v>
      </c>
    </row>
    <row r="998" spans="1:15" x14ac:dyDescent="0.3">
      <c r="A998" t="s">
        <v>1082</v>
      </c>
      <c r="B998" s="3">
        <v>46265</v>
      </c>
      <c r="C998" t="s">
        <v>32</v>
      </c>
      <c r="D998" t="s">
        <v>33</v>
      </c>
      <c r="E998" t="s">
        <v>27</v>
      </c>
      <c r="F998" t="s">
        <v>14</v>
      </c>
      <c r="G998" t="s">
        <v>57</v>
      </c>
      <c r="H998" s="5">
        <v>205000</v>
      </c>
      <c r="I998" s="5">
        <v>150000</v>
      </c>
      <c r="J998" s="5">
        <v>55000</v>
      </c>
      <c r="K998" s="5">
        <f>Table2[[#This Row],[Advance Amount]]-Table2[[#This Row],[Expense Amount]]-Table2[[#This Row],[Return Amount]]</f>
        <v>0</v>
      </c>
      <c r="L998" s="5" t="str">
        <f>IF(Table2[[#This Row],[Outstanding]]=0,"Settled",IF(Table2[[#This Row],[Outstanding]]&gt;0,"Outstanding"))</f>
        <v>Settled</v>
      </c>
      <c r="M998" s="5" t="str">
        <f>IF(Table2[[#This Row],[Advance Amount]]=Table2[[#This Row],[Expense Amount]]+Table2[[#This Row],[Return Amount]]+Table2[[#This Row],[Outstanding]],"Ok","Check")</f>
        <v>Ok</v>
      </c>
      <c r="N998" s="11">
        <f>IF(Table2[[#This Row],[Status]]="Settled",0,$Q$2-Table2[[#This Row],[Date]])</f>
        <v>0</v>
      </c>
      <c r="O998" s="5" t="str">
        <f>IF(Table2[[#This Row],[Age Days]]&lt;=7,"Normal",IF(Table2[[#This Row],[Age Days]]&lt;=14,"Perlu Dipantau",IF(Table2[[#This Row],[Age Days]]&lt;=30,"Perlu Ditindaklanjuti","Overdue")))</f>
        <v>Normal</v>
      </c>
    </row>
    <row r="999" spans="1:15" x14ac:dyDescent="0.3">
      <c r="A999" t="s">
        <v>1083</v>
      </c>
      <c r="B999" s="3">
        <v>46265</v>
      </c>
      <c r="C999" t="s">
        <v>17</v>
      </c>
      <c r="D999" t="s">
        <v>18</v>
      </c>
      <c r="E999" t="s">
        <v>19</v>
      </c>
      <c r="F999" t="s">
        <v>14</v>
      </c>
      <c r="G999" t="s">
        <v>57</v>
      </c>
      <c r="H999" s="5">
        <v>380000</v>
      </c>
      <c r="I999" s="5">
        <v>275000</v>
      </c>
      <c r="J999" s="5">
        <v>105000</v>
      </c>
      <c r="K999" s="5">
        <f>Table2[[#This Row],[Advance Amount]]-Table2[[#This Row],[Expense Amount]]-Table2[[#This Row],[Return Amount]]</f>
        <v>0</v>
      </c>
      <c r="L999" s="5" t="str">
        <f>IF(Table2[[#This Row],[Outstanding]]=0,"Settled",IF(Table2[[#This Row],[Outstanding]]&gt;0,"Outstanding"))</f>
        <v>Settled</v>
      </c>
      <c r="M999" s="5" t="str">
        <f>IF(Table2[[#This Row],[Advance Amount]]=Table2[[#This Row],[Expense Amount]]+Table2[[#This Row],[Return Amount]]+Table2[[#This Row],[Outstanding]],"Ok","Check")</f>
        <v>Ok</v>
      </c>
      <c r="N999" s="11">
        <f>IF(Table2[[#This Row],[Status]]="Settled",0,$Q$2-Table2[[#This Row],[Date]])</f>
        <v>0</v>
      </c>
      <c r="O999" s="5" t="str">
        <f>IF(Table2[[#This Row],[Age Days]]&lt;=7,"Normal",IF(Table2[[#This Row],[Age Days]]&lt;=14,"Perlu Dipantau",IF(Table2[[#This Row],[Age Days]]&lt;=30,"Perlu Ditindaklanjuti","Overdue")))</f>
        <v>Normal</v>
      </c>
    </row>
    <row r="1000" spans="1:15" x14ac:dyDescent="0.3">
      <c r="A1000" t="s">
        <v>1084</v>
      </c>
      <c r="B1000" s="3">
        <v>46265</v>
      </c>
      <c r="C1000" t="s">
        <v>59</v>
      </c>
      <c r="D1000" t="s">
        <v>60</v>
      </c>
      <c r="E1000" t="s">
        <v>19</v>
      </c>
      <c r="F1000" t="s">
        <v>20</v>
      </c>
      <c r="G1000" t="s">
        <v>28</v>
      </c>
      <c r="H1000" s="5">
        <v>280000</v>
      </c>
      <c r="I1000" s="5">
        <v>0</v>
      </c>
      <c r="J1000" s="5">
        <v>0</v>
      </c>
      <c r="K1000" s="5">
        <f>Table2[[#This Row],[Advance Amount]]-Table2[[#This Row],[Expense Amount]]-Table2[[#This Row],[Return Amount]]</f>
        <v>280000</v>
      </c>
      <c r="L1000" s="5" t="str">
        <f>IF(Table2[[#This Row],[Outstanding]]=0,"Settled",IF(Table2[[#This Row],[Outstanding]]&gt;0,"Outstanding"))</f>
        <v>Outstanding</v>
      </c>
      <c r="M1000" s="5" t="str">
        <f>IF(Table2[[#This Row],[Advance Amount]]=Table2[[#This Row],[Expense Amount]]+Table2[[#This Row],[Return Amount]]+Table2[[#This Row],[Outstanding]],"Ok","Check")</f>
        <v>Ok</v>
      </c>
      <c r="N1000" s="11">
        <f>IF(Table2[[#This Row],[Status]]="Settled",0,$Q$2-Table2[[#This Row],[Date]])</f>
        <v>0</v>
      </c>
      <c r="O1000" s="5" t="str">
        <f>IF(Table2[[#This Row],[Age Days]]&lt;=7,"Normal",IF(Table2[[#This Row],[Age Days]]&lt;=14,"Perlu Dipantau",IF(Table2[[#This Row],[Age Days]]&lt;=30,"Perlu Ditindaklanjuti","Overdue")))</f>
        <v>Normal</v>
      </c>
    </row>
    <row r="1001" spans="1:15" x14ac:dyDescent="0.3">
      <c r="A1001" t="s">
        <v>1085</v>
      </c>
      <c r="B1001" s="3">
        <v>46265</v>
      </c>
      <c r="C1001" t="s">
        <v>59</v>
      </c>
      <c r="D1001" t="s">
        <v>60</v>
      </c>
      <c r="E1001" t="s">
        <v>19</v>
      </c>
      <c r="F1001" t="s">
        <v>20</v>
      </c>
      <c r="G1001" t="s">
        <v>57</v>
      </c>
      <c r="H1001" s="5">
        <v>180000</v>
      </c>
      <c r="I1001" s="5">
        <v>0</v>
      </c>
      <c r="J1001" s="5">
        <v>0</v>
      </c>
      <c r="K1001" s="5">
        <f>Table2[[#This Row],[Advance Amount]]-Table2[[#This Row],[Expense Amount]]-Table2[[#This Row],[Return Amount]]</f>
        <v>180000</v>
      </c>
      <c r="L1001" s="5" t="str">
        <f>IF(Table2[[#This Row],[Outstanding]]=0,"Settled",IF(Table2[[#This Row],[Outstanding]]&gt;0,"Outstanding"))</f>
        <v>Outstanding</v>
      </c>
      <c r="M1001" s="5" t="str">
        <f>IF(Table2[[#This Row],[Advance Amount]]=Table2[[#This Row],[Expense Amount]]+Table2[[#This Row],[Return Amount]]+Table2[[#This Row],[Outstanding]],"Ok","Check")</f>
        <v>Ok</v>
      </c>
      <c r="N1001" s="11">
        <f>IF(Table2[[#This Row],[Status]]="Settled",0,$Q$2-Table2[[#This Row],[Date]])</f>
        <v>0</v>
      </c>
      <c r="O1001" s="5" t="str">
        <f>IF(Table2[[#This Row],[Age Days]]&lt;=7,"Normal",IF(Table2[[#This Row],[Age Days]]&lt;=14,"Perlu Dipantau",IF(Table2[[#This Row],[Age Days]]&lt;=30,"Perlu Ditindaklanjuti","Overdue")))</f>
        <v>Normal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1007-C8CF-411B-BAEE-3166FCAC9F6B}">
  <dimension ref="A5:H33"/>
  <sheetViews>
    <sheetView zoomScale="85" zoomScaleNormal="85" workbookViewId="0">
      <selection activeCell="AJ6" sqref="AJ6"/>
    </sheetView>
  </sheetViews>
  <sheetFormatPr defaultRowHeight="14.4" x14ac:dyDescent="0.3"/>
  <cols>
    <col min="1" max="1" width="15.5546875" bestFit="1" customWidth="1"/>
    <col min="2" max="2" width="19.109375" bestFit="1" customWidth="1"/>
    <col min="3" max="3" width="16.33203125" customWidth="1"/>
    <col min="4" max="4" width="20" bestFit="1" customWidth="1"/>
    <col min="5" max="5" width="23.109375" bestFit="1" customWidth="1"/>
    <col min="6" max="6" width="18" bestFit="1" customWidth="1"/>
    <col min="7" max="7" width="13.44140625" bestFit="1" customWidth="1"/>
    <col min="8" max="8" width="19.109375" bestFit="1" customWidth="1"/>
  </cols>
  <sheetData>
    <row r="5" spans="1:8" x14ac:dyDescent="0.3">
      <c r="C5" t="s">
        <v>1088</v>
      </c>
      <c r="D5" t="s">
        <v>1089</v>
      </c>
      <c r="E5" t="s">
        <v>1090</v>
      </c>
      <c r="F5" t="s">
        <v>1093</v>
      </c>
    </row>
    <row r="6" spans="1:8" x14ac:dyDescent="0.3">
      <c r="C6" s="13">
        <v>667125000</v>
      </c>
      <c r="D6" s="13">
        <v>421475000</v>
      </c>
      <c r="E6" s="13">
        <v>69990000</v>
      </c>
      <c r="F6" s="13">
        <v>175660000</v>
      </c>
    </row>
    <row r="9" spans="1:8" x14ac:dyDescent="0.3">
      <c r="A9" s="14" t="s">
        <v>9</v>
      </c>
      <c r="B9" t="s">
        <v>21</v>
      </c>
      <c r="D9" s="14" t="s">
        <v>1091</v>
      </c>
      <c r="E9" t="s">
        <v>1089</v>
      </c>
      <c r="G9" s="14" t="s">
        <v>1091</v>
      </c>
      <c r="H9" t="s">
        <v>1089</v>
      </c>
    </row>
    <row r="10" spans="1:8" x14ac:dyDescent="0.3">
      <c r="D10" s="15" t="s">
        <v>15</v>
      </c>
      <c r="E10" s="13">
        <v>171900000</v>
      </c>
      <c r="G10" s="15" t="s">
        <v>24</v>
      </c>
      <c r="H10" s="13">
        <v>82800000</v>
      </c>
    </row>
    <row r="11" spans="1:8" x14ac:dyDescent="0.3">
      <c r="A11" s="14" t="s">
        <v>1091</v>
      </c>
      <c r="B11" t="s">
        <v>1093</v>
      </c>
      <c r="D11" s="15" t="s">
        <v>31</v>
      </c>
      <c r="E11" s="13">
        <v>63875000</v>
      </c>
      <c r="G11" s="15" t="s">
        <v>43</v>
      </c>
      <c r="H11" s="13">
        <v>67150000</v>
      </c>
    </row>
    <row r="12" spans="1:8" x14ac:dyDescent="0.3">
      <c r="A12" s="15" t="s">
        <v>42</v>
      </c>
      <c r="B12" s="13">
        <v>18635000</v>
      </c>
      <c r="D12" s="15" t="s">
        <v>58</v>
      </c>
      <c r="E12" s="13">
        <v>48550000</v>
      </c>
      <c r="G12" s="15" t="s">
        <v>13</v>
      </c>
      <c r="H12" s="13">
        <v>61600000</v>
      </c>
    </row>
    <row r="13" spans="1:8" x14ac:dyDescent="0.3">
      <c r="A13" s="15" t="s">
        <v>51</v>
      </c>
      <c r="B13" s="13">
        <v>16020000</v>
      </c>
      <c r="D13" s="15" t="s">
        <v>40</v>
      </c>
      <c r="E13" s="13">
        <v>47750000</v>
      </c>
      <c r="G13" s="15" t="s">
        <v>19</v>
      </c>
      <c r="H13" s="13">
        <v>61050000</v>
      </c>
    </row>
    <row r="14" spans="1:8" x14ac:dyDescent="0.3">
      <c r="A14" s="15" t="s">
        <v>23</v>
      </c>
      <c r="B14" s="13">
        <v>13630000</v>
      </c>
      <c r="D14" s="15" t="s">
        <v>61</v>
      </c>
      <c r="E14" s="13">
        <v>30450000</v>
      </c>
      <c r="G14" s="15" t="s">
        <v>27</v>
      </c>
      <c r="H14" s="13">
        <v>59575000</v>
      </c>
    </row>
    <row r="15" spans="1:8" x14ac:dyDescent="0.3">
      <c r="A15" s="15" t="s">
        <v>45</v>
      </c>
      <c r="B15" s="13">
        <v>13415000</v>
      </c>
      <c r="D15" s="15" t="s">
        <v>34</v>
      </c>
      <c r="E15" s="13">
        <v>22425000</v>
      </c>
      <c r="G15" s="15" t="s">
        <v>37</v>
      </c>
      <c r="H15" s="13">
        <v>49275000</v>
      </c>
    </row>
    <row r="16" spans="1:8" x14ac:dyDescent="0.3">
      <c r="A16" s="15" t="s">
        <v>12</v>
      </c>
      <c r="B16" s="13">
        <v>9740000</v>
      </c>
      <c r="D16" s="15" t="s">
        <v>28</v>
      </c>
      <c r="E16" s="13">
        <v>19250000</v>
      </c>
      <c r="G16" s="15" t="s">
        <v>52</v>
      </c>
      <c r="H16" s="13">
        <v>40025000</v>
      </c>
    </row>
    <row r="17" spans="1:8" x14ac:dyDescent="0.3">
      <c r="A17" s="15" t="s">
        <v>36</v>
      </c>
      <c r="B17" s="13">
        <v>9420000</v>
      </c>
      <c r="D17" s="15" t="s">
        <v>57</v>
      </c>
      <c r="E17" s="13">
        <v>17275000</v>
      </c>
      <c r="G17" s="15" t="s">
        <v>1092</v>
      </c>
      <c r="H17" s="13">
        <v>421475000</v>
      </c>
    </row>
    <row r="18" spans="1:8" x14ac:dyDescent="0.3">
      <c r="A18" s="15" t="s">
        <v>39</v>
      </c>
      <c r="B18" s="13">
        <v>9395000</v>
      </c>
      <c r="D18" s="15" t="s">
        <v>1092</v>
      </c>
      <c r="E18" s="13">
        <v>421475000</v>
      </c>
    </row>
    <row r="19" spans="1:8" x14ac:dyDescent="0.3">
      <c r="A19" s="15" t="s">
        <v>33</v>
      </c>
      <c r="B19" s="13">
        <v>9085000</v>
      </c>
    </row>
    <row r="20" spans="1:8" x14ac:dyDescent="0.3">
      <c r="A20" s="15" t="s">
        <v>26</v>
      </c>
      <c r="B20" s="13">
        <v>8545000</v>
      </c>
    </row>
    <row r="21" spans="1:8" x14ac:dyDescent="0.3">
      <c r="A21" s="15" t="s">
        <v>69</v>
      </c>
      <c r="B21" s="13">
        <v>8430000</v>
      </c>
    </row>
    <row r="22" spans="1:8" x14ac:dyDescent="0.3">
      <c r="A22" s="15" t="s">
        <v>60</v>
      </c>
      <c r="B22" s="13">
        <v>8030000</v>
      </c>
      <c r="D22" s="14" t="s">
        <v>1091</v>
      </c>
      <c r="E22" t="s">
        <v>1088</v>
      </c>
      <c r="G22" s="14" t="s">
        <v>1091</v>
      </c>
      <c r="H22" t="s">
        <v>1093</v>
      </c>
    </row>
    <row r="23" spans="1:8" x14ac:dyDescent="0.3">
      <c r="A23" s="15" t="s">
        <v>18</v>
      </c>
      <c r="B23" s="13">
        <v>7880000</v>
      </c>
      <c r="D23" s="15" t="s">
        <v>1096</v>
      </c>
      <c r="E23" s="13">
        <v>91560000</v>
      </c>
      <c r="G23" s="15" t="s">
        <v>1105</v>
      </c>
      <c r="H23" s="13">
        <v>142690000</v>
      </c>
    </row>
    <row r="24" spans="1:8" x14ac:dyDescent="0.3">
      <c r="A24" s="15" t="s">
        <v>63</v>
      </c>
      <c r="B24" s="13">
        <v>7330000</v>
      </c>
      <c r="D24" s="15" t="s">
        <v>1097</v>
      </c>
      <c r="E24" s="13">
        <v>71280000</v>
      </c>
      <c r="G24" s="15" t="s">
        <v>1107</v>
      </c>
      <c r="H24" s="13">
        <v>15325000</v>
      </c>
    </row>
    <row r="25" spans="1:8" x14ac:dyDescent="0.3">
      <c r="A25" s="15" t="s">
        <v>47</v>
      </c>
      <c r="B25" s="13">
        <v>6475000</v>
      </c>
      <c r="D25" s="15" t="s">
        <v>1098</v>
      </c>
      <c r="E25" s="13">
        <v>82840000</v>
      </c>
      <c r="G25" s="15" t="s">
        <v>1104</v>
      </c>
      <c r="H25" s="13">
        <v>10355000</v>
      </c>
    </row>
    <row r="26" spans="1:8" x14ac:dyDescent="0.3">
      <c r="A26" s="15" t="s">
        <v>67</v>
      </c>
      <c r="B26" s="13">
        <v>6250000</v>
      </c>
      <c r="D26" s="15" t="s">
        <v>1099</v>
      </c>
      <c r="E26" s="13">
        <v>77260000</v>
      </c>
      <c r="G26" s="15" t="s">
        <v>1106</v>
      </c>
      <c r="H26" s="13">
        <v>7290000</v>
      </c>
    </row>
    <row r="27" spans="1:8" x14ac:dyDescent="0.3">
      <c r="A27" s="15" t="s">
        <v>56</v>
      </c>
      <c r="B27" s="13">
        <v>5855000</v>
      </c>
      <c r="D27" s="15" t="s">
        <v>1100</v>
      </c>
      <c r="E27" s="13">
        <v>84390000</v>
      </c>
      <c r="G27" s="15" t="s">
        <v>1092</v>
      </c>
      <c r="H27" s="13">
        <v>175660000</v>
      </c>
    </row>
    <row r="28" spans="1:8" x14ac:dyDescent="0.3">
      <c r="A28" s="15" t="s">
        <v>54</v>
      </c>
      <c r="B28" s="13">
        <v>5605000</v>
      </c>
      <c r="D28" s="15" t="s">
        <v>1101</v>
      </c>
      <c r="E28" s="13">
        <v>78995000</v>
      </c>
    </row>
    <row r="29" spans="1:8" x14ac:dyDescent="0.3">
      <c r="A29" s="15" t="s">
        <v>30</v>
      </c>
      <c r="B29" s="13">
        <v>4525000</v>
      </c>
      <c r="D29" s="15" t="s">
        <v>1102</v>
      </c>
      <c r="E29" s="13">
        <v>85870000</v>
      </c>
    </row>
    <row r="30" spans="1:8" x14ac:dyDescent="0.3">
      <c r="A30" s="15" t="s">
        <v>65</v>
      </c>
      <c r="B30" s="13">
        <v>4325000</v>
      </c>
      <c r="D30" s="15" t="s">
        <v>1103</v>
      </c>
      <c r="E30" s="13">
        <v>94930000</v>
      </c>
      <c r="G30" s="14" t="s">
        <v>1091</v>
      </c>
      <c r="H30" t="s">
        <v>1093</v>
      </c>
    </row>
    <row r="31" spans="1:8" x14ac:dyDescent="0.3">
      <c r="A31" s="15" t="s">
        <v>49</v>
      </c>
      <c r="B31" s="13">
        <v>3070000</v>
      </c>
      <c r="D31" s="15" t="s">
        <v>1092</v>
      </c>
      <c r="E31" s="13">
        <v>667125000</v>
      </c>
      <c r="G31" s="15" t="s">
        <v>21</v>
      </c>
      <c r="H31" s="13">
        <v>175660000</v>
      </c>
    </row>
    <row r="32" spans="1:8" x14ac:dyDescent="0.3">
      <c r="A32" s="15" t="s">
        <v>1092</v>
      </c>
      <c r="B32" s="13">
        <v>175660000</v>
      </c>
      <c r="G32" s="15" t="s">
        <v>16</v>
      </c>
      <c r="H32" s="13">
        <v>0</v>
      </c>
    </row>
    <row r="33" spans="7:8" x14ac:dyDescent="0.3">
      <c r="G33" s="15" t="s">
        <v>1092</v>
      </c>
      <c r="H33" s="13">
        <v>175660000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0D1DA-C861-4AF1-A249-6BF8224DCFA1}">
  <dimension ref="B7:M12"/>
  <sheetViews>
    <sheetView showGridLines="0" tabSelected="1" zoomScale="55" zoomScaleNormal="55" workbookViewId="0">
      <selection activeCell="AL45" sqref="AL45"/>
    </sheetView>
  </sheetViews>
  <sheetFormatPr defaultRowHeight="14.4" x14ac:dyDescent="0.3"/>
  <sheetData>
    <row r="7" spans="2:13" ht="15" thickBot="1" x14ac:dyDescent="0.35"/>
    <row r="8" spans="2:13" ht="15" thickTop="1" x14ac:dyDescent="0.3">
      <c r="B8" s="17" t="s">
        <v>1108</v>
      </c>
      <c r="C8" s="18"/>
      <c r="D8" s="18"/>
      <c r="E8" s="17" t="s">
        <v>1109</v>
      </c>
      <c r="F8" s="18"/>
      <c r="G8" s="19"/>
      <c r="H8" s="18" t="s">
        <v>1110</v>
      </c>
      <c r="I8" s="18"/>
      <c r="J8" s="18"/>
      <c r="K8" s="17" t="s">
        <v>1111</v>
      </c>
      <c r="L8" s="18"/>
      <c r="M8" s="19"/>
    </row>
    <row r="9" spans="2:13" ht="15" thickBot="1" x14ac:dyDescent="0.35">
      <c r="B9" s="20"/>
      <c r="C9" s="21"/>
      <c r="D9" s="21"/>
      <c r="E9" s="20"/>
      <c r="F9" s="21"/>
      <c r="G9" s="22"/>
      <c r="H9" s="21"/>
      <c r="I9" s="21"/>
      <c r="J9" s="21"/>
      <c r="K9" s="20"/>
      <c r="L9" s="21"/>
      <c r="M9" s="22"/>
    </row>
    <row r="10" spans="2:13" ht="15" thickTop="1" x14ac:dyDescent="0.3">
      <c r="B10" s="23">
        <f>GETPIVOTDATA("Sum of Advance Amount",'Pivot Table'!$C$5)</f>
        <v>667125000</v>
      </c>
      <c r="C10" s="24"/>
      <c r="D10" s="24"/>
      <c r="E10" s="23">
        <f>GETPIVOTDATA("Sum of Expense Amount",'Pivot Table'!$C$5)</f>
        <v>421475000</v>
      </c>
      <c r="F10" s="24"/>
      <c r="G10" s="27"/>
      <c r="H10" s="23">
        <f>GETPIVOTDATA("Sum of Return Amount",'Pivot Table'!$C$5)</f>
        <v>69990000</v>
      </c>
      <c r="I10" s="24"/>
      <c r="J10" s="27"/>
      <c r="K10" s="23">
        <f>GETPIVOTDATA("Sum of Outstanding",'Pivot Table'!$C$5)</f>
        <v>175660000</v>
      </c>
      <c r="L10" s="24"/>
      <c r="M10" s="27"/>
    </row>
    <row r="11" spans="2:13" ht="15" thickBot="1" x14ac:dyDescent="0.35">
      <c r="B11" s="25"/>
      <c r="C11" s="26"/>
      <c r="D11" s="26"/>
      <c r="E11" s="25"/>
      <c r="F11" s="26"/>
      <c r="G11" s="28"/>
      <c r="H11" s="25"/>
      <c r="I11" s="26"/>
      <c r="J11" s="28"/>
      <c r="K11" s="25"/>
      <c r="L11" s="26"/>
      <c r="M11" s="28"/>
    </row>
    <row r="12" spans="2:13" ht="15" thickTop="1" x14ac:dyDescent="0.3"/>
  </sheetData>
  <mergeCells count="8">
    <mergeCell ref="K8:M9"/>
    <mergeCell ref="B10:D11"/>
    <mergeCell ref="E10:G11"/>
    <mergeCell ref="H10:J11"/>
    <mergeCell ref="K10:M11"/>
    <mergeCell ref="B8:D9"/>
    <mergeCell ref="E8:G9"/>
    <mergeCell ref="H8:J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Transactions</vt:lpstr>
      <vt:lpstr>Guide</vt:lpstr>
      <vt:lpstr>Data Cleaning</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Bagas Triambodo</dc:creator>
  <cp:lastModifiedBy>Bagas Triambodo</cp:lastModifiedBy>
  <dcterms:created xsi:type="dcterms:W3CDTF">2026-09-07T05:14:19Z</dcterms:created>
  <dcterms:modified xsi:type="dcterms:W3CDTF">2026-09-07T12:38:15Z</dcterms:modified>
</cp:coreProperties>
</file>